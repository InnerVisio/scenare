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honza/Desktop/"/>
    </mc:Choice>
  </mc:AlternateContent>
  <xr:revisionPtr revIDLastSave="0" documentId="8_{09C3C62F-0D3D-B24D-A635-FDC96487A432}" xr6:coauthVersionLast="47" xr6:coauthVersionMax="47" xr10:uidLastSave="{00000000-0000-0000-0000-000000000000}"/>
  <bookViews>
    <workbookView xWindow="0" yWindow="0" windowWidth="51200" windowHeight="28800" tabRatio="500" activeTab="2" xr2:uid="{00000000-000D-0000-FFFF-FFFF00000000}"/>
  </bookViews>
  <sheets>
    <sheet name="Návod" sheetId="1" r:id="rId1"/>
    <sheet name="Přehled" sheetId="2" r:id="rId2"/>
    <sheet name="Scénáře" sheetId="3" r:id="rId3"/>
    <sheet name="Připomínky" sheetId="4" r:id="rId4"/>
    <sheet name="Publikace" sheetId="5" r:id="rId5"/>
    <sheet name="Série" sheetId="6" r:id="rId6"/>
    <sheet name="Nastavení" sheetId="7" r:id="rId7"/>
  </sheets>
  <definedNames>
    <definedName name="_xlnm._FilterDatabase" localSheetId="3" hidden="1">Připomínky!$A$3:$J$503</definedName>
    <definedName name="_xlnm._FilterDatabase" localSheetId="4" hidden="1">Publikace!$A$3:$H$503</definedName>
    <definedName name="_xlnm._FilterDatabase" localSheetId="2" hidden="1">Scénáře!$A$3:$AI$503</definedName>
    <definedName name="_xlnm._FilterDatabase" localSheetId="5" hidden="1">Série!$A$3:$AA$103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7" l="1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G6" i="2" s="1"/>
  <c r="C31" i="7"/>
  <c r="D30" i="7"/>
  <c r="C30" i="7"/>
  <c r="B26" i="7"/>
  <c r="B20" i="7"/>
  <c r="C19" i="7"/>
  <c r="D19" i="7" s="1"/>
  <c r="C18" i="7"/>
  <c r="D18" i="7" s="1"/>
  <c r="B14" i="7"/>
  <c r="C13" i="7"/>
  <c r="D13" i="7" s="1"/>
  <c r="E13" i="7" s="1"/>
  <c r="C13" i="2" s="1"/>
  <c r="C12" i="7"/>
  <c r="D12" i="7" s="1"/>
  <c r="E12" i="7" s="1"/>
  <c r="C12" i="2" s="1"/>
  <c r="C11" i="7"/>
  <c r="D11" i="7" s="1"/>
  <c r="C10" i="7"/>
  <c r="D10" i="7" s="1"/>
  <c r="B6" i="7"/>
  <c r="Z103" i="6"/>
  <c r="AA103" i="6" s="1"/>
  <c r="Y103" i="6"/>
  <c r="X103" i="6"/>
  <c r="W103" i="6"/>
  <c r="V103" i="6"/>
  <c r="U103" i="6"/>
  <c r="T103" i="6"/>
  <c r="S103" i="6"/>
  <c r="R103" i="6"/>
  <c r="Q103" i="6"/>
  <c r="P103" i="6"/>
  <c r="Z102" i="6"/>
  <c r="AA102" i="6" s="1"/>
  <c r="Y102" i="6"/>
  <c r="X102" i="6"/>
  <c r="W102" i="6"/>
  <c r="V102" i="6"/>
  <c r="U102" i="6"/>
  <c r="T102" i="6"/>
  <c r="S102" i="6"/>
  <c r="R102" i="6"/>
  <c r="Q102" i="6"/>
  <c r="P102" i="6"/>
  <c r="Z101" i="6"/>
  <c r="AA101" i="6" s="1"/>
  <c r="Y101" i="6"/>
  <c r="X101" i="6"/>
  <c r="W101" i="6"/>
  <c r="V101" i="6"/>
  <c r="U101" i="6"/>
  <c r="T101" i="6"/>
  <c r="S101" i="6"/>
  <c r="R101" i="6"/>
  <c r="Q101" i="6"/>
  <c r="P101" i="6"/>
  <c r="Z100" i="6"/>
  <c r="AA100" i="6" s="1"/>
  <c r="Y100" i="6"/>
  <c r="X100" i="6"/>
  <c r="W100" i="6"/>
  <c r="V100" i="6"/>
  <c r="U100" i="6"/>
  <c r="T100" i="6"/>
  <c r="S100" i="6"/>
  <c r="R100" i="6"/>
  <c r="Q100" i="6"/>
  <c r="P100" i="6"/>
  <c r="Z99" i="6"/>
  <c r="AA99" i="6" s="1"/>
  <c r="Y99" i="6"/>
  <c r="X99" i="6"/>
  <c r="W99" i="6"/>
  <c r="V99" i="6"/>
  <c r="U99" i="6"/>
  <c r="T99" i="6"/>
  <c r="S99" i="6"/>
  <c r="R99" i="6"/>
  <c r="Q99" i="6"/>
  <c r="P99" i="6"/>
  <c r="Z98" i="6"/>
  <c r="AA98" i="6" s="1"/>
  <c r="Y98" i="6"/>
  <c r="X98" i="6"/>
  <c r="W98" i="6"/>
  <c r="V98" i="6"/>
  <c r="U98" i="6"/>
  <c r="T98" i="6"/>
  <c r="S98" i="6"/>
  <c r="R98" i="6"/>
  <c r="Q98" i="6"/>
  <c r="P98" i="6"/>
  <c r="Z97" i="6"/>
  <c r="AA97" i="6" s="1"/>
  <c r="Y97" i="6"/>
  <c r="X97" i="6"/>
  <c r="W97" i="6"/>
  <c r="V97" i="6"/>
  <c r="U97" i="6"/>
  <c r="T97" i="6"/>
  <c r="S97" i="6"/>
  <c r="R97" i="6"/>
  <c r="Q97" i="6"/>
  <c r="P97" i="6"/>
  <c r="Z96" i="6"/>
  <c r="AA96" i="6" s="1"/>
  <c r="Y96" i="6"/>
  <c r="X96" i="6"/>
  <c r="W96" i="6"/>
  <c r="V96" i="6"/>
  <c r="U96" i="6"/>
  <c r="T96" i="6"/>
  <c r="S96" i="6"/>
  <c r="R96" i="6"/>
  <c r="Q96" i="6"/>
  <c r="P96" i="6"/>
  <c r="Z95" i="6"/>
  <c r="AA95" i="6" s="1"/>
  <c r="Y95" i="6"/>
  <c r="X95" i="6"/>
  <c r="W95" i="6"/>
  <c r="V95" i="6"/>
  <c r="U95" i="6"/>
  <c r="T95" i="6"/>
  <c r="S95" i="6"/>
  <c r="R95" i="6"/>
  <c r="Q95" i="6"/>
  <c r="P95" i="6"/>
  <c r="Z94" i="6"/>
  <c r="AA94" i="6" s="1"/>
  <c r="Y94" i="6"/>
  <c r="X94" i="6"/>
  <c r="W94" i="6"/>
  <c r="V94" i="6"/>
  <c r="U94" i="6"/>
  <c r="T94" i="6"/>
  <c r="S94" i="6"/>
  <c r="R94" i="6"/>
  <c r="Q94" i="6"/>
  <c r="P94" i="6"/>
  <c r="Z93" i="6"/>
  <c r="AA93" i="6" s="1"/>
  <c r="Y93" i="6"/>
  <c r="X93" i="6"/>
  <c r="W93" i="6"/>
  <c r="V93" i="6"/>
  <c r="U93" i="6"/>
  <c r="T93" i="6"/>
  <c r="S93" i="6"/>
  <c r="R93" i="6"/>
  <c r="Q93" i="6"/>
  <c r="P93" i="6"/>
  <c r="Z92" i="6"/>
  <c r="AA92" i="6" s="1"/>
  <c r="Y92" i="6"/>
  <c r="X92" i="6"/>
  <c r="W92" i="6"/>
  <c r="V92" i="6"/>
  <c r="U92" i="6"/>
  <c r="T92" i="6"/>
  <c r="S92" i="6"/>
  <c r="R92" i="6"/>
  <c r="Q92" i="6"/>
  <c r="P92" i="6"/>
  <c r="Z91" i="6"/>
  <c r="AA91" i="6" s="1"/>
  <c r="Y91" i="6"/>
  <c r="X91" i="6"/>
  <c r="W91" i="6"/>
  <c r="V91" i="6"/>
  <c r="U91" i="6"/>
  <c r="T91" i="6"/>
  <c r="S91" i="6"/>
  <c r="R91" i="6"/>
  <c r="Q91" i="6"/>
  <c r="P91" i="6"/>
  <c r="Z90" i="6"/>
  <c r="AA90" i="6" s="1"/>
  <c r="Y90" i="6"/>
  <c r="X90" i="6"/>
  <c r="W90" i="6"/>
  <c r="V90" i="6"/>
  <c r="U90" i="6"/>
  <c r="T90" i="6"/>
  <c r="S90" i="6"/>
  <c r="R90" i="6"/>
  <c r="Q90" i="6"/>
  <c r="P90" i="6"/>
  <c r="Z89" i="6"/>
  <c r="AA89" i="6" s="1"/>
  <c r="Y89" i="6"/>
  <c r="X89" i="6"/>
  <c r="W89" i="6"/>
  <c r="V89" i="6"/>
  <c r="U89" i="6"/>
  <c r="T89" i="6"/>
  <c r="S89" i="6"/>
  <c r="R89" i="6"/>
  <c r="Q89" i="6"/>
  <c r="P89" i="6"/>
  <c r="Z88" i="6"/>
  <c r="AA88" i="6" s="1"/>
  <c r="Y88" i="6"/>
  <c r="X88" i="6"/>
  <c r="W88" i="6"/>
  <c r="V88" i="6"/>
  <c r="U88" i="6"/>
  <c r="T88" i="6"/>
  <c r="S88" i="6"/>
  <c r="R88" i="6"/>
  <c r="Q88" i="6"/>
  <c r="P88" i="6"/>
  <c r="Z87" i="6"/>
  <c r="AA87" i="6" s="1"/>
  <c r="Y87" i="6"/>
  <c r="X87" i="6"/>
  <c r="W87" i="6"/>
  <c r="V87" i="6"/>
  <c r="U87" i="6"/>
  <c r="T87" i="6"/>
  <c r="S87" i="6"/>
  <c r="R87" i="6"/>
  <c r="Q87" i="6"/>
  <c r="P87" i="6"/>
  <c r="Z86" i="6"/>
  <c r="AA86" i="6" s="1"/>
  <c r="Y86" i="6"/>
  <c r="X86" i="6"/>
  <c r="W86" i="6"/>
  <c r="V86" i="6"/>
  <c r="U86" i="6"/>
  <c r="T86" i="6"/>
  <c r="S86" i="6"/>
  <c r="R86" i="6"/>
  <c r="Q86" i="6"/>
  <c r="P86" i="6"/>
  <c r="Z85" i="6"/>
  <c r="AA85" i="6" s="1"/>
  <c r="Y85" i="6"/>
  <c r="X85" i="6"/>
  <c r="W85" i="6"/>
  <c r="V85" i="6"/>
  <c r="U85" i="6"/>
  <c r="T85" i="6"/>
  <c r="S85" i="6"/>
  <c r="R85" i="6"/>
  <c r="Q85" i="6"/>
  <c r="P85" i="6"/>
  <c r="Z84" i="6"/>
  <c r="AA84" i="6" s="1"/>
  <c r="Y84" i="6"/>
  <c r="X84" i="6"/>
  <c r="W84" i="6"/>
  <c r="V84" i="6"/>
  <c r="U84" i="6"/>
  <c r="T84" i="6"/>
  <c r="S84" i="6"/>
  <c r="R84" i="6"/>
  <c r="Q84" i="6"/>
  <c r="P84" i="6"/>
  <c r="Z83" i="6"/>
  <c r="AA83" i="6" s="1"/>
  <c r="Y83" i="6"/>
  <c r="X83" i="6"/>
  <c r="W83" i="6"/>
  <c r="V83" i="6"/>
  <c r="U83" i="6"/>
  <c r="T83" i="6"/>
  <c r="S83" i="6"/>
  <c r="R83" i="6"/>
  <c r="Q83" i="6"/>
  <c r="P83" i="6"/>
  <c r="Z82" i="6"/>
  <c r="AA82" i="6" s="1"/>
  <c r="Y82" i="6"/>
  <c r="X82" i="6"/>
  <c r="W82" i="6"/>
  <c r="V82" i="6"/>
  <c r="U82" i="6"/>
  <c r="T82" i="6"/>
  <c r="S82" i="6"/>
  <c r="R82" i="6"/>
  <c r="Q82" i="6"/>
  <c r="P82" i="6"/>
  <c r="Z81" i="6"/>
  <c r="AA81" i="6" s="1"/>
  <c r="Y81" i="6"/>
  <c r="X81" i="6"/>
  <c r="W81" i="6"/>
  <c r="V81" i="6"/>
  <c r="U81" i="6"/>
  <c r="T81" i="6"/>
  <c r="S81" i="6"/>
  <c r="R81" i="6"/>
  <c r="Q81" i="6"/>
  <c r="P81" i="6"/>
  <c r="Z80" i="6"/>
  <c r="AA80" i="6" s="1"/>
  <c r="Y80" i="6"/>
  <c r="X80" i="6"/>
  <c r="W80" i="6"/>
  <c r="V80" i="6"/>
  <c r="U80" i="6"/>
  <c r="T80" i="6"/>
  <c r="S80" i="6"/>
  <c r="R80" i="6"/>
  <c r="Q80" i="6"/>
  <c r="P80" i="6"/>
  <c r="Z79" i="6"/>
  <c r="AA79" i="6" s="1"/>
  <c r="Y79" i="6"/>
  <c r="X79" i="6"/>
  <c r="W79" i="6"/>
  <c r="V79" i="6"/>
  <c r="U79" i="6"/>
  <c r="T79" i="6"/>
  <c r="S79" i="6"/>
  <c r="R79" i="6"/>
  <c r="Q79" i="6"/>
  <c r="P79" i="6"/>
  <c r="Z78" i="6"/>
  <c r="AA78" i="6" s="1"/>
  <c r="Y78" i="6"/>
  <c r="X78" i="6"/>
  <c r="W78" i="6"/>
  <c r="V78" i="6"/>
  <c r="U78" i="6"/>
  <c r="T78" i="6"/>
  <c r="S78" i="6"/>
  <c r="R78" i="6"/>
  <c r="Q78" i="6"/>
  <c r="P78" i="6"/>
  <c r="Z77" i="6"/>
  <c r="AA77" i="6" s="1"/>
  <c r="Y77" i="6"/>
  <c r="X77" i="6"/>
  <c r="W77" i="6"/>
  <c r="V77" i="6"/>
  <c r="U77" i="6"/>
  <c r="T77" i="6"/>
  <c r="S77" i="6"/>
  <c r="R77" i="6"/>
  <c r="Q77" i="6"/>
  <c r="P77" i="6"/>
  <c r="Z76" i="6"/>
  <c r="AA76" i="6" s="1"/>
  <c r="Y76" i="6"/>
  <c r="X76" i="6"/>
  <c r="W76" i="6"/>
  <c r="V76" i="6"/>
  <c r="U76" i="6"/>
  <c r="T76" i="6"/>
  <c r="S76" i="6"/>
  <c r="R76" i="6"/>
  <c r="Q76" i="6"/>
  <c r="P76" i="6"/>
  <c r="Z75" i="6"/>
  <c r="AA75" i="6" s="1"/>
  <c r="Y75" i="6"/>
  <c r="X75" i="6"/>
  <c r="W75" i="6"/>
  <c r="V75" i="6"/>
  <c r="U75" i="6"/>
  <c r="T75" i="6"/>
  <c r="S75" i="6"/>
  <c r="R75" i="6"/>
  <c r="Q75" i="6"/>
  <c r="P75" i="6"/>
  <c r="Z74" i="6"/>
  <c r="AA74" i="6" s="1"/>
  <c r="Y74" i="6"/>
  <c r="X74" i="6"/>
  <c r="W74" i="6"/>
  <c r="V74" i="6"/>
  <c r="U74" i="6"/>
  <c r="T74" i="6"/>
  <c r="S74" i="6"/>
  <c r="R74" i="6"/>
  <c r="Q74" i="6"/>
  <c r="P74" i="6"/>
  <c r="Z73" i="6"/>
  <c r="AA73" i="6" s="1"/>
  <c r="Y73" i="6"/>
  <c r="X73" i="6"/>
  <c r="W73" i="6"/>
  <c r="V73" i="6"/>
  <c r="U73" i="6"/>
  <c r="T73" i="6"/>
  <c r="S73" i="6"/>
  <c r="R73" i="6"/>
  <c r="Q73" i="6"/>
  <c r="P73" i="6"/>
  <c r="Z72" i="6"/>
  <c r="AA72" i="6" s="1"/>
  <c r="Y72" i="6"/>
  <c r="X72" i="6"/>
  <c r="W72" i="6"/>
  <c r="V72" i="6"/>
  <c r="U72" i="6"/>
  <c r="T72" i="6"/>
  <c r="S72" i="6"/>
  <c r="R72" i="6"/>
  <c r="Q72" i="6"/>
  <c r="P72" i="6"/>
  <c r="Z71" i="6"/>
  <c r="AA71" i="6" s="1"/>
  <c r="Y71" i="6"/>
  <c r="X71" i="6"/>
  <c r="W71" i="6"/>
  <c r="V71" i="6"/>
  <c r="U71" i="6"/>
  <c r="T71" i="6"/>
  <c r="S71" i="6"/>
  <c r="R71" i="6"/>
  <c r="Q71" i="6"/>
  <c r="P71" i="6"/>
  <c r="Z70" i="6"/>
  <c r="AA70" i="6" s="1"/>
  <c r="Y70" i="6"/>
  <c r="X70" i="6"/>
  <c r="W70" i="6"/>
  <c r="V70" i="6"/>
  <c r="U70" i="6"/>
  <c r="T70" i="6"/>
  <c r="S70" i="6"/>
  <c r="R70" i="6"/>
  <c r="Q70" i="6"/>
  <c r="P70" i="6"/>
  <c r="Z69" i="6"/>
  <c r="AA69" i="6" s="1"/>
  <c r="Y69" i="6"/>
  <c r="X69" i="6"/>
  <c r="W69" i="6"/>
  <c r="V69" i="6"/>
  <c r="U69" i="6"/>
  <c r="T69" i="6"/>
  <c r="S69" i="6"/>
  <c r="R69" i="6"/>
  <c r="Q69" i="6"/>
  <c r="P69" i="6"/>
  <c r="Z68" i="6"/>
  <c r="AA68" i="6" s="1"/>
  <c r="Y68" i="6"/>
  <c r="X68" i="6"/>
  <c r="W68" i="6"/>
  <c r="V68" i="6"/>
  <c r="U68" i="6"/>
  <c r="T68" i="6"/>
  <c r="S68" i="6"/>
  <c r="R68" i="6"/>
  <c r="Q68" i="6"/>
  <c r="P68" i="6"/>
  <c r="Z67" i="6"/>
  <c r="AA67" i="6" s="1"/>
  <c r="Y67" i="6"/>
  <c r="X67" i="6"/>
  <c r="W67" i="6"/>
  <c r="V67" i="6"/>
  <c r="U67" i="6"/>
  <c r="T67" i="6"/>
  <c r="S67" i="6"/>
  <c r="R67" i="6"/>
  <c r="Q67" i="6"/>
  <c r="P67" i="6"/>
  <c r="Z66" i="6"/>
  <c r="AA66" i="6" s="1"/>
  <c r="Y66" i="6"/>
  <c r="X66" i="6"/>
  <c r="W66" i="6"/>
  <c r="V66" i="6"/>
  <c r="U66" i="6"/>
  <c r="T66" i="6"/>
  <c r="S66" i="6"/>
  <c r="R66" i="6"/>
  <c r="Q66" i="6"/>
  <c r="P66" i="6"/>
  <c r="Z65" i="6"/>
  <c r="AA65" i="6" s="1"/>
  <c r="Y65" i="6"/>
  <c r="X65" i="6"/>
  <c r="W65" i="6"/>
  <c r="V65" i="6"/>
  <c r="U65" i="6"/>
  <c r="T65" i="6"/>
  <c r="S65" i="6"/>
  <c r="R65" i="6"/>
  <c r="Q65" i="6"/>
  <c r="P65" i="6"/>
  <c r="Z64" i="6"/>
  <c r="AA64" i="6" s="1"/>
  <c r="Y64" i="6"/>
  <c r="X64" i="6"/>
  <c r="W64" i="6"/>
  <c r="V64" i="6"/>
  <c r="U64" i="6"/>
  <c r="T64" i="6"/>
  <c r="S64" i="6"/>
  <c r="R64" i="6"/>
  <c r="Q64" i="6"/>
  <c r="P64" i="6"/>
  <c r="Z63" i="6"/>
  <c r="AA63" i="6" s="1"/>
  <c r="Y63" i="6"/>
  <c r="X63" i="6"/>
  <c r="W63" i="6"/>
  <c r="V63" i="6"/>
  <c r="U63" i="6"/>
  <c r="T63" i="6"/>
  <c r="S63" i="6"/>
  <c r="R63" i="6"/>
  <c r="Q63" i="6"/>
  <c r="P63" i="6"/>
  <c r="Z62" i="6"/>
  <c r="AA62" i="6" s="1"/>
  <c r="Y62" i="6"/>
  <c r="X62" i="6"/>
  <c r="W62" i="6"/>
  <c r="V62" i="6"/>
  <c r="U62" i="6"/>
  <c r="T62" i="6"/>
  <c r="S62" i="6"/>
  <c r="R62" i="6"/>
  <c r="Q62" i="6"/>
  <c r="P62" i="6"/>
  <c r="Z61" i="6"/>
  <c r="AA61" i="6" s="1"/>
  <c r="Y61" i="6"/>
  <c r="X61" i="6"/>
  <c r="W61" i="6"/>
  <c r="V61" i="6"/>
  <c r="U61" i="6"/>
  <c r="T61" i="6"/>
  <c r="S61" i="6"/>
  <c r="R61" i="6"/>
  <c r="Q61" i="6"/>
  <c r="P61" i="6"/>
  <c r="Z60" i="6"/>
  <c r="AA60" i="6" s="1"/>
  <c r="Y60" i="6"/>
  <c r="X60" i="6"/>
  <c r="W60" i="6"/>
  <c r="V60" i="6"/>
  <c r="U60" i="6"/>
  <c r="T60" i="6"/>
  <c r="S60" i="6"/>
  <c r="R60" i="6"/>
  <c r="Q60" i="6"/>
  <c r="P60" i="6"/>
  <c r="Z59" i="6"/>
  <c r="AA59" i="6" s="1"/>
  <c r="Y59" i="6"/>
  <c r="X59" i="6"/>
  <c r="W59" i="6"/>
  <c r="V59" i="6"/>
  <c r="U59" i="6"/>
  <c r="T59" i="6"/>
  <c r="S59" i="6"/>
  <c r="R59" i="6"/>
  <c r="Q59" i="6"/>
  <c r="P59" i="6"/>
  <c r="Z58" i="6"/>
  <c r="AA58" i="6" s="1"/>
  <c r="Y58" i="6"/>
  <c r="X58" i="6"/>
  <c r="W58" i="6"/>
  <c r="V58" i="6"/>
  <c r="U58" i="6"/>
  <c r="T58" i="6"/>
  <c r="S58" i="6"/>
  <c r="R58" i="6"/>
  <c r="Q58" i="6"/>
  <c r="P58" i="6"/>
  <c r="Z57" i="6"/>
  <c r="AA57" i="6" s="1"/>
  <c r="Y57" i="6"/>
  <c r="X57" i="6"/>
  <c r="W57" i="6"/>
  <c r="V57" i="6"/>
  <c r="U57" i="6"/>
  <c r="T57" i="6"/>
  <c r="S57" i="6"/>
  <c r="R57" i="6"/>
  <c r="Q57" i="6"/>
  <c r="P57" i="6"/>
  <c r="Z56" i="6"/>
  <c r="AA56" i="6" s="1"/>
  <c r="Y56" i="6"/>
  <c r="X56" i="6"/>
  <c r="W56" i="6"/>
  <c r="V56" i="6"/>
  <c r="U56" i="6"/>
  <c r="T56" i="6"/>
  <c r="S56" i="6"/>
  <c r="R56" i="6"/>
  <c r="Q56" i="6"/>
  <c r="P56" i="6"/>
  <c r="Z55" i="6"/>
  <c r="AA55" i="6" s="1"/>
  <c r="Y55" i="6"/>
  <c r="X55" i="6"/>
  <c r="W55" i="6"/>
  <c r="V55" i="6"/>
  <c r="U55" i="6"/>
  <c r="T55" i="6"/>
  <c r="S55" i="6"/>
  <c r="R55" i="6"/>
  <c r="Q55" i="6"/>
  <c r="P55" i="6"/>
  <c r="Z54" i="6"/>
  <c r="AA54" i="6" s="1"/>
  <c r="Y54" i="6"/>
  <c r="X54" i="6"/>
  <c r="W54" i="6"/>
  <c r="V54" i="6"/>
  <c r="U54" i="6"/>
  <c r="T54" i="6"/>
  <c r="S54" i="6"/>
  <c r="R54" i="6"/>
  <c r="Q54" i="6"/>
  <c r="P54" i="6"/>
  <c r="Z53" i="6"/>
  <c r="AA53" i="6" s="1"/>
  <c r="Y53" i="6"/>
  <c r="X53" i="6"/>
  <c r="W53" i="6"/>
  <c r="V53" i="6"/>
  <c r="U53" i="6"/>
  <c r="T53" i="6"/>
  <c r="S53" i="6"/>
  <c r="R53" i="6"/>
  <c r="Q53" i="6"/>
  <c r="P53" i="6"/>
  <c r="Z52" i="6"/>
  <c r="AA52" i="6" s="1"/>
  <c r="Y52" i="6"/>
  <c r="X52" i="6"/>
  <c r="W52" i="6"/>
  <c r="V52" i="6"/>
  <c r="U52" i="6"/>
  <c r="T52" i="6"/>
  <c r="S52" i="6"/>
  <c r="R52" i="6"/>
  <c r="Q52" i="6"/>
  <c r="P52" i="6"/>
  <c r="Z51" i="6"/>
  <c r="AA51" i="6" s="1"/>
  <c r="Y51" i="6"/>
  <c r="X51" i="6"/>
  <c r="W51" i="6"/>
  <c r="V51" i="6"/>
  <c r="U51" i="6"/>
  <c r="T51" i="6"/>
  <c r="S51" i="6"/>
  <c r="R51" i="6"/>
  <c r="Q51" i="6"/>
  <c r="P51" i="6"/>
  <c r="Z50" i="6"/>
  <c r="AA50" i="6" s="1"/>
  <c r="Y50" i="6"/>
  <c r="X50" i="6"/>
  <c r="W50" i="6"/>
  <c r="V50" i="6"/>
  <c r="U50" i="6"/>
  <c r="T50" i="6"/>
  <c r="S50" i="6"/>
  <c r="R50" i="6"/>
  <c r="Q50" i="6"/>
  <c r="P50" i="6"/>
  <c r="Z49" i="6"/>
  <c r="AA49" i="6" s="1"/>
  <c r="Y49" i="6"/>
  <c r="X49" i="6"/>
  <c r="W49" i="6"/>
  <c r="V49" i="6"/>
  <c r="U49" i="6"/>
  <c r="T49" i="6"/>
  <c r="S49" i="6"/>
  <c r="R49" i="6"/>
  <c r="Q49" i="6"/>
  <c r="P49" i="6"/>
  <c r="Z48" i="6"/>
  <c r="AA48" i="6" s="1"/>
  <c r="Y48" i="6"/>
  <c r="X48" i="6"/>
  <c r="W48" i="6"/>
  <c r="V48" i="6"/>
  <c r="U48" i="6"/>
  <c r="T48" i="6"/>
  <c r="S48" i="6"/>
  <c r="R48" i="6"/>
  <c r="Q48" i="6"/>
  <c r="P48" i="6"/>
  <c r="Z47" i="6"/>
  <c r="AA47" i="6" s="1"/>
  <c r="Y47" i="6"/>
  <c r="X47" i="6"/>
  <c r="W47" i="6"/>
  <c r="V47" i="6"/>
  <c r="U47" i="6"/>
  <c r="T47" i="6"/>
  <c r="S47" i="6"/>
  <c r="R47" i="6"/>
  <c r="Q47" i="6"/>
  <c r="P47" i="6"/>
  <c r="Z46" i="6"/>
  <c r="AA46" i="6" s="1"/>
  <c r="Y46" i="6"/>
  <c r="X46" i="6"/>
  <c r="W46" i="6"/>
  <c r="V46" i="6"/>
  <c r="U46" i="6"/>
  <c r="T46" i="6"/>
  <c r="S46" i="6"/>
  <c r="R46" i="6"/>
  <c r="Q46" i="6"/>
  <c r="P46" i="6"/>
  <c r="Z45" i="6"/>
  <c r="AA45" i="6" s="1"/>
  <c r="Y45" i="6"/>
  <c r="X45" i="6"/>
  <c r="W45" i="6"/>
  <c r="V45" i="6"/>
  <c r="U45" i="6"/>
  <c r="T45" i="6"/>
  <c r="S45" i="6"/>
  <c r="R45" i="6"/>
  <c r="Q45" i="6"/>
  <c r="P45" i="6"/>
  <c r="Z44" i="6"/>
  <c r="AA44" i="6" s="1"/>
  <c r="Y44" i="6"/>
  <c r="X44" i="6"/>
  <c r="W44" i="6"/>
  <c r="V44" i="6"/>
  <c r="U44" i="6"/>
  <c r="T44" i="6"/>
  <c r="S44" i="6"/>
  <c r="R44" i="6"/>
  <c r="Q44" i="6"/>
  <c r="P44" i="6"/>
  <c r="Z43" i="6"/>
  <c r="AA43" i="6" s="1"/>
  <c r="Y43" i="6"/>
  <c r="X43" i="6"/>
  <c r="W43" i="6"/>
  <c r="V43" i="6"/>
  <c r="U43" i="6"/>
  <c r="T43" i="6"/>
  <c r="S43" i="6"/>
  <c r="R43" i="6"/>
  <c r="Q43" i="6"/>
  <c r="P43" i="6"/>
  <c r="Z42" i="6"/>
  <c r="AA42" i="6" s="1"/>
  <c r="Y42" i="6"/>
  <c r="X42" i="6"/>
  <c r="W42" i="6"/>
  <c r="V42" i="6"/>
  <c r="U42" i="6"/>
  <c r="T42" i="6"/>
  <c r="S42" i="6"/>
  <c r="R42" i="6"/>
  <c r="Q42" i="6"/>
  <c r="P42" i="6"/>
  <c r="Z41" i="6"/>
  <c r="AA41" i="6" s="1"/>
  <c r="Y41" i="6"/>
  <c r="X41" i="6"/>
  <c r="W41" i="6"/>
  <c r="V41" i="6"/>
  <c r="U41" i="6"/>
  <c r="T41" i="6"/>
  <c r="S41" i="6"/>
  <c r="R41" i="6"/>
  <c r="Q41" i="6"/>
  <c r="P41" i="6"/>
  <c r="Z40" i="6"/>
  <c r="AA40" i="6" s="1"/>
  <c r="Y40" i="6"/>
  <c r="X40" i="6"/>
  <c r="W40" i="6"/>
  <c r="V40" i="6"/>
  <c r="U40" i="6"/>
  <c r="T40" i="6"/>
  <c r="S40" i="6"/>
  <c r="R40" i="6"/>
  <c r="Q40" i="6"/>
  <c r="P40" i="6"/>
  <c r="Z39" i="6"/>
  <c r="AA39" i="6" s="1"/>
  <c r="Y39" i="6"/>
  <c r="X39" i="6"/>
  <c r="W39" i="6"/>
  <c r="V39" i="6"/>
  <c r="U39" i="6"/>
  <c r="T39" i="6"/>
  <c r="S39" i="6"/>
  <c r="R39" i="6"/>
  <c r="Q39" i="6"/>
  <c r="P39" i="6"/>
  <c r="AA38" i="6"/>
  <c r="Z38" i="6"/>
  <c r="Y38" i="6"/>
  <c r="X38" i="6"/>
  <c r="W38" i="6"/>
  <c r="V38" i="6"/>
  <c r="U38" i="6"/>
  <c r="T38" i="6"/>
  <c r="S38" i="6"/>
  <c r="R38" i="6"/>
  <c r="Q38" i="6"/>
  <c r="P38" i="6"/>
  <c r="Z37" i="6"/>
  <c r="AA37" i="6" s="1"/>
  <c r="Y37" i="6"/>
  <c r="X37" i="6"/>
  <c r="W37" i="6"/>
  <c r="V37" i="6"/>
  <c r="U37" i="6"/>
  <c r="T37" i="6"/>
  <c r="S37" i="6"/>
  <c r="R37" i="6"/>
  <c r="Q37" i="6"/>
  <c r="P37" i="6"/>
  <c r="Z36" i="6"/>
  <c r="AA36" i="6" s="1"/>
  <c r="Y36" i="6"/>
  <c r="X36" i="6"/>
  <c r="W36" i="6"/>
  <c r="V36" i="6"/>
  <c r="U36" i="6"/>
  <c r="T36" i="6"/>
  <c r="S36" i="6"/>
  <c r="R36" i="6"/>
  <c r="Q36" i="6"/>
  <c r="P36" i="6"/>
  <c r="Z35" i="6"/>
  <c r="AA35" i="6" s="1"/>
  <c r="Y35" i="6"/>
  <c r="X35" i="6"/>
  <c r="W35" i="6"/>
  <c r="V35" i="6"/>
  <c r="U35" i="6"/>
  <c r="T35" i="6"/>
  <c r="S35" i="6"/>
  <c r="R35" i="6"/>
  <c r="Q35" i="6"/>
  <c r="P35" i="6"/>
  <c r="Z34" i="6"/>
  <c r="AA34" i="6" s="1"/>
  <c r="Y34" i="6"/>
  <c r="X34" i="6"/>
  <c r="W34" i="6"/>
  <c r="V34" i="6"/>
  <c r="U34" i="6"/>
  <c r="T34" i="6"/>
  <c r="S34" i="6"/>
  <c r="R34" i="6"/>
  <c r="Q34" i="6"/>
  <c r="P34" i="6"/>
  <c r="Z33" i="6"/>
  <c r="AA33" i="6" s="1"/>
  <c r="Y33" i="6"/>
  <c r="X33" i="6"/>
  <c r="W33" i="6"/>
  <c r="V33" i="6"/>
  <c r="U33" i="6"/>
  <c r="T33" i="6"/>
  <c r="S33" i="6"/>
  <c r="R33" i="6"/>
  <c r="Q33" i="6"/>
  <c r="P33" i="6"/>
  <c r="Z32" i="6"/>
  <c r="AA32" i="6" s="1"/>
  <c r="Y32" i="6"/>
  <c r="X32" i="6"/>
  <c r="W32" i="6"/>
  <c r="V32" i="6"/>
  <c r="U32" i="6"/>
  <c r="T32" i="6"/>
  <c r="S32" i="6"/>
  <c r="R32" i="6"/>
  <c r="Q32" i="6"/>
  <c r="P32" i="6"/>
  <c r="Z31" i="6"/>
  <c r="AA31" i="6" s="1"/>
  <c r="Y31" i="6"/>
  <c r="X31" i="6"/>
  <c r="W31" i="6"/>
  <c r="V31" i="6"/>
  <c r="U31" i="6"/>
  <c r="T31" i="6"/>
  <c r="S31" i="6"/>
  <c r="R31" i="6"/>
  <c r="Q31" i="6"/>
  <c r="P31" i="6"/>
  <c r="Z30" i="6"/>
  <c r="AA30" i="6" s="1"/>
  <c r="Y30" i="6"/>
  <c r="X30" i="6"/>
  <c r="W30" i="6"/>
  <c r="V30" i="6"/>
  <c r="U30" i="6"/>
  <c r="T30" i="6"/>
  <c r="S30" i="6"/>
  <c r="R30" i="6"/>
  <c r="Q30" i="6"/>
  <c r="P30" i="6"/>
  <c r="Z29" i="6"/>
  <c r="AA29" i="6" s="1"/>
  <c r="Y29" i="6"/>
  <c r="X29" i="6"/>
  <c r="W29" i="6"/>
  <c r="V29" i="6"/>
  <c r="U29" i="6"/>
  <c r="T29" i="6"/>
  <c r="S29" i="6"/>
  <c r="R29" i="6"/>
  <c r="Q29" i="6"/>
  <c r="P29" i="6"/>
  <c r="AA28" i="6"/>
  <c r="Z28" i="6"/>
  <c r="Y28" i="6"/>
  <c r="X28" i="6"/>
  <c r="W28" i="6"/>
  <c r="V28" i="6"/>
  <c r="U28" i="6"/>
  <c r="T28" i="6"/>
  <c r="S28" i="6"/>
  <c r="R28" i="6"/>
  <c r="Q28" i="6"/>
  <c r="P28" i="6"/>
  <c r="Z27" i="6"/>
  <c r="AA27" i="6" s="1"/>
  <c r="Y27" i="6"/>
  <c r="X27" i="6"/>
  <c r="W27" i="6"/>
  <c r="V27" i="6"/>
  <c r="U27" i="6"/>
  <c r="T27" i="6"/>
  <c r="S27" i="6"/>
  <c r="R27" i="6"/>
  <c r="Q27" i="6"/>
  <c r="P27" i="6"/>
  <c r="Z26" i="6"/>
  <c r="AA26" i="6" s="1"/>
  <c r="Y26" i="6"/>
  <c r="X26" i="6"/>
  <c r="W26" i="6"/>
  <c r="V26" i="6"/>
  <c r="U26" i="6"/>
  <c r="T26" i="6"/>
  <c r="S26" i="6"/>
  <c r="R26" i="6"/>
  <c r="Q26" i="6"/>
  <c r="P26" i="6"/>
  <c r="Z25" i="6"/>
  <c r="AA25" i="6" s="1"/>
  <c r="Y25" i="6"/>
  <c r="X25" i="6"/>
  <c r="W25" i="6"/>
  <c r="V25" i="6"/>
  <c r="U25" i="6"/>
  <c r="T25" i="6"/>
  <c r="S25" i="6"/>
  <c r="R25" i="6"/>
  <c r="Q25" i="6"/>
  <c r="P25" i="6"/>
  <c r="Z24" i="6"/>
  <c r="AA24" i="6" s="1"/>
  <c r="Y24" i="6"/>
  <c r="X24" i="6"/>
  <c r="W24" i="6"/>
  <c r="V24" i="6"/>
  <c r="U24" i="6"/>
  <c r="T24" i="6"/>
  <c r="S24" i="6"/>
  <c r="R24" i="6"/>
  <c r="Q24" i="6"/>
  <c r="P24" i="6"/>
  <c r="Z23" i="6"/>
  <c r="AA23" i="6" s="1"/>
  <c r="Y23" i="6"/>
  <c r="X23" i="6"/>
  <c r="W23" i="6"/>
  <c r="V23" i="6"/>
  <c r="U23" i="6"/>
  <c r="T23" i="6"/>
  <c r="S23" i="6"/>
  <c r="R23" i="6"/>
  <c r="Q23" i="6"/>
  <c r="P23" i="6"/>
  <c r="Z22" i="6"/>
  <c r="AA22" i="6" s="1"/>
  <c r="Y22" i="6"/>
  <c r="X22" i="6"/>
  <c r="W22" i="6"/>
  <c r="V22" i="6"/>
  <c r="U22" i="6"/>
  <c r="T22" i="6"/>
  <c r="S22" i="6"/>
  <c r="R22" i="6"/>
  <c r="Q22" i="6"/>
  <c r="P22" i="6"/>
  <c r="Z21" i="6"/>
  <c r="AA21" i="6" s="1"/>
  <c r="Y21" i="6"/>
  <c r="X21" i="6"/>
  <c r="W21" i="6"/>
  <c r="V21" i="6"/>
  <c r="U21" i="6"/>
  <c r="T21" i="6"/>
  <c r="S21" i="6"/>
  <c r="R21" i="6"/>
  <c r="Q21" i="6"/>
  <c r="P21" i="6"/>
  <c r="Z20" i="6"/>
  <c r="AA20" i="6" s="1"/>
  <c r="Y20" i="6"/>
  <c r="X20" i="6"/>
  <c r="W20" i="6"/>
  <c r="V20" i="6"/>
  <c r="U20" i="6"/>
  <c r="T20" i="6"/>
  <c r="S20" i="6"/>
  <c r="R20" i="6"/>
  <c r="Q20" i="6"/>
  <c r="P20" i="6"/>
  <c r="Z19" i="6"/>
  <c r="AA19" i="6" s="1"/>
  <c r="Y19" i="6"/>
  <c r="X19" i="6"/>
  <c r="W19" i="6"/>
  <c r="V19" i="6"/>
  <c r="U19" i="6"/>
  <c r="T19" i="6"/>
  <c r="S19" i="6"/>
  <c r="R19" i="6"/>
  <c r="Q19" i="6"/>
  <c r="P19" i="6"/>
  <c r="Z18" i="6"/>
  <c r="AA18" i="6" s="1"/>
  <c r="Y18" i="6"/>
  <c r="X18" i="6"/>
  <c r="W18" i="6"/>
  <c r="V18" i="6"/>
  <c r="U18" i="6"/>
  <c r="T18" i="6"/>
  <c r="S18" i="6"/>
  <c r="R18" i="6"/>
  <c r="Q18" i="6"/>
  <c r="P18" i="6"/>
  <c r="Z17" i="6"/>
  <c r="AA17" i="6" s="1"/>
  <c r="Y17" i="6"/>
  <c r="X17" i="6"/>
  <c r="W17" i="6"/>
  <c r="V17" i="6"/>
  <c r="U17" i="6"/>
  <c r="T17" i="6"/>
  <c r="S17" i="6"/>
  <c r="R17" i="6"/>
  <c r="Q17" i="6"/>
  <c r="P17" i="6"/>
  <c r="Z16" i="6"/>
  <c r="AA16" i="6" s="1"/>
  <c r="Y16" i="6"/>
  <c r="X16" i="6"/>
  <c r="W16" i="6"/>
  <c r="V16" i="6"/>
  <c r="U16" i="6"/>
  <c r="T16" i="6"/>
  <c r="S16" i="6"/>
  <c r="R16" i="6"/>
  <c r="Q16" i="6"/>
  <c r="P16" i="6"/>
  <c r="Z15" i="6"/>
  <c r="AA15" i="6" s="1"/>
  <c r="Y15" i="6"/>
  <c r="X15" i="6"/>
  <c r="W15" i="6"/>
  <c r="V15" i="6"/>
  <c r="U15" i="6"/>
  <c r="T15" i="6"/>
  <c r="S15" i="6"/>
  <c r="R15" i="6"/>
  <c r="Q15" i="6"/>
  <c r="P15" i="6"/>
  <c r="Z14" i="6"/>
  <c r="AA14" i="6" s="1"/>
  <c r="Y14" i="6"/>
  <c r="X14" i="6"/>
  <c r="W14" i="6"/>
  <c r="V14" i="6"/>
  <c r="U14" i="6"/>
  <c r="T14" i="6"/>
  <c r="S14" i="6"/>
  <c r="R14" i="6"/>
  <c r="Q14" i="6"/>
  <c r="P14" i="6"/>
  <c r="Z13" i="6"/>
  <c r="AA13" i="6" s="1"/>
  <c r="Y13" i="6"/>
  <c r="X13" i="6"/>
  <c r="W13" i="6"/>
  <c r="V13" i="6"/>
  <c r="U13" i="6"/>
  <c r="T13" i="6"/>
  <c r="S13" i="6"/>
  <c r="R13" i="6"/>
  <c r="Q13" i="6"/>
  <c r="P13" i="6"/>
  <c r="Z12" i="6"/>
  <c r="AA12" i="6" s="1"/>
  <c r="Y12" i="6"/>
  <c r="X12" i="6"/>
  <c r="W12" i="6"/>
  <c r="V12" i="6"/>
  <c r="U12" i="6"/>
  <c r="T12" i="6"/>
  <c r="S12" i="6"/>
  <c r="R12" i="6"/>
  <c r="Q12" i="6"/>
  <c r="P12" i="6"/>
  <c r="Z11" i="6"/>
  <c r="AA11" i="6" s="1"/>
  <c r="Y11" i="6"/>
  <c r="X11" i="6"/>
  <c r="W11" i="6"/>
  <c r="V11" i="6"/>
  <c r="U11" i="6"/>
  <c r="T11" i="6"/>
  <c r="S11" i="6"/>
  <c r="R11" i="6"/>
  <c r="Q11" i="6"/>
  <c r="P11" i="6"/>
  <c r="Z10" i="6"/>
  <c r="AA10" i="6" s="1"/>
  <c r="Y10" i="6"/>
  <c r="X10" i="6"/>
  <c r="W10" i="6"/>
  <c r="V10" i="6"/>
  <c r="U10" i="6"/>
  <c r="T10" i="6"/>
  <c r="S10" i="6"/>
  <c r="R10" i="6"/>
  <c r="Q10" i="6"/>
  <c r="P10" i="6"/>
  <c r="Z9" i="6"/>
  <c r="AA9" i="6" s="1"/>
  <c r="Y9" i="6"/>
  <c r="X9" i="6"/>
  <c r="W9" i="6"/>
  <c r="V9" i="6"/>
  <c r="U9" i="6"/>
  <c r="T9" i="6"/>
  <c r="S9" i="6"/>
  <c r="R9" i="6"/>
  <c r="Q9" i="6"/>
  <c r="P9" i="6"/>
  <c r="Z8" i="6"/>
  <c r="AA8" i="6" s="1"/>
  <c r="Y8" i="6"/>
  <c r="X8" i="6"/>
  <c r="W8" i="6"/>
  <c r="V8" i="6"/>
  <c r="U8" i="6"/>
  <c r="T8" i="6"/>
  <c r="S8" i="6"/>
  <c r="R8" i="6"/>
  <c r="Q8" i="6"/>
  <c r="P8" i="6"/>
  <c r="Z7" i="6"/>
  <c r="AA7" i="6" s="1"/>
  <c r="Y7" i="6"/>
  <c r="X7" i="6"/>
  <c r="W7" i="6"/>
  <c r="V7" i="6"/>
  <c r="U7" i="6"/>
  <c r="T7" i="6"/>
  <c r="S7" i="6"/>
  <c r="R7" i="6"/>
  <c r="Q7" i="6"/>
  <c r="P7" i="6"/>
  <c r="Z6" i="6"/>
  <c r="AA6" i="6" s="1"/>
  <c r="Y6" i="6"/>
  <c r="X6" i="6"/>
  <c r="W6" i="6"/>
  <c r="V6" i="6"/>
  <c r="U6" i="6"/>
  <c r="T6" i="6"/>
  <c r="S6" i="6"/>
  <c r="R6" i="6"/>
  <c r="Q6" i="6"/>
  <c r="P6" i="6"/>
  <c r="Z5" i="6"/>
  <c r="AA5" i="6" s="1"/>
  <c r="V5" i="6"/>
  <c r="S5" i="6"/>
  <c r="R5" i="6"/>
  <c r="Q5" i="6"/>
  <c r="P5" i="6"/>
  <c r="Z4" i="6"/>
  <c r="AA4" i="6" s="1"/>
  <c r="R4" i="6"/>
  <c r="Q4" i="6"/>
  <c r="P4" i="6"/>
  <c r="C503" i="5"/>
  <c r="B503" i="5"/>
  <c r="C502" i="5"/>
  <c r="B502" i="5"/>
  <c r="C501" i="5"/>
  <c r="B501" i="5"/>
  <c r="C500" i="5"/>
  <c r="B500" i="5"/>
  <c r="C499" i="5"/>
  <c r="B499" i="5"/>
  <c r="C498" i="5"/>
  <c r="B498" i="5"/>
  <c r="C497" i="5"/>
  <c r="B497" i="5"/>
  <c r="C496" i="5"/>
  <c r="B496" i="5"/>
  <c r="C495" i="5"/>
  <c r="B495" i="5"/>
  <c r="C494" i="5"/>
  <c r="B494" i="5"/>
  <c r="C493" i="5"/>
  <c r="B493" i="5"/>
  <c r="C492" i="5"/>
  <c r="B492" i="5"/>
  <c r="C491" i="5"/>
  <c r="B491" i="5"/>
  <c r="C490" i="5"/>
  <c r="B490" i="5"/>
  <c r="C489" i="5"/>
  <c r="B489" i="5"/>
  <c r="C488" i="5"/>
  <c r="B488" i="5"/>
  <c r="C487" i="5"/>
  <c r="B487" i="5"/>
  <c r="C486" i="5"/>
  <c r="B486" i="5"/>
  <c r="C485" i="5"/>
  <c r="B485" i="5"/>
  <c r="C484" i="5"/>
  <c r="B484" i="5"/>
  <c r="C483" i="5"/>
  <c r="B483" i="5"/>
  <c r="C482" i="5"/>
  <c r="B482" i="5"/>
  <c r="C481" i="5"/>
  <c r="B481" i="5"/>
  <c r="C480" i="5"/>
  <c r="B480" i="5"/>
  <c r="C479" i="5"/>
  <c r="B479" i="5"/>
  <c r="C478" i="5"/>
  <c r="B478" i="5"/>
  <c r="C477" i="5"/>
  <c r="B477" i="5"/>
  <c r="C476" i="5"/>
  <c r="B476" i="5"/>
  <c r="C475" i="5"/>
  <c r="B475" i="5"/>
  <c r="C474" i="5"/>
  <c r="B474" i="5"/>
  <c r="C473" i="5"/>
  <c r="B473" i="5"/>
  <c r="C472" i="5"/>
  <c r="B472" i="5"/>
  <c r="C471" i="5"/>
  <c r="B471" i="5"/>
  <c r="C470" i="5"/>
  <c r="B470" i="5"/>
  <c r="C469" i="5"/>
  <c r="B469" i="5"/>
  <c r="C468" i="5"/>
  <c r="B468" i="5"/>
  <c r="C467" i="5"/>
  <c r="B467" i="5"/>
  <c r="C466" i="5"/>
  <c r="B466" i="5"/>
  <c r="C465" i="5"/>
  <c r="B465" i="5"/>
  <c r="C464" i="5"/>
  <c r="B464" i="5"/>
  <c r="C463" i="5"/>
  <c r="B463" i="5"/>
  <c r="C462" i="5"/>
  <c r="B462" i="5"/>
  <c r="C461" i="5"/>
  <c r="B461" i="5"/>
  <c r="C460" i="5"/>
  <c r="B460" i="5"/>
  <c r="C459" i="5"/>
  <c r="B459" i="5"/>
  <c r="C458" i="5"/>
  <c r="B458" i="5"/>
  <c r="C457" i="5"/>
  <c r="B457" i="5"/>
  <c r="C456" i="5"/>
  <c r="B456" i="5"/>
  <c r="C455" i="5"/>
  <c r="B455" i="5"/>
  <c r="C454" i="5"/>
  <c r="B454" i="5"/>
  <c r="C453" i="5"/>
  <c r="B453" i="5"/>
  <c r="C452" i="5"/>
  <c r="B452" i="5"/>
  <c r="C451" i="5"/>
  <c r="B451" i="5"/>
  <c r="C450" i="5"/>
  <c r="B450" i="5"/>
  <c r="C449" i="5"/>
  <c r="B449" i="5"/>
  <c r="C448" i="5"/>
  <c r="B448" i="5"/>
  <c r="C447" i="5"/>
  <c r="B447" i="5"/>
  <c r="C446" i="5"/>
  <c r="B446" i="5"/>
  <c r="C445" i="5"/>
  <c r="B445" i="5"/>
  <c r="C444" i="5"/>
  <c r="B444" i="5"/>
  <c r="C443" i="5"/>
  <c r="B443" i="5"/>
  <c r="C442" i="5"/>
  <c r="B442" i="5"/>
  <c r="C441" i="5"/>
  <c r="B441" i="5"/>
  <c r="C440" i="5"/>
  <c r="B440" i="5"/>
  <c r="C439" i="5"/>
  <c r="B439" i="5"/>
  <c r="C438" i="5"/>
  <c r="B438" i="5"/>
  <c r="C437" i="5"/>
  <c r="B437" i="5"/>
  <c r="C436" i="5"/>
  <c r="B436" i="5"/>
  <c r="C435" i="5"/>
  <c r="B435" i="5"/>
  <c r="C434" i="5"/>
  <c r="B434" i="5"/>
  <c r="C433" i="5"/>
  <c r="B433" i="5"/>
  <c r="C432" i="5"/>
  <c r="B432" i="5"/>
  <c r="C431" i="5"/>
  <c r="B431" i="5"/>
  <c r="C430" i="5"/>
  <c r="B430" i="5"/>
  <c r="C429" i="5"/>
  <c r="B429" i="5"/>
  <c r="C428" i="5"/>
  <c r="B428" i="5"/>
  <c r="C427" i="5"/>
  <c r="B427" i="5"/>
  <c r="C426" i="5"/>
  <c r="B426" i="5"/>
  <c r="C425" i="5"/>
  <c r="B425" i="5"/>
  <c r="C424" i="5"/>
  <c r="B424" i="5"/>
  <c r="C423" i="5"/>
  <c r="B423" i="5"/>
  <c r="C422" i="5"/>
  <c r="B422" i="5"/>
  <c r="C421" i="5"/>
  <c r="B421" i="5"/>
  <c r="C420" i="5"/>
  <c r="B420" i="5"/>
  <c r="C419" i="5"/>
  <c r="B419" i="5"/>
  <c r="C418" i="5"/>
  <c r="B418" i="5"/>
  <c r="C417" i="5"/>
  <c r="B417" i="5"/>
  <c r="C416" i="5"/>
  <c r="B416" i="5"/>
  <c r="C415" i="5"/>
  <c r="B415" i="5"/>
  <c r="C414" i="5"/>
  <c r="B414" i="5"/>
  <c r="C413" i="5"/>
  <c r="B413" i="5"/>
  <c r="C412" i="5"/>
  <c r="B412" i="5"/>
  <c r="C411" i="5"/>
  <c r="B411" i="5"/>
  <c r="C410" i="5"/>
  <c r="B410" i="5"/>
  <c r="C409" i="5"/>
  <c r="B409" i="5"/>
  <c r="C408" i="5"/>
  <c r="B408" i="5"/>
  <c r="C407" i="5"/>
  <c r="B407" i="5"/>
  <c r="C406" i="5"/>
  <c r="B406" i="5"/>
  <c r="C405" i="5"/>
  <c r="B405" i="5"/>
  <c r="C404" i="5"/>
  <c r="B404" i="5"/>
  <c r="C403" i="5"/>
  <c r="B403" i="5"/>
  <c r="C402" i="5"/>
  <c r="B402" i="5"/>
  <c r="C401" i="5"/>
  <c r="B401" i="5"/>
  <c r="C400" i="5"/>
  <c r="B400" i="5"/>
  <c r="C399" i="5"/>
  <c r="B399" i="5"/>
  <c r="C398" i="5"/>
  <c r="B398" i="5"/>
  <c r="C397" i="5"/>
  <c r="B397" i="5"/>
  <c r="C396" i="5"/>
  <c r="B396" i="5"/>
  <c r="C395" i="5"/>
  <c r="B395" i="5"/>
  <c r="C394" i="5"/>
  <c r="B394" i="5"/>
  <c r="C393" i="5"/>
  <c r="B393" i="5"/>
  <c r="C392" i="5"/>
  <c r="B392" i="5"/>
  <c r="C391" i="5"/>
  <c r="B391" i="5"/>
  <c r="C390" i="5"/>
  <c r="B390" i="5"/>
  <c r="C389" i="5"/>
  <c r="B389" i="5"/>
  <c r="C388" i="5"/>
  <c r="B388" i="5"/>
  <c r="C387" i="5"/>
  <c r="B387" i="5"/>
  <c r="C386" i="5"/>
  <c r="B386" i="5"/>
  <c r="C385" i="5"/>
  <c r="B385" i="5"/>
  <c r="C384" i="5"/>
  <c r="B384" i="5"/>
  <c r="C383" i="5"/>
  <c r="B383" i="5"/>
  <c r="C382" i="5"/>
  <c r="B382" i="5"/>
  <c r="C381" i="5"/>
  <c r="B381" i="5"/>
  <c r="C380" i="5"/>
  <c r="B380" i="5"/>
  <c r="C379" i="5"/>
  <c r="B379" i="5"/>
  <c r="C378" i="5"/>
  <c r="B378" i="5"/>
  <c r="C377" i="5"/>
  <c r="B377" i="5"/>
  <c r="C376" i="5"/>
  <c r="B376" i="5"/>
  <c r="C375" i="5"/>
  <c r="B375" i="5"/>
  <c r="C374" i="5"/>
  <c r="B374" i="5"/>
  <c r="C373" i="5"/>
  <c r="B373" i="5"/>
  <c r="C372" i="5"/>
  <c r="B372" i="5"/>
  <c r="C371" i="5"/>
  <c r="B371" i="5"/>
  <c r="C370" i="5"/>
  <c r="B370" i="5"/>
  <c r="C369" i="5"/>
  <c r="B369" i="5"/>
  <c r="C368" i="5"/>
  <c r="B368" i="5"/>
  <c r="C367" i="5"/>
  <c r="B367" i="5"/>
  <c r="C366" i="5"/>
  <c r="B366" i="5"/>
  <c r="C365" i="5"/>
  <c r="B365" i="5"/>
  <c r="C364" i="5"/>
  <c r="B364" i="5"/>
  <c r="C363" i="5"/>
  <c r="B363" i="5"/>
  <c r="C362" i="5"/>
  <c r="B362" i="5"/>
  <c r="C361" i="5"/>
  <c r="B361" i="5"/>
  <c r="C360" i="5"/>
  <c r="B360" i="5"/>
  <c r="C359" i="5"/>
  <c r="B359" i="5"/>
  <c r="C358" i="5"/>
  <c r="B358" i="5"/>
  <c r="C357" i="5"/>
  <c r="B357" i="5"/>
  <c r="C356" i="5"/>
  <c r="B356" i="5"/>
  <c r="C355" i="5"/>
  <c r="B355" i="5"/>
  <c r="C354" i="5"/>
  <c r="B354" i="5"/>
  <c r="C353" i="5"/>
  <c r="B353" i="5"/>
  <c r="C352" i="5"/>
  <c r="B352" i="5"/>
  <c r="C351" i="5"/>
  <c r="B351" i="5"/>
  <c r="C350" i="5"/>
  <c r="B350" i="5"/>
  <c r="C349" i="5"/>
  <c r="B349" i="5"/>
  <c r="C348" i="5"/>
  <c r="B348" i="5"/>
  <c r="C347" i="5"/>
  <c r="B347" i="5"/>
  <c r="C346" i="5"/>
  <c r="B346" i="5"/>
  <c r="C345" i="5"/>
  <c r="B345" i="5"/>
  <c r="C344" i="5"/>
  <c r="B344" i="5"/>
  <c r="C343" i="5"/>
  <c r="B343" i="5"/>
  <c r="C342" i="5"/>
  <c r="B342" i="5"/>
  <c r="C341" i="5"/>
  <c r="B341" i="5"/>
  <c r="C340" i="5"/>
  <c r="B340" i="5"/>
  <c r="C339" i="5"/>
  <c r="B339" i="5"/>
  <c r="C338" i="5"/>
  <c r="B338" i="5"/>
  <c r="C337" i="5"/>
  <c r="B337" i="5"/>
  <c r="C336" i="5"/>
  <c r="B336" i="5"/>
  <c r="C335" i="5"/>
  <c r="B335" i="5"/>
  <c r="C334" i="5"/>
  <c r="B334" i="5"/>
  <c r="C333" i="5"/>
  <c r="B333" i="5"/>
  <c r="C332" i="5"/>
  <c r="B332" i="5"/>
  <c r="C331" i="5"/>
  <c r="B331" i="5"/>
  <c r="C330" i="5"/>
  <c r="B330" i="5"/>
  <c r="C329" i="5"/>
  <c r="B329" i="5"/>
  <c r="C328" i="5"/>
  <c r="B328" i="5"/>
  <c r="C327" i="5"/>
  <c r="B327" i="5"/>
  <c r="C326" i="5"/>
  <c r="B326" i="5"/>
  <c r="C325" i="5"/>
  <c r="B325" i="5"/>
  <c r="C324" i="5"/>
  <c r="B324" i="5"/>
  <c r="C323" i="5"/>
  <c r="B323" i="5"/>
  <c r="C322" i="5"/>
  <c r="B322" i="5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W4" i="6" s="1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W5" i="6" s="1"/>
  <c r="B4" i="5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AI503" i="3"/>
  <c r="AG503" i="3"/>
  <c r="AH503" i="3" s="1"/>
  <c r="AF503" i="3"/>
  <c r="AE503" i="3"/>
  <c r="AI502" i="3"/>
  <c r="AG502" i="3"/>
  <c r="AH502" i="3" s="1"/>
  <c r="AF502" i="3"/>
  <c r="AE502" i="3"/>
  <c r="AI501" i="3"/>
  <c r="AG501" i="3"/>
  <c r="AH501" i="3" s="1"/>
  <c r="AF501" i="3"/>
  <c r="AE501" i="3"/>
  <c r="AI500" i="3"/>
  <c r="AG500" i="3"/>
  <c r="AH500" i="3" s="1"/>
  <c r="AF500" i="3"/>
  <c r="AE500" i="3"/>
  <c r="AI499" i="3"/>
  <c r="AG499" i="3"/>
  <c r="AH499" i="3" s="1"/>
  <c r="AF499" i="3"/>
  <c r="AE499" i="3"/>
  <c r="AI498" i="3"/>
  <c r="AG498" i="3"/>
  <c r="AH498" i="3" s="1"/>
  <c r="AF498" i="3"/>
  <c r="AE498" i="3"/>
  <c r="AI497" i="3"/>
  <c r="AG497" i="3"/>
  <c r="AH497" i="3" s="1"/>
  <c r="AF497" i="3"/>
  <c r="AE497" i="3"/>
  <c r="AI496" i="3"/>
  <c r="AG496" i="3"/>
  <c r="AH496" i="3" s="1"/>
  <c r="AF496" i="3"/>
  <c r="AE496" i="3"/>
  <c r="AI495" i="3"/>
  <c r="AG495" i="3"/>
  <c r="AH495" i="3" s="1"/>
  <c r="AF495" i="3"/>
  <c r="AE495" i="3"/>
  <c r="AI494" i="3"/>
  <c r="AG494" i="3"/>
  <c r="AH494" i="3" s="1"/>
  <c r="AF494" i="3"/>
  <c r="AE494" i="3"/>
  <c r="AI493" i="3"/>
  <c r="AG493" i="3"/>
  <c r="AH493" i="3" s="1"/>
  <c r="AF493" i="3"/>
  <c r="AE493" i="3"/>
  <c r="AI492" i="3"/>
  <c r="AG492" i="3"/>
  <c r="AH492" i="3" s="1"/>
  <c r="AF492" i="3"/>
  <c r="AE492" i="3"/>
  <c r="AI491" i="3"/>
  <c r="AG491" i="3"/>
  <c r="AH491" i="3" s="1"/>
  <c r="AF491" i="3"/>
  <c r="AE491" i="3"/>
  <c r="AI490" i="3"/>
  <c r="AG490" i="3"/>
  <c r="AH490" i="3" s="1"/>
  <c r="AF490" i="3"/>
  <c r="AE490" i="3"/>
  <c r="AI489" i="3"/>
  <c r="AG489" i="3"/>
  <c r="AH489" i="3" s="1"/>
  <c r="AF489" i="3"/>
  <c r="AE489" i="3"/>
  <c r="AI488" i="3"/>
  <c r="AG488" i="3"/>
  <c r="AH488" i="3" s="1"/>
  <c r="AF488" i="3"/>
  <c r="AE488" i="3"/>
  <c r="AI487" i="3"/>
  <c r="AG487" i="3"/>
  <c r="AH487" i="3" s="1"/>
  <c r="AF487" i="3"/>
  <c r="AE487" i="3"/>
  <c r="AI486" i="3"/>
  <c r="AG486" i="3"/>
  <c r="AH486" i="3" s="1"/>
  <c r="AF486" i="3"/>
  <c r="AE486" i="3"/>
  <c r="AI485" i="3"/>
  <c r="AG485" i="3"/>
  <c r="AH485" i="3" s="1"/>
  <c r="AF485" i="3"/>
  <c r="AE485" i="3"/>
  <c r="AI484" i="3"/>
  <c r="AG484" i="3"/>
  <c r="AH484" i="3" s="1"/>
  <c r="AF484" i="3"/>
  <c r="AE484" i="3"/>
  <c r="AI483" i="3"/>
  <c r="AG483" i="3"/>
  <c r="AH483" i="3" s="1"/>
  <c r="AF483" i="3"/>
  <c r="AE483" i="3"/>
  <c r="AI482" i="3"/>
  <c r="AG482" i="3"/>
  <c r="AH482" i="3" s="1"/>
  <c r="AF482" i="3"/>
  <c r="AE482" i="3"/>
  <c r="AI481" i="3"/>
  <c r="AG481" i="3"/>
  <c r="AH481" i="3" s="1"/>
  <c r="AF481" i="3"/>
  <c r="AE481" i="3"/>
  <c r="AI480" i="3"/>
  <c r="AG480" i="3"/>
  <c r="AH480" i="3" s="1"/>
  <c r="AF480" i="3"/>
  <c r="AE480" i="3"/>
  <c r="AI479" i="3"/>
  <c r="AG479" i="3"/>
  <c r="AH479" i="3" s="1"/>
  <c r="AF479" i="3"/>
  <c r="AE479" i="3"/>
  <c r="AI478" i="3"/>
  <c r="AG478" i="3"/>
  <c r="AH478" i="3" s="1"/>
  <c r="AF478" i="3"/>
  <c r="AE478" i="3"/>
  <c r="AI477" i="3"/>
  <c r="AG477" i="3"/>
  <c r="AH477" i="3" s="1"/>
  <c r="AF477" i="3"/>
  <c r="AE477" i="3"/>
  <c r="AI476" i="3"/>
  <c r="AG476" i="3"/>
  <c r="AH476" i="3" s="1"/>
  <c r="AF476" i="3"/>
  <c r="AE476" i="3"/>
  <c r="AI475" i="3"/>
  <c r="AG475" i="3"/>
  <c r="AH475" i="3" s="1"/>
  <c r="AF475" i="3"/>
  <c r="AE475" i="3"/>
  <c r="AI474" i="3"/>
  <c r="AG474" i="3"/>
  <c r="AH474" i="3" s="1"/>
  <c r="AF474" i="3"/>
  <c r="AE474" i="3"/>
  <c r="AI473" i="3"/>
  <c r="AG473" i="3"/>
  <c r="AH473" i="3" s="1"/>
  <c r="AF473" i="3"/>
  <c r="AE473" i="3"/>
  <c r="AI472" i="3"/>
  <c r="AG472" i="3"/>
  <c r="AH472" i="3" s="1"/>
  <c r="AF472" i="3"/>
  <c r="AE472" i="3"/>
  <c r="AI471" i="3"/>
  <c r="AG471" i="3"/>
  <c r="AH471" i="3" s="1"/>
  <c r="AF471" i="3"/>
  <c r="AE471" i="3"/>
  <c r="AI470" i="3"/>
  <c r="AG470" i="3"/>
  <c r="AH470" i="3" s="1"/>
  <c r="AF470" i="3"/>
  <c r="AE470" i="3"/>
  <c r="AI469" i="3"/>
  <c r="AG469" i="3"/>
  <c r="AH469" i="3" s="1"/>
  <c r="AF469" i="3"/>
  <c r="AE469" i="3"/>
  <c r="AI468" i="3"/>
  <c r="AG468" i="3"/>
  <c r="AH468" i="3" s="1"/>
  <c r="AF468" i="3"/>
  <c r="AE468" i="3"/>
  <c r="AI467" i="3"/>
  <c r="AG467" i="3"/>
  <c r="AH467" i="3" s="1"/>
  <c r="AF467" i="3"/>
  <c r="AE467" i="3"/>
  <c r="AI466" i="3"/>
  <c r="AG466" i="3"/>
  <c r="AH466" i="3" s="1"/>
  <c r="AF466" i="3"/>
  <c r="AE466" i="3"/>
  <c r="AI465" i="3"/>
  <c r="AG465" i="3"/>
  <c r="AH465" i="3" s="1"/>
  <c r="AF465" i="3"/>
  <c r="AE465" i="3"/>
  <c r="AI464" i="3"/>
  <c r="AG464" i="3"/>
  <c r="AH464" i="3" s="1"/>
  <c r="AF464" i="3"/>
  <c r="AE464" i="3"/>
  <c r="AI463" i="3"/>
  <c r="AG463" i="3"/>
  <c r="AH463" i="3" s="1"/>
  <c r="AF463" i="3"/>
  <c r="AE463" i="3"/>
  <c r="AI462" i="3"/>
  <c r="AG462" i="3"/>
  <c r="AH462" i="3" s="1"/>
  <c r="AF462" i="3"/>
  <c r="AE462" i="3"/>
  <c r="AI461" i="3"/>
  <c r="AG461" i="3"/>
  <c r="AH461" i="3" s="1"/>
  <c r="AF461" i="3"/>
  <c r="AE461" i="3"/>
  <c r="AI460" i="3"/>
  <c r="AG460" i="3"/>
  <c r="AH460" i="3" s="1"/>
  <c r="AF460" i="3"/>
  <c r="AE460" i="3"/>
  <c r="AI459" i="3"/>
  <c r="AG459" i="3"/>
  <c r="AH459" i="3" s="1"/>
  <c r="AF459" i="3"/>
  <c r="AE459" i="3"/>
  <c r="AI458" i="3"/>
  <c r="AG458" i="3"/>
  <c r="AH458" i="3" s="1"/>
  <c r="AF458" i="3"/>
  <c r="AE458" i="3"/>
  <c r="AI457" i="3"/>
  <c r="AG457" i="3"/>
  <c r="AH457" i="3" s="1"/>
  <c r="AF457" i="3"/>
  <c r="AE457" i="3"/>
  <c r="AI456" i="3"/>
  <c r="AG456" i="3"/>
  <c r="AH456" i="3" s="1"/>
  <c r="AF456" i="3"/>
  <c r="AE456" i="3"/>
  <c r="AI455" i="3"/>
  <c r="AG455" i="3"/>
  <c r="AH455" i="3" s="1"/>
  <c r="AF455" i="3"/>
  <c r="AE455" i="3"/>
  <c r="AI454" i="3"/>
  <c r="AG454" i="3"/>
  <c r="AH454" i="3" s="1"/>
  <c r="AF454" i="3"/>
  <c r="AE454" i="3"/>
  <c r="AI453" i="3"/>
  <c r="AG453" i="3"/>
  <c r="AH453" i="3" s="1"/>
  <c r="AF453" i="3"/>
  <c r="AE453" i="3"/>
  <c r="AI452" i="3"/>
  <c r="AG452" i="3"/>
  <c r="AH452" i="3" s="1"/>
  <c r="AF452" i="3"/>
  <c r="AE452" i="3"/>
  <c r="AI451" i="3"/>
  <c r="AG451" i="3"/>
  <c r="AH451" i="3" s="1"/>
  <c r="AF451" i="3"/>
  <c r="AE451" i="3"/>
  <c r="AI450" i="3"/>
  <c r="AG450" i="3"/>
  <c r="AH450" i="3" s="1"/>
  <c r="AF450" i="3"/>
  <c r="AE450" i="3"/>
  <c r="AI449" i="3"/>
  <c r="AG449" i="3"/>
  <c r="AH449" i="3" s="1"/>
  <c r="AF449" i="3"/>
  <c r="AE449" i="3"/>
  <c r="AI448" i="3"/>
  <c r="AG448" i="3"/>
  <c r="AH448" i="3" s="1"/>
  <c r="AF448" i="3"/>
  <c r="AE448" i="3"/>
  <c r="AI447" i="3"/>
  <c r="AG447" i="3"/>
  <c r="AH447" i="3" s="1"/>
  <c r="AF447" i="3"/>
  <c r="AE447" i="3"/>
  <c r="AI446" i="3"/>
  <c r="AG446" i="3"/>
  <c r="AH446" i="3" s="1"/>
  <c r="AF446" i="3"/>
  <c r="AE446" i="3"/>
  <c r="AI445" i="3"/>
  <c r="AG445" i="3"/>
  <c r="AH445" i="3" s="1"/>
  <c r="AF445" i="3"/>
  <c r="AE445" i="3"/>
  <c r="AI444" i="3"/>
  <c r="AG444" i="3"/>
  <c r="AH444" i="3" s="1"/>
  <c r="AF444" i="3"/>
  <c r="AE444" i="3"/>
  <c r="AI443" i="3"/>
  <c r="AG443" i="3"/>
  <c r="AH443" i="3" s="1"/>
  <c r="AF443" i="3"/>
  <c r="AE443" i="3"/>
  <c r="AI442" i="3"/>
  <c r="AG442" i="3"/>
  <c r="AH442" i="3" s="1"/>
  <c r="AF442" i="3"/>
  <c r="AE442" i="3"/>
  <c r="AI441" i="3"/>
  <c r="AG441" i="3"/>
  <c r="AH441" i="3" s="1"/>
  <c r="AF441" i="3"/>
  <c r="AE441" i="3"/>
  <c r="AI440" i="3"/>
  <c r="AG440" i="3"/>
  <c r="AH440" i="3" s="1"/>
  <c r="AF440" i="3"/>
  <c r="AE440" i="3"/>
  <c r="AI439" i="3"/>
  <c r="AG439" i="3"/>
  <c r="AH439" i="3" s="1"/>
  <c r="AF439" i="3"/>
  <c r="AE439" i="3"/>
  <c r="AI438" i="3"/>
  <c r="AG438" i="3"/>
  <c r="AH438" i="3" s="1"/>
  <c r="AF438" i="3"/>
  <c r="AE438" i="3"/>
  <c r="AI437" i="3"/>
  <c r="AG437" i="3"/>
  <c r="AH437" i="3" s="1"/>
  <c r="AF437" i="3"/>
  <c r="AE437" i="3"/>
  <c r="AI436" i="3"/>
  <c r="AG436" i="3"/>
  <c r="AH436" i="3" s="1"/>
  <c r="AF436" i="3"/>
  <c r="AE436" i="3"/>
  <c r="AI435" i="3"/>
  <c r="AG435" i="3"/>
  <c r="AH435" i="3" s="1"/>
  <c r="AF435" i="3"/>
  <c r="AE435" i="3"/>
  <c r="AI434" i="3"/>
  <c r="AG434" i="3"/>
  <c r="AH434" i="3" s="1"/>
  <c r="AF434" i="3"/>
  <c r="AE434" i="3"/>
  <c r="AI433" i="3"/>
  <c r="AG433" i="3"/>
  <c r="AH433" i="3" s="1"/>
  <c r="AF433" i="3"/>
  <c r="AE433" i="3"/>
  <c r="AI432" i="3"/>
  <c r="AG432" i="3"/>
  <c r="AH432" i="3" s="1"/>
  <c r="AF432" i="3"/>
  <c r="AE432" i="3"/>
  <c r="AI431" i="3"/>
  <c r="AG431" i="3"/>
  <c r="AH431" i="3" s="1"/>
  <c r="AF431" i="3"/>
  <c r="AE431" i="3"/>
  <c r="AI430" i="3"/>
  <c r="AG430" i="3"/>
  <c r="AH430" i="3" s="1"/>
  <c r="AF430" i="3"/>
  <c r="AE430" i="3"/>
  <c r="AI429" i="3"/>
  <c r="AG429" i="3"/>
  <c r="AH429" i="3" s="1"/>
  <c r="AF429" i="3"/>
  <c r="AE429" i="3"/>
  <c r="AI428" i="3"/>
  <c r="AG428" i="3"/>
  <c r="AH428" i="3" s="1"/>
  <c r="AF428" i="3"/>
  <c r="AE428" i="3"/>
  <c r="AI427" i="3"/>
  <c r="AG427" i="3"/>
  <c r="AH427" i="3" s="1"/>
  <c r="AF427" i="3"/>
  <c r="AE427" i="3"/>
  <c r="AI426" i="3"/>
  <c r="AG426" i="3"/>
  <c r="AH426" i="3" s="1"/>
  <c r="AF426" i="3"/>
  <c r="AE426" i="3"/>
  <c r="AI425" i="3"/>
  <c r="AG425" i="3"/>
  <c r="AH425" i="3" s="1"/>
  <c r="AF425" i="3"/>
  <c r="AE425" i="3"/>
  <c r="AI424" i="3"/>
  <c r="AG424" i="3"/>
  <c r="AH424" i="3" s="1"/>
  <c r="AF424" i="3"/>
  <c r="AE424" i="3"/>
  <c r="AI423" i="3"/>
  <c r="AG423" i="3"/>
  <c r="AH423" i="3" s="1"/>
  <c r="AF423" i="3"/>
  <c r="AE423" i="3"/>
  <c r="AI422" i="3"/>
  <c r="AG422" i="3"/>
  <c r="AH422" i="3" s="1"/>
  <c r="AF422" i="3"/>
  <c r="AE422" i="3"/>
  <c r="AI421" i="3"/>
  <c r="AG421" i="3"/>
  <c r="AH421" i="3" s="1"/>
  <c r="AF421" i="3"/>
  <c r="AE421" i="3"/>
  <c r="AI420" i="3"/>
  <c r="AG420" i="3"/>
  <c r="AH420" i="3" s="1"/>
  <c r="AF420" i="3"/>
  <c r="AE420" i="3"/>
  <c r="AI419" i="3"/>
  <c r="AG419" i="3"/>
  <c r="AH419" i="3" s="1"/>
  <c r="AF419" i="3"/>
  <c r="AE419" i="3"/>
  <c r="AI418" i="3"/>
  <c r="AG418" i="3"/>
  <c r="AH418" i="3" s="1"/>
  <c r="AF418" i="3"/>
  <c r="AE418" i="3"/>
  <c r="AI417" i="3"/>
  <c r="AG417" i="3"/>
  <c r="AH417" i="3" s="1"/>
  <c r="AF417" i="3"/>
  <c r="AE417" i="3"/>
  <c r="AI416" i="3"/>
  <c r="AG416" i="3"/>
  <c r="AH416" i="3" s="1"/>
  <c r="AF416" i="3"/>
  <c r="AE416" i="3"/>
  <c r="AI415" i="3"/>
  <c r="AG415" i="3"/>
  <c r="AH415" i="3" s="1"/>
  <c r="AF415" i="3"/>
  <c r="AE415" i="3"/>
  <c r="AI414" i="3"/>
  <c r="AG414" i="3"/>
  <c r="AH414" i="3" s="1"/>
  <c r="AF414" i="3"/>
  <c r="AE414" i="3"/>
  <c r="AI413" i="3"/>
  <c r="AG413" i="3"/>
  <c r="AH413" i="3" s="1"/>
  <c r="AF413" i="3"/>
  <c r="AE413" i="3"/>
  <c r="AI412" i="3"/>
  <c r="AG412" i="3"/>
  <c r="AH412" i="3" s="1"/>
  <c r="AF412" i="3"/>
  <c r="AE412" i="3"/>
  <c r="AI411" i="3"/>
  <c r="AG411" i="3"/>
  <c r="AH411" i="3" s="1"/>
  <c r="AF411" i="3"/>
  <c r="AE411" i="3"/>
  <c r="AI410" i="3"/>
  <c r="AG410" i="3"/>
  <c r="AH410" i="3" s="1"/>
  <c r="AF410" i="3"/>
  <c r="AE410" i="3"/>
  <c r="AI409" i="3"/>
  <c r="AG409" i="3"/>
  <c r="AH409" i="3" s="1"/>
  <c r="AF409" i="3"/>
  <c r="AE409" i="3"/>
  <c r="AI408" i="3"/>
  <c r="AG408" i="3"/>
  <c r="AH408" i="3" s="1"/>
  <c r="AF408" i="3"/>
  <c r="AE408" i="3"/>
  <c r="AI407" i="3"/>
  <c r="AG407" i="3"/>
  <c r="AH407" i="3" s="1"/>
  <c r="AF407" i="3"/>
  <c r="AE407" i="3"/>
  <c r="AI406" i="3"/>
  <c r="AG406" i="3"/>
  <c r="AH406" i="3" s="1"/>
  <c r="AF406" i="3"/>
  <c r="AE406" i="3"/>
  <c r="AI405" i="3"/>
  <c r="AG405" i="3"/>
  <c r="AH405" i="3" s="1"/>
  <c r="AF405" i="3"/>
  <c r="AE405" i="3"/>
  <c r="AI404" i="3"/>
  <c r="AG404" i="3"/>
  <c r="AH404" i="3" s="1"/>
  <c r="AF404" i="3"/>
  <c r="AE404" i="3"/>
  <c r="AI403" i="3"/>
  <c r="AG403" i="3"/>
  <c r="AH403" i="3" s="1"/>
  <c r="AF403" i="3"/>
  <c r="AE403" i="3"/>
  <c r="AI402" i="3"/>
  <c r="AG402" i="3"/>
  <c r="AH402" i="3" s="1"/>
  <c r="AF402" i="3"/>
  <c r="AE402" i="3"/>
  <c r="AI401" i="3"/>
  <c r="AG401" i="3"/>
  <c r="AH401" i="3" s="1"/>
  <c r="AF401" i="3"/>
  <c r="AE401" i="3"/>
  <c r="AI400" i="3"/>
  <c r="AG400" i="3"/>
  <c r="AH400" i="3" s="1"/>
  <c r="AF400" i="3"/>
  <c r="AE400" i="3"/>
  <c r="AI399" i="3"/>
  <c r="AG399" i="3"/>
  <c r="AH399" i="3" s="1"/>
  <c r="AF399" i="3"/>
  <c r="AE399" i="3"/>
  <c r="AI398" i="3"/>
  <c r="AG398" i="3"/>
  <c r="AH398" i="3" s="1"/>
  <c r="AF398" i="3"/>
  <c r="AE398" i="3"/>
  <c r="AI397" i="3"/>
  <c r="AG397" i="3"/>
  <c r="AH397" i="3" s="1"/>
  <c r="AF397" i="3"/>
  <c r="AE397" i="3"/>
  <c r="AI396" i="3"/>
  <c r="AG396" i="3"/>
  <c r="AH396" i="3" s="1"/>
  <c r="AF396" i="3"/>
  <c r="AE396" i="3"/>
  <c r="AI395" i="3"/>
  <c r="AG395" i="3"/>
  <c r="AH395" i="3" s="1"/>
  <c r="AF395" i="3"/>
  <c r="AE395" i="3"/>
  <c r="AI394" i="3"/>
  <c r="AG394" i="3"/>
  <c r="AH394" i="3" s="1"/>
  <c r="AF394" i="3"/>
  <c r="AE394" i="3"/>
  <c r="AI393" i="3"/>
  <c r="AG393" i="3"/>
  <c r="AH393" i="3" s="1"/>
  <c r="AF393" i="3"/>
  <c r="AE393" i="3"/>
  <c r="AI392" i="3"/>
  <c r="AG392" i="3"/>
  <c r="AH392" i="3" s="1"/>
  <c r="AF392" i="3"/>
  <c r="AE392" i="3"/>
  <c r="AI391" i="3"/>
  <c r="AG391" i="3"/>
  <c r="AH391" i="3" s="1"/>
  <c r="AF391" i="3"/>
  <c r="AE391" i="3"/>
  <c r="AI390" i="3"/>
  <c r="AG390" i="3"/>
  <c r="AH390" i="3" s="1"/>
  <c r="AF390" i="3"/>
  <c r="AE390" i="3"/>
  <c r="AI389" i="3"/>
  <c r="AG389" i="3"/>
  <c r="AH389" i="3" s="1"/>
  <c r="AF389" i="3"/>
  <c r="AE389" i="3"/>
  <c r="AI388" i="3"/>
  <c r="AG388" i="3"/>
  <c r="AH388" i="3" s="1"/>
  <c r="AF388" i="3"/>
  <c r="AE388" i="3"/>
  <c r="AI387" i="3"/>
  <c r="AG387" i="3"/>
  <c r="AH387" i="3" s="1"/>
  <c r="AF387" i="3"/>
  <c r="AE387" i="3"/>
  <c r="AI386" i="3"/>
  <c r="AG386" i="3"/>
  <c r="AH386" i="3" s="1"/>
  <c r="AF386" i="3"/>
  <c r="AE386" i="3"/>
  <c r="AI385" i="3"/>
  <c r="AG385" i="3"/>
  <c r="AH385" i="3" s="1"/>
  <c r="AF385" i="3"/>
  <c r="AE385" i="3"/>
  <c r="AI384" i="3"/>
  <c r="AG384" i="3"/>
  <c r="AH384" i="3" s="1"/>
  <c r="AF384" i="3"/>
  <c r="AE384" i="3"/>
  <c r="AI383" i="3"/>
  <c r="AG383" i="3"/>
  <c r="AH383" i="3" s="1"/>
  <c r="AF383" i="3"/>
  <c r="AE383" i="3"/>
  <c r="AI382" i="3"/>
  <c r="AG382" i="3"/>
  <c r="AH382" i="3" s="1"/>
  <c r="AF382" i="3"/>
  <c r="AE382" i="3"/>
  <c r="AI381" i="3"/>
  <c r="AG381" i="3"/>
  <c r="AH381" i="3" s="1"/>
  <c r="AF381" i="3"/>
  <c r="AE381" i="3"/>
  <c r="AI380" i="3"/>
  <c r="AG380" i="3"/>
  <c r="AH380" i="3" s="1"/>
  <c r="AF380" i="3"/>
  <c r="AE380" i="3"/>
  <c r="AI379" i="3"/>
  <c r="AG379" i="3"/>
  <c r="AH379" i="3" s="1"/>
  <c r="AF379" i="3"/>
  <c r="AE379" i="3"/>
  <c r="AI378" i="3"/>
  <c r="AG378" i="3"/>
  <c r="AH378" i="3" s="1"/>
  <c r="AF378" i="3"/>
  <c r="AE378" i="3"/>
  <c r="AI377" i="3"/>
  <c r="AG377" i="3"/>
  <c r="AH377" i="3" s="1"/>
  <c r="AF377" i="3"/>
  <c r="AE377" i="3"/>
  <c r="AI376" i="3"/>
  <c r="AG376" i="3"/>
  <c r="AH376" i="3" s="1"/>
  <c r="AF376" i="3"/>
  <c r="AE376" i="3"/>
  <c r="AI375" i="3"/>
  <c r="AG375" i="3"/>
  <c r="AH375" i="3" s="1"/>
  <c r="AF375" i="3"/>
  <c r="AE375" i="3"/>
  <c r="AI374" i="3"/>
  <c r="AG374" i="3"/>
  <c r="AH374" i="3" s="1"/>
  <c r="AF374" i="3"/>
  <c r="AE374" i="3"/>
  <c r="AI373" i="3"/>
  <c r="AG373" i="3"/>
  <c r="AH373" i="3" s="1"/>
  <c r="AF373" i="3"/>
  <c r="AE373" i="3"/>
  <c r="AI372" i="3"/>
  <c r="AG372" i="3"/>
  <c r="AH372" i="3" s="1"/>
  <c r="AF372" i="3"/>
  <c r="AE372" i="3"/>
  <c r="AI371" i="3"/>
  <c r="AG371" i="3"/>
  <c r="AH371" i="3" s="1"/>
  <c r="AF371" i="3"/>
  <c r="AE371" i="3"/>
  <c r="AI370" i="3"/>
  <c r="AG370" i="3"/>
  <c r="AH370" i="3" s="1"/>
  <c r="AF370" i="3"/>
  <c r="AE370" i="3"/>
  <c r="AI369" i="3"/>
  <c r="AG369" i="3"/>
  <c r="AH369" i="3" s="1"/>
  <c r="AF369" i="3"/>
  <c r="AE369" i="3"/>
  <c r="AI368" i="3"/>
  <c r="AG368" i="3"/>
  <c r="AH368" i="3" s="1"/>
  <c r="AF368" i="3"/>
  <c r="AE368" i="3"/>
  <c r="AI367" i="3"/>
  <c r="AG367" i="3"/>
  <c r="AH367" i="3" s="1"/>
  <c r="AF367" i="3"/>
  <c r="AE367" i="3"/>
  <c r="AI366" i="3"/>
  <c r="AG366" i="3"/>
  <c r="AH366" i="3" s="1"/>
  <c r="AF366" i="3"/>
  <c r="AE366" i="3"/>
  <c r="AI365" i="3"/>
  <c r="AG365" i="3"/>
  <c r="AH365" i="3" s="1"/>
  <c r="AF365" i="3"/>
  <c r="AE365" i="3"/>
  <c r="AI364" i="3"/>
  <c r="AG364" i="3"/>
  <c r="AH364" i="3" s="1"/>
  <c r="AF364" i="3"/>
  <c r="AE364" i="3"/>
  <c r="AI363" i="3"/>
  <c r="AG363" i="3"/>
  <c r="AH363" i="3" s="1"/>
  <c r="AF363" i="3"/>
  <c r="AE363" i="3"/>
  <c r="AI362" i="3"/>
  <c r="AG362" i="3"/>
  <c r="AH362" i="3" s="1"/>
  <c r="AF362" i="3"/>
  <c r="AE362" i="3"/>
  <c r="AI361" i="3"/>
  <c r="AG361" i="3"/>
  <c r="AH361" i="3" s="1"/>
  <c r="AF361" i="3"/>
  <c r="AE361" i="3"/>
  <c r="AI360" i="3"/>
  <c r="AG360" i="3"/>
  <c r="AH360" i="3" s="1"/>
  <c r="AF360" i="3"/>
  <c r="AE360" i="3"/>
  <c r="AI359" i="3"/>
  <c r="AG359" i="3"/>
  <c r="AH359" i="3" s="1"/>
  <c r="AF359" i="3"/>
  <c r="AE359" i="3"/>
  <c r="AI358" i="3"/>
  <c r="AG358" i="3"/>
  <c r="AH358" i="3" s="1"/>
  <c r="AF358" i="3"/>
  <c r="AE358" i="3"/>
  <c r="AI357" i="3"/>
  <c r="AG357" i="3"/>
  <c r="AH357" i="3" s="1"/>
  <c r="AF357" i="3"/>
  <c r="AE357" i="3"/>
  <c r="AI356" i="3"/>
  <c r="AG356" i="3"/>
  <c r="AH356" i="3" s="1"/>
  <c r="AF356" i="3"/>
  <c r="AE356" i="3"/>
  <c r="AI355" i="3"/>
  <c r="AG355" i="3"/>
  <c r="AH355" i="3" s="1"/>
  <c r="AF355" i="3"/>
  <c r="AE355" i="3"/>
  <c r="AI354" i="3"/>
  <c r="AG354" i="3"/>
  <c r="AH354" i="3" s="1"/>
  <c r="AF354" i="3"/>
  <c r="AE354" i="3"/>
  <c r="AI353" i="3"/>
  <c r="AG353" i="3"/>
  <c r="AH353" i="3" s="1"/>
  <c r="AF353" i="3"/>
  <c r="AE353" i="3"/>
  <c r="AI352" i="3"/>
  <c r="AG352" i="3"/>
  <c r="AH352" i="3" s="1"/>
  <c r="AF352" i="3"/>
  <c r="AE352" i="3"/>
  <c r="AI351" i="3"/>
  <c r="AG351" i="3"/>
  <c r="AH351" i="3" s="1"/>
  <c r="AF351" i="3"/>
  <c r="AE351" i="3"/>
  <c r="AI350" i="3"/>
  <c r="AG350" i="3"/>
  <c r="AH350" i="3" s="1"/>
  <c r="AF350" i="3"/>
  <c r="AE350" i="3"/>
  <c r="AI349" i="3"/>
  <c r="AG349" i="3"/>
  <c r="AH349" i="3" s="1"/>
  <c r="AF349" i="3"/>
  <c r="AE349" i="3"/>
  <c r="AI348" i="3"/>
  <c r="AG348" i="3"/>
  <c r="AH348" i="3" s="1"/>
  <c r="AF348" i="3"/>
  <c r="AE348" i="3"/>
  <c r="AI347" i="3"/>
  <c r="AG347" i="3"/>
  <c r="AH347" i="3" s="1"/>
  <c r="AF347" i="3"/>
  <c r="AE347" i="3"/>
  <c r="AI346" i="3"/>
  <c r="AG346" i="3"/>
  <c r="AH346" i="3" s="1"/>
  <c r="AF346" i="3"/>
  <c r="AE346" i="3"/>
  <c r="AI345" i="3"/>
  <c r="AG345" i="3"/>
  <c r="AH345" i="3" s="1"/>
  <c r="AF345" i="3"/>
  <c r="AE345" i="3"/>
  <c r="AI344" i="3"/>
  <c r="AG344" i="3"/>
  <c r="AH344" i="3" s="1"/>
  <c r="AF344" i="3"/>
  <c r="AE344" i="3"/>
  <c r="AI343" i="3"/>
  <c r="AG343" i="3"/>
  <c r="AH343" i="3" s="1"/>
  <c r="AF343" i="3"/>
  <c r="AE343" i="3"/>
  <c r="AI342" i="3"/>
  <c r="AG342" i="3"/>
  <c r="AH342" i="3" s="1"/>
  <c r="AF342" i="3"/>
  <c r="AE342" i="3"/>
  <c r="AI341" i="3"/>
  <c r="AG341" i="3"/>
  <c r="AH341" i="3" s="1"/>
  <c r="AF341" i="3"/>
  <c r="AE341" i="3"/>
  <c r="AI340" i="3"/>
  <c r="AG340" i="3"/>
  <c r="AH340" i="3" s="1"/>
  <c r="AF340" i="3"/>
  <c r="AE340" i="3"/>
  <c r="AI339" i="3"/>
  <c r="AG339" i="3"/>
  <c r="AH339" i="3" s="1"/>
  <c r="AF339" i="3"/>
  <c r="AE339" i="3"/>
  <c r="AI338" i="3"/>
  <c r="AG338" i="3"/>
  <c r="AH338" i="3" s="1"/>
  <c r="AF338" i="3"/>
  <c r="AE338" i="3"/>
  <c r="AI337" i="3"/>
  <c r="AG337" i="3"/>
  <c r="AH337" i="3" s="1"/>
  <c r="AF337" i="3"/>
  <c r="AE337" i="3"/>
  <c r="AI336" i="3"/>
  <c r="AG336" i="3"/>
  <c r="AH336" i="3" s="1"/>
  <c r="AF336" i="3"/>
  <c r="AE336" i="3"/>
  <c r="AI335" i="3"/>
  <c r="AG335" i="3"/>
  <c r="AH335" i="3" s="1"/>
  <c r="AF335" i="3"/>
  <c r="AE335" i="3"/>
  <c r="AI334" i="3"/>
  <c r="AG334" i="3"/>
  <c r="AH334" i="3" s="1"/>
  <c r="AF334" i="3"/>
  <c r="AE334" i="3"/>
  <c r="AI333" i="3"/>
  <c r="AG333" i="3"/>
  <c r="AH333" i="3" s="1"/>
  <c r="AF333" i="3"/>
  <c r="AE333" i="3"/>
  <c r="AI332" i="3"/>
  <c r="AG332" i="3"/>
  <c r="AH332" i="3" s="1"/>
  <c r="AF332" i="3"/>
  <c r="AE332" i="3"/>
  <c r="AI331" i="3"/>
  <c r="AG331" i="3"/>
  <c r="AH331" i="3" s="1"/>
  <c r="AF331" i="3"/>
  <c r="AE331" i="3"/>
  <c r="AI330" i="3"/>
  <c r="AG330" i="3"/>
  <c r="AH330" i="3" s="1"/>
  <c r="AF330" i="3"/>
  <c r="AE330" i="3"/>
  <c r="AI329" i="3"/>
  <c r="AG329" i="3"/>
  <c r="AH329" i="3" s="1"/>
  <c r="AF329" i="3"/>
  <c r="AE329" i="3"/>
  <c r="AI328" i="3"/>
  <c r="AG328" i="3"/>
  <c r="AH328" i="3" s="1"/>
  <c r="AF328" i="3"/>
  <c r="AE328" i="3"/>
  <c r="AI327" i="3"/>
  <c r="AG327" i="3"/>
  <c r="AH327" i="3" s="1"/>
  <c r="AF327" i="3"/>
  <c r="AE327" i="3"/>
  <c r="AI326" i="3"/>
  <c r="AG326" i="3"/>
  <c r="AH326" i="3" s="1"/>
  <c r="AF326" i="3"/>
  <c r="AE326" i="3"/>
  <c r="AI325" i="3"/>
  <c r="AG325" i="3"/>
  <c r="AH325" i="3" s="1"/>
  <c r="AF325" i="3"/>
  <c r="AE325" i="3"/>
  <c r="AI324" i="3"/>
  <c r="AG324" i="3"/>
  <c r="AH324" i="3" s="1"/>
  <c r="AF324" i="3"/>
  <c r="AE324" i="3"/>
  <c r="AI323" i="3"/>
  <c r="AG323" i="3"/>
  <c r="AH323" i="3" s="1"/>
  <c r="AF323" i="3"/>
  <c r="AE323" i="3"/>
  <c r="AI322" i="3"/>
  <c r="AG322" i="3"/>
  <c r="AH322" i="3" s="1"/>
  <c r="AF322" i="3"/>
  <c r="AE322" i="3"/>
  <c r="AI321" i="3"/>
  <c r="AG321" i="3"/>
  <c r="AH321" i="3" s="1"/>
  <c r="AF321" i="3"/>
  <c r="AE321" i="3"/>
  <c r="AI320" i="3"/>
  <c r="AG320" i="3"/>
  <c r="AH320" i="3" s="1"/>
  <c r="AF320" i="3"/>
  <c r="AE320" i="3"/>
  <c r="AI319" i="3"/>
  <c r="AG319" i="3"/>
  <c r="AH319" i="3" s="1"/>
  <c r="AF319" i="3"/>
  <c r="AE319" i="3"/>
  <c r="AI318" i="3"/>
  <c r="AG318" i="3"/>
  <c r="AH318" i="3" s="1"/>
  <c r="AF318" i="3"/>
  <c r="AE318" i="3"/>
  <c r="AI317" i="3"/>
  <c r="AG317" i="3"/>
  <c r="AH317" i="3" s="1"/>
  <c r="AF317" i="3"/>
  <c r="AE317" i="3"/>
  <c r="AI316" i="3"/>
  <c r="AG316" i="3"/>
  <c r="AH316" i="3" s="1"/>
  <c r="AF316" i="3"/>
  <c r="AE316" i="3"/>
  <c r="AI315" i="3"/>
  <c r="AG315" i="3"/>
  <c r="AH315" i="3" s="1"/>
  <c r="AF315" i="3"/>
  <c r="AE315" i="3"/>
  <c r="AI314" i="3"/>
  <c r="AG314" i="3"/>
  <c r="AH314" i="3" s="1"/>
  <c r="AF314" i="3"/>
  <c r="AE314" i="3"/>
  <c r="AI313" i="3"/>
  <c r="AG313" i="3"/>
  <c r="AH313" i="3" s="1"/>
  <c r="AF313" i="3"/>
  <c r="AE313" i="3"/>
  <c r="AI312" i="3"/>
  <c r="AG312" i="3"/>
  <c r="AH312" i="3" s="1"/>
  <c r="AF312" i="3"/>
  <c r="AE312" i="3"/>
  <c r="AI311" i="3"/>
  <c r="AG311" i="3"/>
  <c r="AH311" i="3" s="1"/>
  <c r="AF311" i="3"/>
  <c r="AE311" i="3"/>
  <c r="AI310" i="3"/>
  <c r="AG310" i="3"/>
  <c r="AH310" i="3" s="1"/>
  <c r="AF310" i="3"/>
  <c r="AE310" i="3"/>
  <c r="AI309" i="3"/>
  <c r="AG309" i="3"/>
  <c r="AH309" i="3" s="1"/>
  <c r="AF309" i="3"/>
  <c r="AE309" i="3"/>
  <c r="AI308" i="3"/>
  <c r="AG308" i="3"/>
  <c r="AH308" i="3" s="1"/>
  <c r="AF308" i="3"/>
  <c r="AE308" i="3"/>
  <c r="AI307" i="3"/>
  <c r="AG307" i="3"/>
  <c r="AH307" i="3" s="1"/>
  <c r="AF307" i="3"/>
  <c r="AE307" i="3"/>
  <c r="AI306" i="3"/>
  <c r="AG306" i="3"/>
  <c r="AH306" i="3" s="1"/>
  <c r="AF306" i="3"/>
  <c r="AE306" i="3"/>
  <c r="AI305" i="3"/>
  <c r="AG305" i="3"/>
  <c r="AH305" i="3" s="1"/>
  <c r="AF305" i="3"/>
  <c r="AE305" i="3"/>
  <c r="AI304" i="3"/>
  <c r="AG304" i="3"/>
  <c r="AH304" i="3" s="1"/>
  <c r="AF304" i="3"/>
  <c r="AE304" i="3"/>
  <c r="AI303" i="3"/>
  <c r="AG303" i="3"/>
  <c r="AH303" i="3" s="1"/>
  <c r="AF303" i="3"/>
  <c r="AE303" i="3"/>
  <c r="AI302" i="3"/>
  <c r="AG302" i="3"/>
  <c r="AH302" i="3" s="1"/>
  <c r="AF302" i="3"/>
  <c r="AE302" i="3"/>
  <c r="AI301" i="3"/>
  <c r="AG301" i="3"/>
  <c r="AH301" i="3" s="1"/>
  <c r="AF301" i="3"/>
  <c r="AE301" i="3"/>
  <c r="AI300" i="3"/>
  <c r="AG300" i="3"/>
  <c r="AH300" i="3" s="1"/>
  <c r="AF300" i="3"/>
  <c r="AE300" i="3"/>
  <c r="AI299" i="3"/>
  <c r="AG299" i="3"/>
  <c r="AH299" i="3" s="1"/>
  <c r="AF299" i="3"/>
  <c r="AE299" i="3"/>
  <c r="AI298" i="3"/>
  <c r="AG298" i="3"/>
  <c r="AH298" i="3" s="1"/>
  <c r="AF298" i="3"/>
  <c r="AE298" i="3"/>
  <c r="AI297" i="3"/>
  <c r="AG297" i="3"/>
  <c r="AH297" i="3" s="1"/>
  <c r="AF297" i="3"/>
  <c r="AE297" i="3"/>
  <c r="AI296" i="3"/>
  <c r="AG296" i="3"/>
  <c r="AH296" i="3" s="1"/>
  <c r="AF296" i="3"/>
  <c r="AE296" i="3"/>
  <c r="AI295" i="3"/>
  <c r="AG295" i="3"/>
  <c r="AH295" i="3" s="1"/>
  <c r="AF295" i="3"/>
  <c r="AE295" i="3"/>
  <c r="AI294" i="3"/>
  <c r="AG294" i="3"/>
  <c r="AH294" i="3" s="1"/>
  <c r="AF294" i="3"/>
  <c r="AE294" i="3"/>
  <c r="AI293" i="3"/>
  <c r="AG293" i="3"/>
  <c r="AH293" i="3" s="1"/>
  <c r="AF293" i="3"/>
  <c r="AE293" i="3"/>
  <c r="AI292" i="3"/>
  <c r="AG292" i="3"/>
  <c r="AH292" i="3" s="1"/>
  <c r="AF292" i="3"/>
  <c r="AE292" i="3"/>
  <c r="AI291" i="3"/>
  <c r="AG291" i="3"/>
  <c r="AH291" i="3" s="1"/>
  <c r="AF291" i="3"/>
  <c r="AE291" i="3"/>
  <c r="AI290" i="3"/>
  <c r="AG290" i="3"/>
  <c r="AH290" i="3" s="1"/>
  <c r="AF290" i="3"/>
  <c r="AE290" i="3"/>
  <c r="AI289" i="3"/>
  <c r="AG289" i="3"/>
  <c r="AH289" i="3" s="1"/>
  <c r="AF289" i="3"/>
  <c r="AE289" i="3"/>
  <c r="AI288" i="3"/>
  <c r="AG288" i="3"/>
  <c r="AH288" i="3" s="1"/>
  <c r="AF288" i="3"/>
  <c r="AE288" i="3"/>
  <c r="AI287" i="3"/>
  <c r="AG287" i="3"/>
  <c r="AH287" i="3" s="1"/>
  <c r="AF287" i="3"/>
  <c r="AE287" i="3"/>
  <c r="AI286" i="3"/>
  <c r="AG286" i="3"/>
  <c r="AH286" i="3" s="1"/>
  <c r="AF286" i="3"/>
  <c r="AE286" i="3"/>
  <c r="AI285" i="3"/>
  <c r="AG285" i="3"/>
  <c r="AH285" i="3" s="1"/>
  <c r="AF285" i="3"/>
  <c r="AE285" i="3"/>
  <c r="AI284" i="3"/>
  <c r="AG284" i="3"/>
  <c r="AH284" i="3" s="1"/>
  <c r="AF284" i="3"/>
  <c r="AE284" i="3"/>
  <c r="AI283" i="3"/>
  <c r="AG283" i="3"/>
  <c r="AH283" i="3" s="1"/>
  <c r="AF283" i="3"/>
  <c r="AE283" i="3"/>
  <c r="AI282" i="3"/>
  <c r="AG282" i="3"/>
  <c r="AH282" i="3" s="1"/>
  <c r="AF282" i="3"/>
  <c r="AE282" i="3"/>
  <c r="AI281" i="3"/>
  <c r="AG281" i="3"/>
  <c r="AH281" i="3" s="1"/>
  <c r="AF281" i="3"/>
  <c r="AE281" i="3"/>
  <c r="AI280" i="3"/>
  <c r="AG280" i="3"/>
  <c r="AH280" i="3" s="1"/>
  <c r="AF280" i="3"/>
  <c r="AE280" i="3"/>
  <c r="AI279" i="3"/>
  <c r="AG279" i="3"/>
  <c r="AH279" i="3" s="1"/>
  <c r="AF279" i="3"/>
  <c r="AE279" i="3"/>
  <c r="AI278" i="3"/>
  <c r="AG278" i="3"/>
  <c r="AH278" i="3" s="1"/>
  <c r="AF278" i="3"/>
  <c r="AE278" i="3"/>
  <c r="AI277" i="3"/>
  <c r="AG277" i="3"/>
  <c r="AH277" i="3" s="1"/>
  <c r="AF277" i="3"/>
  <c r="AE277" i="3"/>
  <c r="AI276" i="3"/>
  <c r="AG276" i="3"/>
  <c r="AH276" i="3" s="1"/>
  <c r="AF276" i="3"/>
  <c r="AE276" i="3"/>
  <c r="AI275" i="3"/>
  <c r="AG275" i="3"/>
  <c r="AH275" i="3" s="1"/>
  <c r="AF275" i="3"/>
  <c r="AE275" i="3"/>
  <c r="AI274" i="3"/>
  <c r="AG274" i="3"/>
  <c r="AH274" i="3" s="1"/>
  <c r="AF274" i="3"/>
  <c r="AE274" i="3"/>
  <c r="AI273" i="3"/>
  <c r="AG273" i="3"/>
  <c r="AH273" i="3" s="1"/>
  <c r="AF273" i="3"/>
  <c r="AE273" i="3"/>
  <c r="AI272" i="3"/>
  <c r="AG272" i="3"/>
  <c r="AH272" i="3" s="1"/>
  <c r="AF272" i="3"/>
  <c r="AE272" i="3"/>
  <c r="AI271" i="3"/>
  <c r="AG271" i="3"/>
  <c r="AH271" i="3" s="1"/>
  <c r="AF271" i="3"/>
  <c r="AE271" i="3"/>
  <c r="AI270" i="3"/>
  <c r="AG270" i="3"/>
  <c r="AH270" i="3" s="1"/>
  <c r="AF270" i="3"/>
  <c r="AE270" i="3"/>
  <c r="AI269" i="3"/>
  <c r="AG269" i="3"/>
  <c r="AH269" i="3" s="1"/>
  <c r="AF269" i="3"/>
  <c r="AE269" i="3"/>
  <c r="AI268" i="3"/>
  <c r="AG268" i="3"/>
  <c r="AH268" i="3" s="1"/>
  <c r="AF268" i="3"/>
  <c r="AE268" i="3"/>
  <c r="AI267" i="3"/>
  <c r="AG267" i="3"/>
  <c r="AH267" i="3" s="1"/>
  <c r="AF267" i="3"/>
  <c r="AE267" i="3"/>
  <c r="AI266" i="3"/>
  <c r="AG266" i="3"/>
  <c r="AH266" i="3" s="1"/>
  <c r="AF266" i="3"/>
  <c r="AE266" i="3"/>
  <c r="AI265" i="3"/>
  <c r="AG265" i="3"/>
  <c r="AH265" i="3" s="1"/>
  <c r="AF265" i="3"/>
  <c r="AE265" i="3"/>
  <c r="AI264" i="3"/>
  <c r="AG264" i="3"/>
  <c r="AH264" i="3" s="1"/>
  <c r="AF264" i="3"/>
  <c r="AE264" i="3"/>
  <c r="AI263" i="3"/>
  <c r="AG263" i="3"/>
  <c r="AH263" i="3" s="1"/>
  <c r="AF263" i="3"/>
  <c r="AE263" i="3"/>
  <c r="AI262" i="3"/>
  <c r="AG262" i="3"/>
  <c r="AH262" i="3" s="1"/>
  <c r="AF262" i="3"/>
  <c r="AE262" i="3"/>
  <c r="AI261" i="3"/>
  <c r="AG261" i="3"/>
  <c r="AH261" i="3" s="1"/>
  <c r="AF261" i="3"/>
  <c r="AE261" i="3"/>
  <c r="AI260" i="3"/>
  <c r="AG260" i="3"/>
  <c r="AH260" i="3" s="1"/>
  <c r="AF260" i="3"/>
  <c r="AE260" i="3"/>
  <c r="AI259" i="3"/>
  <c r="AG259" i="3"/>
  <c r="AH259" i="3" s="1"/>
  <c r="AF259" i="3"/>
  <c r="AE259" i="3"/>
  <c r="AI258" i="3"/>
  <c r="AG258" i="3"/>
  <c r="AH258" i="3" s="1"/>
  <c r="AF258" i="3"/>
  <c r="AE258" i="3"/>
  <c r="AI257" i="3"/>
  <c r="AG257" i="3"/>
  <c r="AH257" i="3" s="1"/>
  <c r="AF257" i="3"/>
  <c r="AE257" i="3"/>
  <c r="AI256" i="3"/>
  <c r="AG256" i="3"/>
  <c r="AH256" i="3" s="1"/>
  <c r="AF256" i="3"/>
  <c r="AE256" i="3"/>
  <c r="AI255" i="3"/>
  <c r="AG255" i="3"/>
  <c r="AH255" i="3" s="1"/>
  <c r="AF255" i="3"/>
  <c r="AE255" i="3"/>
  <c r="AI254" i="3"/>
  <c r="AG254" i="3"/>
  <c r="AH254" i="3" s="1"/>
  <c r="AF254" i="3"/>
  <c r="AE254" i="3"/>
  <c r="AI253" i="3"/>
  <c r="AG253" i="3"/>
  <c r="AH253" i="3" s="1"/>
  <c r="AF253" i="3"/>
  <c r="AE253" i="3"/>
  <c r="AI252" i="3"/>
  <c r="AG252" i="3"/>
  <c r="AH252" i="3" s="1"/>
  <c r="AF252" i="3"/>
  <c r="AE252" i="3"/>
  <c r="AI251" i="3"/>
  <c r="AG251" i="3"/>
  <c r="AH251" i="3" s="1"/>
  <c r="AF251" i="3"/>
  <c r="AE251" i="3"/>
  <c r="AI250" i="3"/>
  <c r="AG250" i="3"/>
  <c r="AH250" i="3" s="1"/>
  <c r="AF250" i="3"/>
  <c r="AE250" i="3"/>
  <c r="AI249" i="3"/>
  <c r="AG249" i="3"/>
  <c r="AH249" i="3" s="1"/>
  <c r="AF249" i="3"/>
  <c r="AE249" i="3"/>
  <c r="AI248" i="3"/>
  <c r="AG248" i="3"/>
  <c r="AH248" i="3" s="1"/>
  <c r="AF248" i="3"/>
  <c r="AE248" i="3"/>
  <c r="AI247" i="3"/>
  <c r="AG247" i="3"/>
  <c r="AH247" i="3" s="1"/>
  <c r="AF247" i="3"/>
  <c r="AE247" i="3"/>
  <c r="AI246" i="3"/>
  <c r="AG246" i="3"/>
  <c r="AH246" i="3" s="1"/>
  <c r="AF246" i="3"/>
  <c r="AE246" i="3"/>
  <c r="AI245" i="3"/>
  <c r="AG245" i="3"/>
  <c r="AH245" i="3" s="1"/>
  <c r="AF245" i="3"/>
  <c r="AE245" i="3"/>
  <c r="AI244" i="3"/>
  <c r="AG244" i="3"/>
  <c r="AH244" i="3" s="1"/>
  <c r="AF244" i="3"/>
  <c r="AE244" i="3"/>
  <c r="AI243" i="3"/>
  <c r="AG243" i="3"/>
  <c r="AH243" i="3" s="1"/>
  <c r="AF243" i="3"/>
  <c r="AE243" i="3"/>
  <c r="AI242" i="3"/>
  <c r="AG242" i="3"/>
  <c r="AH242" i="3" s="1"/>
  <c r="AF242" i="3"/>
  <c r="AE242" i="3"/>
  <c r="AI241" i="3"/>
  <c r="AG241" i="3"/>
  <c r="AH241" i="3" s="1"/>
  <c r="AF241" i="3"/>
  <c r="AE241" i="3"/>
  <c r="AI240" i="3"/>
  <c r="AG240" i="3"/>
  <c r="AH240" i="3" s="1"/>
  <c r="AF240" i="3"/>
  <c r="AE240" i="3"/>
  <c r="AI239" i="3"/>
  <c r="AG239" i="3"/>
  <c r="AH239" i="3" s="1"/>
  <c r="AF239" i="3"/>
  <c r="AE239" i="3"/>
  <c r="AI238" i="3"/>
  <c r="AG238" i="3"/>
  <c r="AH238" i="3" s="1"/>
  <c r="AF238" i="3"/>
  <c r="AE238" i="3"/>
  <c r="AI237" i="3"/>
  <c r="AG237" i="3"/>
  <c r="AH237" i="3" s="1"/>
  <c r="AF237" i="3"/>
  <c r="AE237" i="3"/>
  <c r="AI236" i="3"/>
  <c r="AG236" i="3"/>
  <c r="AH236" i="3" s="1"/>
  <c r="AF236" i="3"/>
  <c r="AE236" i="3"/>
  <c r="AI235" i="3"/>
  <c r="AG235" i="3"/>
  <c r="AH235" i="3" s="1"/>
  <c r="AF235" i="3"/>
  <c r="AE235" i="3"/>
  <c r="AI234" i="3"/>
  <c r="AG234" i="3"/>
  <c r="AH234" i="3" s="1"/>
  <c r="AF234" i="3"/>
  <c r="AE234" i="3"/>
  <c r="AI233" i="3"/>
  <c r="AG233" i="3"/>
  <c r="AH233" i="3" s="1"/>
  <c r="AF233" i="3"/>
  <c r="AE233" i="3"/>
  <c r="AI232" i="3"/>
  <c r="AG232" i="3"/>
  <c r="AH232" i="3" s="1"/>
  <c r="AF232" i="3"/>
  <c r="AE232" i="3"/>
  <c r="AI231" i="3"/>
  <c r="AG231" i="3"/>
  <c r="AH231" i="3" s="1"/>
  <c r="AF231" i="3"/>
  <c r="AE231" i="3"/>
  <c r="AI230" i="3"/>
  <c r="AG230" i="3"/>
  <c r="AH230" i="3" s="1"/>
  <c r="AF230" i="3"/>
  <c r="AE230" i="3"/>
  <c r="AI229" i="3"/>
  <c r="AG229" i="3"/>
  <c r="AH229" i="3" s="1"/>
  <c r="AF229" i="3"/>
  <c r="AE229" i="3"/>
  <c r="AI228" i="3"/>
  <c r="AG228" i="3"/>
  <c r="AH228" i="3" s="1"/>
  <c r="AF228" i="3"/>
  <c r="AE228" i="3"/>
  <c r="AI227" i="3"/>
  <c r="AG227" i="3"/>
  <c r="AH227" i="3" s="1"/>
  <c r="AF227" i="3"/>
  <c r="AE227" i="3"/>
  <c r="AI226" i="3"/>
  <c r="AG226" i="3"/>
  <c r="AH226" i="3" s="1"/>
  <c r="AF226" i="3"/>
  <c r="AE226" i="3"/>
  <c r="AI225" i="3"/>
  <c r="AG225" i="3"/>
  <c r="AH225" i="3" s="1"/>
  <c r="AF225" i="3"/>
  <c r="AE225" i="3"/>
  <c r="AI224" i="3"/>
  <c r="AG224" i="3"/>
  <c r="AH224" i="3" s="1"/>
  <c r="AF224" i="3"/>
  <c r="AE224" i="3"/>
  <c r="AI223" i="3"/>
  <c r="AG223" i="3"/>
  <c r="AH223" i="3" s="1"/>
  <c r="AF223" i="3"/>
  <c r="AE223" i="3"/>
  <c r="AI222" i="3"/>
  <c r="AG222" i="3"/>
  <c r="AH222" i="3" s="1"/>
  <c r="AF222" i="3"/>
  <c r="AE222" i="3"/>
  <c r="AI221" i="3"/>
  <c r="AG221" i="3"/>
  <c r="AH221" i="3" s="1"/>
  <c r="AF221" i="3"/>
  <c r="AE221" i="3"/>
  <c r="AI220" i="3"/>
  <c r="AG220" i="3"/>
  <c r="AH220" i="3" s="1"/>
  <c r="AF220" i="3"/>
  <c r="AE220" i="3"/>
  <c r="AI219" i="3"/>
  <c r="AG219" i="3"/>
  <c r="AH219" i="3" s="1"/>
  <c r="AF219" i="3"/>
  <c r="AE219" i="3"/>
  <c r="AI218" i="3"/>
  <c r="AG218" i="3"/>
  <c r="AH218" i="3" s="1"/>
  <c r="AF218" i="3"/>
  <c r="AE218" i="3"/>
  <c r="AI217" i="3"/>
  <c r="AG217" i="3"/>
  <c r="AH217" i="3" s="1"/>
  <c r="AF217" i="3"/>
  <c r="AE217" i="3"/>
  <c r="AI216" i="3"/>
  <c r="AG216" i="3"/>
  <c r="AH216" i="3" s="1"/>
  <c r="AF216" i="3"/>
  <c r="AE216" i="3"/>
  <c r="AI215" i="3"/>
  <c r="AG215" i="3"/>
  <c r="AH215" i="3" s="1"/>
  <c r="AF215" i="3"/>
  <c r="AE215" i="3"/>
  <c r="AI214" i="3"/>
  <c r="AG214" i="3"/>
  <c r="AH214" i="3" s="1"/>
  <c r="AF214" i="3"/>
  <c r="AE214" i="3"/>
  <c r="AI213" i="3"/>
  <c r="AG213" i="3"/>
  <c r="AH213" i="3" s="1"/>
  <c r="AF213" i="3"/>
  <c r="AE213" i="3"/>
  <c r="AI212" i="3"/>
  <c r="AG212" i="3"/>
  <c r="AH212" i="3" s="1"/>
  <c r="AF212" i="3"/>
  <c r="AE212" i="3"/>
  <c r="AI211" i="3"/>
  <c r="AG211" i="3"/>
  <c r="AH211" i="3" s="1"/>
  <c r="AF211" i="3"/>
  <c r="AE211" i="3"/>
  <c r="AI210" i="3"/>
  <c r="AG210" i="3"/>
  <c r="AH210" i="3" s="1"/>
  <c r="AF210" i="3"/>
  <c r="AE210" i="3"/>
  <c r="AI209" i="3"/>
  <c r="AG209" i="3"/>
  <c r="AH209" i="3" s="1"/>
  <c r="AF209" i="3"/>
  <c r="AE209" i="3"/>
  <c r="AI208" i="3"/>
  <c r="AG208" i="3"/>
  <c r="AH208" i="3" s="1"/>
  <c r="AF208" i="3"/>
  <c r="AE208" i="3"/>
  <c r="AI207" i="3"/>
  <c r="AG207" i="3"/>
  <c r="AH207" i="3" s="1"/>
  <c r="AF207" i="3"/>
  <c r="AE207" i="3"/>
  <c r="AI206" i="3"/>
  <c r="AG206" i="3"/>
  <c r="AH206" i="3" s="1"/>
  <c r="AF206" i="3"/>
  <c r="AE206" i="3"/>
  <c r="AI205" i="3"/>
  <c r="AG205" i="3"/>
  <c r="AH205" i="3" s="1"/>
  <c r="AF205" i="3"/>
  <c r="AE205" i="3"/>
  <c r="AI204" i="3"/>
  <c r="AG204" i="3"/>
  <c r="AH204" i="3" s="1"/>
  <c r="AF204" i="3"/>
  <c r="AE204" i="3"/>
  <c r="AI203" i="3"/>
  <c r="AG203" i="3"/>
  <c r="AH203" i="3" s="1"/>
  <c r="AF203" i="3"/>
  <c r="AE203" i="3"/>
  <c r="AI202" i="3"/>
  <c r="AG202" i="3"/>
  <c r="AH202" i="3" s="1"/>
  <c r="AF202" i="3"/>
  <c r="AE202" i="3"/>
  <c r="AI201" i="3"/>
  <c r="AG201" i="3"/>
  <c r="AH201" i="3" s="1"/>
  <c r="AF201" i="3"/>
  <c r="AE201" i="3"/>
  <c r="AI200" i="3"/>
  <c r="AG200" i="3"/>
  <c r="AH200" i="3" s="1"/>
  <c r="AF200" i="3"/>
  <c r="AE200" i="3"/>
  <c r="AI199" i="3"/>
  <c r="AG199" i="3"/>
  <c r="AH199" i="3" s="1"/>
  <c r="AF199" i="3"/>
  <c r="AE199" i="3"/>
  <c r="AI198" i="3"/>
  <c r="AG198" i="3"/>
  <c r="AH198" i="3" s="1"/>
  <c r="AF198" i="3"/>
  <c r="AE198" i="3"/>
  <c r="AI197" i="3"/>
  <c r="AG197" i="3"/>
  <c r="AH197" i="3" s="1"/>
  <c r="AF197" i="3"/>
  <c r="AE197" i="3"/>
  <c r="AI196" i="3"/>
  <c r="AG196" i="3"/>
  <c r="AH196" i="3" s="1"/>
  <c r="AF196" i="3"/>
  <c r="AE196" i="3"/>
  <c r="AI195" i="3"/>
  <c r="AG195" i="3"/>
  <c r="AH195" i="3" s="1"/>
  <c r="AF195" i="3"/>
  <c r="AE195" i="3"/>
  <c r="AI194" i="3"/>
  <c r="AG194" i="3"/>
  <c r="AH194" i="3" s="1"/>
  <c r="AF194" i="3"/>
  <c r="AE194" i="3"/>
  <c r="AI193" i="3"/>
  <c r="AG193" i="3"/>
  <c r="AH193" i="3" s="1"/>
  <c r="AF193" i="3"/>
  <c r="AE193" i="3"/>
  <c r="AI192" i="3"/>
  <c r="AG192" i="3"/>
  <c r="AH192" i="3" s="1"/>
  <c r="AF192" i="3"/>
  <c r="AE192" i="3"/>
  <c r="AI191" i="3"/>
  <c r="AG191" i="3"/>
  <c r="AH191" i="3" s="1"/>
  <c r="AF191" i="3"/>
  <c r="AE191" i="3"/>
  <c r="AI190" i="3"/>
  <c r="AG190" i="3"/>
  <c r="AH190" i="3" s="1"/>
  <c r="AF190" i="3"/>
  <c r="AE190" i="3"/>
  <c r="AI189" i="3"/>
  <c r="AG189" i="3"/>
  <c r="AH189" i="3" s="1"/>
  <c r="AF189" i="3"/>
  <c r="AE189" i="3"/>
  <c r="AI188" i="3"/>
  <c r="AG188" i="3"/>
  <c r="AH188" i="3" s="1"/>
  <c r="AF188" i="3"/>
  <c r="AE188" i="3"/>
  <c r="AI187" i="3"/>
  <c r="AG187" i="3"/>
  <c r="AH187" i="3" s="1"/>
  <c r="AF187" i="3"/>
  <c r="AE187" i="3"/>
  <c r="AI186" i="3"/>
  <c r="AG186" i="3"/>
  <c r="AH186" i="3" s="1"/>
  <c r="AF186" i="3"/>
  <c r="AE186" i="3"/>
  <c r="AI185" i="3"/>
  <c r="AG185" i="3"/>
  <c r="AH185" i="3" s="1"/>
  <c r="AF185" i="3"/>
  <c r="AE185" i="3"/>
  <c r="AI184" i="3"/>
  <c r="AG184" i="3"/>
  <c r="AH184" i="3" s="1"/>
  <c r="AF184" i="3"/>
  <c r="AE184" i="3"/>
  <c r="AI183" i="3"/>
  <c r="AG183" i="3"/>
  <c r="AH183" i="3" s="1"/>
  <c r="AF183" i="3"/>
  <c r="AE183" i="3"/>
  <c r="AI182" i="3"/>
  <c r="AG182" i="3"/>
  <c r="AH182" i="3" s="1"/>
  <c r="AF182" i="3"/>
  <c r="AE182" i="3"/>
  <c r="AI181" i="3"/>
  <c r="AG181" i="3"/>
  <c r="AH181" i="3" s="1"/>
  <c r="AF181" i="3"/>
  <c r="AE181" i="3"/>
  <c r="AI180" i="3"/>
  <c r="AG180" i="3"/>
  <c r="AH180" i="3" s="1"/>
  <c r="AF180" i="3"/>
  <c r="AE180" i="3"/>
  <c r="AI179" i="3"/>
  <c r="AG179" i="3"/>
  <c r="AH179" i="3" s="1"/>
  <c r="AF179" i="3"/>
  <c r="AE179" i="3"/>
  <c r="AI178" i="3"/>
  <c r="AG178" i="3"/>
  <c r="AH178" i="3" s="1"/>
  <c r="AF178" i="3"/>
  <c r="AE178" i="3"/>
  <c r="AI177" i="3"/>
  <c r="AG177" i="3"/>
  <c r="AH177" i="3" s="1"/>
  <c r="AF177" i="3"/>
  <c r="AE177" i="3"/>
  <c r="AI176" i="3"/>
  <c r="AG176" i="3"/>
  <c r="AH176" i="3" s="1"/>
  <c r="AF176" i="3"/>
  <c r="AE176" i="3"/>
  <c r="AI175" i="3"/>
  <c r="AG175" i="3"/>
  <c r="AH175" i="3" s="1"/>
  <c r="AF175" i="3"/>
  <c r="AE175" i="3"/>
  <c r="AI174" i="3"/>
  <c r="AG174" i="3"/>
  <c r="AH174" i="3" s="1"/>
  <c r="AF174" i="3"/>
  <c r="AE174" i="3"/>
  <c r="AI173" i="3"/>
  <c r="AG173" i="3"/>
  <c r="AH173" i="3" s="1"/>
  <c r="AF173" i="3"/>
  <c r="AE173" i="3"/>
  <c r="AI172" i="3"/>
  <c r="AG172" i="3"/>
  <c r="AH172" i="3" s="1"/>
  <c r="AF172" i="3"/>
  <c r="AE172" i="3"/>
  <c r="AI171" i="3"/>
  <c r="AG171" i="3"/>
  <c r="AH171" i="3" s="1"/>
  <c r="AF171" i="3"/>
  <c r="AE171" i="3"/>
  <c r="AI170" i="3"/>
  <c r="AG170" i="3"/>
  <c r="AH170" i="3" s="1"/>
  <c r="AF170" i="3"/>
  <c r="AE170" i="3"/>
  <c r="AI169" i="3"/>
  <c r="AG169" i="3"/>
  <c r="AH169" i="3" s="1"/>
  <c r="AF169" i="3"/>
  <c r="AE169" i="3"/>
  <c r="AI168" i="3"/>
  <c r="AG168" i="3"/>
  <c r="AH168" i="3" s="1"/>
  <c r="AF168" i="3"/>
  <c r="AE168" i="3"/>
  <c r="AI167" i="3"/>
  <c r="AG167" i="3"/>
  <c r="AH167" i="3" s="1"/>
  <c r="AF167" i="3"/>
  <c r="AE167" i="3"/>
  <c r="AI166" i="3"/>
  <c r="AG166" i="3"/>
  <c r="AH166" i="3" s="1"/>
  <c r="AF166" i="3"/>
  <c r="AE166" i="3"/>
  <c r="AI165" i="3"/>
  <c r="AG165" i="3"/>
  <c r="AH165" i="3" s="1"/>
  <c r="AF165" i="3"/>
  <c r="AE165" i="3"/>
  <c r="AI164" i="3"/>
  <c r="AG164" i="3"/>
  <c r="AH164" i="3" s="1"/>
  <c r="AF164" i="3"/>
  <c r="AE164" i="3"/>
  <c r="AI163" i="3"/>
  <c r="AG163" i="3"/>
  <c r="AH163" i="3" s="1"/>
  <c r="AF163" i="3"/>
  <c r="AE163" i="3"/>
  <c r="AI162" i="3"/>
  <c r="AG162" i="3"/>
  <c r="AH162" i="3" s="1"/>
  <c r="AF162" i="3"/>
  <c r="AE162" i="3"/>
  <c r="AI161" i="3"/>
  <c r="AG161" i="3"/>
  <c r="AH161" i="3" s="1"/>
  <c r="AF161" i="3"/>
  <c r="AE161" i="3"/>
  <c r="AI160" i="3"/>
  <c r="AG160" i="3"/>
  <c r="AH160" i="3" s="1"/>
  <c r="AF160" i="3"/>
  <c r="AE160" i="3"/>
  <c r="AI159" i="3"/>
  <c r="AG159" i="3"/>
  <c r="AH159" i="3" s="1"/>
  <c r="AF159" i="3"/>
  <c r="AE159" i="3"/>
  <c r="AI158" i="3"/>
  <c r="AH158" i="3"/>
  <c r="AG158" i="3"/>
  <c r="AF158" i="3"/>
  <c r="AE158" i="3"/>
  <c r="AI157" i="3"/>
  <c r="AG157" i="3"/>
  <c r="AH157" i="3" s="1"/>
  <c r="AF157" i="3"/>
  <c r="AE157" i="3"/>
  <c r="AI156" i="3"/>
  <c r="AG156" i="3"/>
  <c r="AH156" i="3" s="1"/>
  <c r="AF156" i="3"/>
  <c r="AE156" i="3"/>
  <c r="AI155" i="3"/>
  <c r="AG155" i="3"/>
  <c r="AH155" i="3" s="1"/>
  <c r="AF155" i="3"/>
  <c r="AE155" i="3"/>
  <c r="AI154" i="3"/>
  <c r="AG154" i="3"/>
  <c r="AH154" i="3" s="1"/>
  <c r="AF154" i="3"/>
  <c r="AE154" i="3"/>
  <c r="AI153" i="3"/>
  <c r="AG153" i="3"/>
  <c r="AH153" i="3" s="1"/>
  <c r="AF153" i="3"/>
  <c r="AE153" i="3"/>
  <c r="AI152" i="3"/>
  <c r="AG152" i="3"/>
  <c r="AH152" i="3" s="1"/>
  <c r="AF152" i="3"/>
  <c r="AE152" i="3"/>
  <c r="AI151" i="3"/>
  <c r="AG151" i="3"/>
  <c r="AH151" i="3" s="1"/>
  <c r="AF151" i="3"/>
  <c r="AE151" i="3"/>
  <c r="AI150" i="3"/>
  <c r="AG150" i="3"/>
  <c r="AH150" i="3" s="1"/>
  <c r="AF150" i="3"/>
  <c r="AE150" i="3"/>
  <c r="AI149" i="3"/>
  <c r="AG149" i="3"/>
  <c r="AH149" i="3" s="1"/>
  <c r="AF149" i="3"/>
  <c r="AE149" i="3"/>
  <c r="AI148" i="3"/>
  <c r="AG148" i="3"/>
  <c r="AH148" i="3" s="1"/>
  <c r="AF148" i="3"/>
  <c r="AE148" i="3"/>
  <c r="AI147" i="3"/>
  <c r="AG147" i="3"/>
  <c r="AH147" i="3" s="1"/>
  <c r="AF147" i="3"/>
  <c r="AE147" i="3"/>
  <c r="AI146" i="3"/>
  <c r="AG146" i="3"/>
  <c r="AH146" i="3" s="1"/>
  <c r="AF146" i="3"/>
  <c r="AE146" i="3"/>
  <c r="AI145" i="3"/>
  <c r="AG145" i="3"/>
  <c r="AH145" i="3" s="1"/>
  <c r="AF145" i="3"/>
  <c r="AE145" i="3"/>
  <c r="AI144" i="3"/>
  <c r="AG144" i="3"/>
  <c r="AH144" i="3" s="1"/>
  <c r="AF144" i="3"/>
  <c r="AE144" i="3"/>
  <c r="AI143" i="3"/>
  <c r="AG143" i="3"/>
  <c r="AH143" i="3" s="1"/>
  <c r="AF143" i="3"/>
  <c r="AE143" i="3"/>
  <c r="AI142" i="3"/>
  <c r="AG142" i="3"/>
  <c r="AH142" i="3" s="1"/>
  <c r="AF142" i="3"/>
  <c r="AE142" i="3"/>
  <c r="AI141" i="3"/>
  <c r="AG141" i="3"/>
  <c r="AH141" i="3" s="1"/>
  <c r="AF141" i="3"/>
  <c r="AE141" i="3"/>
  <c r="AI140" i="3"/>
  <c r="AG140" i="3"/>
  <c r="AH140" i="3" s="1"/>
  <c r="AF140" i="3"/>
  <c r="AE140" i="3"/>
  <c r="AI139" i="3"/>
  <c r="AG139" i="3"/>
  <c r="AH139" i="3" s="1"/>
  <c r="AF139" i="3"/>
  <c r="AE139" i="3"/>
  <c r="AI138" i="3"/>
  <c r="AG138" i="3"/>
  <c r="AH138" i="3" s="1"/>
  <c r="AF138" i="3"/>
  <c r="AE138" i="3"/>
  <c r="AI137" i="3"/>
  <c r="AG137" i="3"/>
  <c r="AH137" i="3" s="1"/>
  <c r="AF137" i="3"/>
  <c r="AE137" i="3"/>
  <c r="AI136" i="3"/>
  <c r="AG136" i="3"/>
  <c r="AH136" i="3" s="1"/>
  <c r="AF136" i="3"/>
  <c r="AE136" i="3"/>
  <c r="AI135" i="3"/>
  <c r="AG135" i="3"/>
  <c r="AH135" i="3" s="1"/>
  <c r="AF135" i="3"/>
  <c r="AE135" i="3"/>
  <c r="AI134" i="3"/>
  <c r="AG134" i="3"/>
  <c r="AH134" i="3" s="1"/>
  <c r="AF134" i="3"/>
  <c r="AE134" i="3"/>
  <c r="AI133" i="3"/>
  <c r="AG133" i="3"/>
  <c r="AH133" i="3" s="1"/>
  <c r="AF133" i="3"/>
  <c r="AE133" i="3"/>
  <c r="AI132" i="3"/>
  <c r="AG132" i="3"/>
  <c r="AH132" i="3" s="1"/>
  <c r="AF132" i="3"/>
  <c r="AE132" i="3"/>
  <c r="AI131" i="3"/>
  <c r="AG131" i="3"/>
  <c r="AH131" i="3" s="1"/>
  <c r="AF131" i="3"/>
  <c r="AE131" i="3"/>
  <c r="AI130" i="3"/>
  <c r="AG130" i="3"/>
  <c r="AH130" i="3" s="1"/>
  <c r="AF130" i="3"/>
  <c r="AE130" i="3"/>
  <c r="AI129" i="3"/>
  <c r="AG129" i="3"/>
  <c r="AH129" i="3" s="1"/>
  <c r="AF129" i="3"/>
  <c r="AE129" i="3"/>
  <c r="AI128" i="3"/>
  <c r="AG128" i="3"/>
  <c r="AH128" i="3" s="1"/>
  <c r="AF128" i="3"/>
  <c r="AE128" i="3"/>
  <c r="AI127" i="3"/>
  <c r="AG127" i="3"/>
  <c r="AH127" i="3" s="1"/>
  <c r="AF127" i="3"/>
  <c r="AE127" i="3"/>
  <c r="AI126" i="3"/>
  <c r="AG126" i="3"/>
  <c r="AH126" i="3" s="1"/>
  <c r="AF126" i="3"/>
  <c r="AE126" i="3"/>
  <c r="AI125" i="3"/>
  <c r="AG125" i="3"/>
  <c r="AH125" i="3" s="1"/>
  <c r="AF125" i="3"/>
  <c r="AE125" i="3"/>
  <c r="AI124" i="3"/>
  <c r="AG124" i="3"/>
  <c r="AH124" i="3" s="1"/>
  <c r="AF124" i="3"/>
  <c r="AE124" i="3"/>
  <c r="AI123" i="3"/>
  <c r="AG123" i="3"/>
  <c r="AH123" i="3" s="1"/>
  <c r="AF123" i="3"/>
  <c r="AE123" i="3"/>
  <c r="AI122" i="3"/>
  <c r="AG122" i="3"/>
  <c r="AH122" i="3" s="1"/>
  <c r="AF122" i="3"/>
  <c r="AE122" i="3"/>
  <c r="AI121" i="3"/>
  <c r="AG121" i="3"/>
  <c r="AH121" i="3" s="1"/>
  <c r="AF121" i="3"/>
  <c r="AE121" i="3"/>
  <c r="AI120" i="3"/>
  <c r="AG120" i="3"/>
  <c r="AH120" i="3" s="1"/>
  <c r="AF120" i="3"/>
  <c r="AE120" i="3"/>
  <c r="AI119" i="3"/>
  <c r="AG119" i="3"/>
  <c r="AH119" i="3" s="1"/>
  <c r="AF119" i="3"/>
  <c r="AE119" i="3"/>
  <c r="AI118" i="3"/>
  <c r="AG118" i="3"/>
  <c r="AH118" i="3" s="1"/>
  <c r="AF118" i="3"/>
  <c r="AE118" i="3"/>
  <c r="AI117" i="3"/>
  <c r="AG117" i="3"/>
  <c r="AH117" i="3" s="1"/>
  <c r="AF117" i="3"/>
  <c r="AE117" i="3"/>
  <c r="AI116" i="3"/>
  <c r="AG116" i="3"/>
  <c r="AH116" i="3" s="1"/>
  <c r="AF116" i="3"/>
  <c r="AE116" i="3"/>
  <c r="AI115" i="3"/>
  <c r="AG115" i="3"/>
  <c r="AH115" i="3" s="1"/>
  <c r="AF115" i="3"/>
  <c r="AE115" i="3"/>
  <c r="AI114" i="3"/>
  <c r="AG114" i="3"/>
  <c r="AH114" i="3" s="1"/>
  <c r="AF114" i="3"/>
  <c r="AE114" i="3"/>
  <c r="AI113" i="3"/>
  <c r="AG113" i="3"/>
  <c r="AH113" i="3" s="1"/>
  <c r="AF113" i="3"/>
  <c r="AE113" i="3"/>
  <c r="AI112" i="3"/>
  <c r="AG112" i="3"/>
  <c r="AH112" i="3" s="1"/>
  <c r="AF112" i="3"/>
  <c r="AE112" i="3"/>
  <c r="AI111" i="3"/>
  <c r="AG111" i="3"/>
  <c r="AH111" i="3" s="1"/>
  <c r="AF111" i="3"/>
  <c r="AE111" i="3"/>
  <c r="AI110" i="3"/>
  <c r="AG110" i="3"/>
  <c r="AH110" i="3" s="1"/>
  <c r="AF110" i="3"/>
  <c r="AE110" i="3"/>
  <c r="AI109" i="3"/>
  <c r="AG109" i="3"/>
  <c r="AH109" i="3" s="1"/>
  <c r="AF109" i="3"/>
  <c r="AE109" i="3"/>
  <c r="AI108" i="3"/>
  <c r="AG108" i="3"/>
  <c r="AH108" i="3" s="1"/>
  <c r="AF108" i="3"/>
  <c r="AE108" i="3"/>
  <c r="AI107" i="3"/>
  <c r="AG107" i="3"/>
  <c r="AH107" i="3" s="1"/>
  <c r="AF107" i="3"/>
  <c r="AE107" i="3"/>
  <c r="AI106" i="3"/>
  <c r="AG106" i="3"/>
  <c r="AH106" i="3" s="1"/>
  <c r="AF106" i="3"/>
  <c r="AE106" i="3"/>
  <c r="AI105" i="3"/>
  <c r="AG105" i="3"/>
  <c r="AH105" i="3" s="1"/>
  <c r="AF105" i="3"/>
  <c r="AE105" i="3"/>
  <c r="AI104" i="3"/>
  <c r="AG104" i="3"/>
  <c r="AH104" i="3" s="1"/>
  <c r="AF104" i="3"/>
  <c r="AE104" i="3"/>
  <c r="AI103" i="3"/>
  <c r="AG103" i="3"/>
  <c r="AH103" i="3" s="1"/>
  <c r="AF103" i="3"/>
  <c r="AE103" i="3"/>
  <c r="AI102" i="3"/>
  <c r="AG102" i="3"/>
  <c r="AH102" i="3" s="1"/>
  <c r="AF102" i="3"/>
  <c r="AE102" i="3"/>
  <c r="AI101" i="3"/>
  <c r="AG101" i="3"/>
  <c r="AH101" i="3" s="1"/>
  <c r="AF101" i="3"/>
  <c r="AE101" i="3"/>
  <c r="AI100" i="3"/>
  <c r="AG100" i="3"/>
  <c r="AH100" i="3" s="1"/>
  <c r="AF100" i="3"/>
  <c r="AE100" i="3"/>
  <c r="AI99" i="3"/>
  <c r="AG99" i="3"/>
  <c r="AH99" i="3" s="1"/>
  <c r="AF99" i="3"/>
  <c r="AE99" i="3"/>
  <c r="AI98" i="3"/>
  <c r="AG98" i="3"/>
  <c r="AH98" i="3" s="1"/>
  <c r="AF98" i="3"/>
  <c r="AE98" i="3"/>
  <c r="AI97" i="3"/>
  <c r="AG97" i="3"/>
  <c r="AH97" i="3" s="1"/>
  <c r="AF97" i="3"/>
  <c r="AE97" i="3"/>
  <c r="AI96" i="3"/>
  <c r="AG96" i="3"/>
  <c r="AH96" i="3" s="1"/>
  <c r="AF96" i="3"/>
  <c r="AE96" i="3"/>
  <c r="AI95" i="3"/>
  <c r="AG95" i="3"/>
  <c r="AH95" i="3" s="1"/>
  <c r="AF95" i="3"/>
  <c r="AE95" i="3"/>
  <c r="AI94" i="3"/>
  <c r="AG94" i="3"/>
  <c r="AH94" i="3" s="1"/>
  <c r="AF94" i="3"/>
  <c r="AE94" i="3"/>
  <c r="AI93" i="3"/>
  <c r="AG93" i="3"/>
  <c r="AH93" i="3" s="1"/>
  <c r="AF93" i="3"/>
  <c r="AE93" i="3"/>
  <c r="AI92" i="3"/>
  <c r="AG92" i="3"/>
  <c r="AH92" i="3" s="1"/>
  <c r="AF92" i="3"/>
  <c r="AE92" i="3"/>
  <c r="AI91" i="3"/>
  <c r="AG91" i="3"/>
  <c r="AH91" i="3" s="1"/>
  <c r="AF91" i="3"/>
  <c r="AE91" i="3"/>
  <c r="AI90" i="3"/>
  <c r="AG90" i="3"/>
  <c r="AH90" i="3" s="1"/>
  <c r="AF90" i="3"/>
  <c r="AE90" i="3"/>
  <c r="AI89" i="3"/>
  <c r="AG89" i="3"/>
  <c r="AH89" i="3" s="1"/>
  <c r="AF89" i="3"/>
  <c r="AE89" i="3"/>
  <c r="AI88" i="3"/>
  <c r="AG88" i="3"/>
  <c r="AH88" i="3" s="1"/>
  <c r="AF88" i="3"/>
  <c r="AE88" i="3"/>
  <c r="AI87" i="3"/>
  <c r="AG87" i="3"/>
  <c r="AH87" i="3" s="1"/>
  <c r="AF87" i="3"/>
  <c r="AE87" i="3"/>
  <c r="AI86" i="3"/>
  <c r="AG86" i="3"/>
  <c r="AH86" i="3" s="1"/>
  <c r="AF86" i="3"/>
  <c r="AE86" i="3"/>
  <c r="AI85" i="3"/>
  <c r="AG85" i="3"/>
  <c r="AH85" i="3" s="1"/>
  <c r="AF85" i="3"/>
  <c r="AE85" i="3"/>
  <c r="AI84" i="3"/>
  <c r="AG84" i="3"/>
  <c r="AH84" i="3" s="1"/>
  <c r="AF84" i="3"/>
  <c r="AE84" i="3"/>
  <c r="AI83" i="3"/>
  <c r="AG83" i="3"/>
  <c r="AH83" i="3" s="1"/>
  <c r="AF83" i="3"/>
  <c r="AE83" i="3"/>
  <c r="AI82" i="3"/>
  <c r="AG82" i="3"/>
  <c r="AH82" i="3" s="1"/>
  <c r="AF82" i="3"/>
  <c r="AE82" i="3"/>
  <c r="AI81" i="3"/>
  <c r="AG81" i="3"/>
  <c r="AH81" i="3" s="1"/>
  <c r="AF81" i="3"/>
  <c r="AE81" i="3"/>
  <c r="AI80" i="3"/>
  <c r="AG80" i="3"/>
  <c r="AH80" i="3" s="1"/>
  <c r="AF80" i="3"/>
  <c r="AE80" i="3"/>
  <c r="AI79" i="3"/>
  <c r="AG79" i="3"/>
  <c r="AH79" i="3" s="1"/>
  <c r="AF79" i="3"/>
  <c r="AE79" i="3"/>
  <c r="AI78" i="3"/>
  <c r="AG78" i="3"/>
  <c r="AH78" i="3" s="1"/>
  <c r="AF78" i="3"/>
  <c r="AE78" i="3"/>
  <c r="AI77" i="3"/>
  <c r="AG77" i="3"/>
  <c r="AH77" i="3" s="1"/>
  <c r="AF77" i="3"/>
  <c r="AE77" i="3"/>
  <c r="AI76" i="3"/>
  <c r="AG76" i="3"/>
  <c r="AH76" i="3" s="1"/>
  <c r="AF76" i="3"/>
  <c r="AE76" i="3"/>
  <c r="AI75" i="3"/>
  <c r="AG75" i="3"/>
  <c r="AH75" i="3" s="1"/>
  <c r="AF75" i="3"/>
  <c r="AE75" i="3"/>
  <c r="AI74" i="3"/>
  <c r="AG74" i="3"/>
  <c r="AH74" i="3" s="1"/>
  <c r="AF74" i="3"/>
  <c r="AE74" i="3"/>
  <c r="AI73" i="3"/>
  <c r="AG73" i="3"/>
  <c r="AH73" i="3" s="1"/>
  <c r="AF73" i="3"/>
  <c r="AE73" i="3"/>
  <c r="AI72" i="3"/>
  <c r="AG72" i="3"/>
  <c r="AH72" i="3" s="1"/>
  <c r="AF72" i="3"/>
  <c r="AE72" i="3"/>
  <c r="AI71" i="3"/>
  <c r="AG71" i="3"/>
  <c r="AH71" i="3" s="1"/>
  <c r="AF71" i="3"/>
  <c r="AE71" i="3"/>
  <c r="AI70" i="3"/>
  <c r="AG70" i="3"/>
  <c r="AH70" i="3" s="1"/>
  <c r="AF70" i="3"/>
  <c r="AE70" i="3"/>
  <c r="AI69" i="3"/>
  <c r="AG69" i="3"/>
  <c r="AH69" i="3" s="1"/>
  <c r="AF69" i="3"/>
  <c r="AE69" i="3"/>
  <c r="AI68" i="3"/>
  <c r="AG68" i="3"/>
  <c r="AH68" i="3" s="1"/>
  <c r="AF68" i="3"/>
  <c r="AE68" i="3"/>
  <c r="AI67" i="3"/>
  <c r="AH67" i="3"/>
  <c r="AG67" i="3"/>
  <c r="AF67" i="3"/>
  <c r="AE67" i="3"/>
  <c r="AI66" i="3"/>
  <c r="AG66" i="3"/>
  <c r="AH66" i="3" s="1"/>
  <c r="AF66" i="3"/>
  <c r="AE66" i="3"/>
  <c r="AI65" i="3"/>
  <c r="AG65" i="3"/>
  <c r="AH65" i="3" s="1"/>
  <c r="AF65" i="3"/>
  <c r="AE65" i="3"/>
  <c r="AI64" i="3"/>
  <c r="AG64" i="3"/>
  <c r="AH64" i="3" s="1"/>
  <c r="AF64" i="3"/>
  <c r="AE64" i="3"/>
  <c r="AI63" i="3"/>
  <c r="AG63" i="3"/>
  <c r="AH63" i="3" s="1"/>
  <c r="AF63" i="3"/>
  <c r="AE63" i="3"/>
  <c r="AI62" i="3"/>
  <c r="AG62" i="3"/>
  <c r="AH62" i="3" s="1"/>
  <c r="AF62" i="3"/>
  <c r="AE62" i="3"/>
  <c r="AI61" i="3"/>
  <c r="AG61" i="3"/>
  <c r="AH61" i="3" s="1"/>
  <c r="AF61" i="3"/>
  <c r="AE61" i="3"/>
  <c r="AI60" i="3"/>
  <c r="AG60" i="3"/>
  <c r="AH60" i="3" s="1"/>
  <c r="AF60" i="3"/>
  <c r="AE60" i="3"/>
  <c r="AI59" i="3"/>
  <c r="AG59" i="3"/>
  <c r="AH59" i="3" s="1"/>
  <c r="AF59" i="3"/>
  <c r="AE59" i="3"/>
  <c r="AI58" i="3"/>
  <c r="AG58" i="3"/>
  <c r="AH58" i="3" s="1"/>
  <c r="AF58" i="3"/>
  <c r="AE58" i="3"/>
  <c r="AI57" i="3"/>
  <c r="AG57" i="3"/>
  <c r="AH57" i="3" s="1"/>
  <c r="AF57" i="3"/>
  <c r="AE57" i="3"/>
  <c r="AI56" i="3"/>
  <c r="AG56" i="3"/>
  <c r="AH56" i="3" s="1"/>
  <c r="AF56" i="3"/>
  <c r="AE56" i="3"/>
  <c r="AI55" i="3"/>
  <c r="AG55" i="3"/>
  <c r="AH55" i="3" s="1"/>
  <c r="AF55" i="3"/>
  <c r="AE55" i="3"/>
  <c r="AI54" i="3"/>
  <c r="AG54" i="3"/>
  <c r="AH54" i="3" s="1"/>
  <c r="AF54" i="3"/>
  <c r="AE54" i="3"/>
  <c r="AI53" i="3"/>
  <c r="AG53" i="3"/>
  <c r="AH53" i="3" s="1"/>
  <c r="AF53" i="3"/>
  <c r="AE53" i="3"/>
  <c r="AI52" i="3"/>
  <c r="AG52" i="3"/>
  <c r="AH52" i="3" s="1"/>
  <c r="AF52" i="3"/>
  <c r="AE52" i="3"/>
  <c r="AI51" i="3"/>
  <c r="AG51" i="3"/>
  <c r="AH51" i="3" s="1"/>
  <c r="AF51" i="3"/>
  <c r="AE51" i="3"/>
  <c r="AI50" i="3"/>
  <c r="AG50" i="3"/>
  <c r="AH50" i="3" s="1"/>
  <c r="AF50" i="3"/>
  <c r="AE50" i="3"/>
  <c r="AI49" i="3"/>
  <c r="AG49" i="3"/>
  <c r="AH49" i="3" s="1"/>
  <c r="AF49" i="3"/>
  <c r="AE49" i="3"/>
  <c r="AI48" i="3"/>
  <c r="AG48" i="3"/>
  <c r="AH48" i="3" s="1"/>
  <c r="AF48" i="3"/>
  <c r="AE48" i="3"/>
  <c r="AI47" i="3"/>
  <c r="AG47" i="3"/>
  <c r="AH47" i="3" s="1"/>
  <c r="AF47" i="3"/>
  <c r="AE47" i="3"/>
  <c r="AI46" i="3"/>
  <c r="AG46" i="3"/>
  <c r="AH46" i="3" s="1"/>
  <c r="AF46" i="3"/>
  <c r="AE46" i="3"/>
  <c r="AI45" i="3"/>
  <c r="AG45" i="3"/>
  <c r="AH45" i="3" s="1"/>
  <c r="AF45" i="3"/>
  <c r="AE45" i="3"/>
  <c r="AI44" i="3"/>
  <c r="AG44" i="3"/>
  <c r="AH44" i="3" s="1"/>
  <c r="AF44" i="3"/>
  <c r="AE44" i="3"/>
  <c r="AI43" i="3"/>
  <c r="AG43" i="3"/>
  <c r="AH43" i="3" s="1"/>
  <c r="AF43" i="3"/>
  <c r="AE43" i="3"/>
  <c r="AI42" i="3"/>
  <c r="AG42" i="3"/>
  <c r="AH42" i="3" s="1"/>
  <c r="AF42" i="3"/>
  <c r="AE42" i="3"/>
  <c r="AI41" i="3"/>
  <c r="AG41" i="3"/>
  <c r="AH41" i="3" s="1"/>
  <c r="AF41" i="3"/>
  <c r="AE41" i="3"/>
  <c r="AI40" i="3"/>
  <c r="AG40" i="3"/>
  <c r="AH40" i="3" s="1"/>
  <c r="AF40" i="3"/>
  <c r="AE40" i="3"/>
  <c r="AI39" i="3"/>
  <c r="AG39" i="3"/>
  <c r="AH39" i="3" s="1"/>
  <c r="AF39" i="3"/>
  <c r="AE39" i="3"/>
  <c r="AI38" i="3"/>
  <c r="AG38" i="3"/>
  <c r="AH38" i="3" s="1"/>
  <c r="AF38" i="3"/>
  <c r="AE38" i="3"/>
  <c r="AI37" i="3"/>
  <c r="AG37" i="3"/>
  <c r="AH37" i="3" s="1"/>
  <c r="AF37" i="3"/>
  <c r="AE37" i="3"/>
  <c r="AI36" i="3"/>
  <c r="AG36" i="3"/>
  <c r="AH36" i="3" s="1"/>
  <c r="AF36" i="3"/>
  <c r="AE36" i="3"/>
  <c r="AI35" i="3"/>
  <c r="AG35" i="3"/>
  <c r="AH35" i="3" s="1"/>
  <c r="AF35" i="3"/>
  <c r="AE35" i="3"/>
  <c r="AI34" i="3"/>
  <c r="AG34" i="3"/>
  <c r="AH34" i="3" s="1"/>
  <c r="AF34" i="3"/>
  <c r="AE34" i="3"/>
  <c r="AI33" i="3"/>
  <c r="AG33" i="3"/>
  <c r="AH33" i="3" s="1"/>
  <c r="AF33" i="3"/>
  <c r="AE33" i="3"/>
  <c r="AI32" i="3"/>
  <c r="AG32" i="3"/>
  <c r="AH32" i="3" s="1"/>
  <c r="AF32" i="3"/>
  <c r="AE32" i="3"/>
  <c r="AI31" i="3"/>
  <c r="AG31" i="3"/>
  <c r="AH31" i="3" s="1"/>
  <c r="AF31" i="3"/>
  <c r="AE31" i="3"/>
  <c r="AI30" i="3"/>
  <c r="AG30" i="3"/>
  <c r="AH30" i="3" s="1"/>
  <c r="AF30" i="3"/>
  <c r="AE30" i="3"/>
  <c r="AI29" i="3"/>
  <c r="AG29" i="3"/>
  <c r="AH29" i="3" s="1"/>
  <c r="AF29" i="3"/>
  <c r="AE29" i="3"/>
  <c r="AI28" i="3"/>
  <c r="AG28" i="3"/>
  <c r="AH28" i="3" s="1"/>
  <c r="AF28" i="3"/>
  <c r="AE28" i="3"/>
  <c r="AI27" i="3"/>
  <c r="AG27" i="3"/>
  <c r="AH27" i="3" s="1"/>
  <c r="AF27" i="3"/>
  <c r="AE27" i="3"/>
  <c r="AI26" i="3"/>
  <c r="AG26" i="3"/>
  <c r="AH26" i="3" s="1"/>
  <c r="AF26" i="3"/>
  <c r="AE26" i="3"/>
  <c r="AI25" i="3"/>
  <c r="AG25" i="3"/>
  <c r="AH25" i="3" s="1"/>
  <c r="AF25" i="3"/>
  <c r="AE25" i="3"/>
  <c r="AI24" i="3"/>
  <c r="AG24" i="3"/>
  <c r="AH24" i="3" s="1"/>
  <c r="AF24" i="3"/>
  <c r="AE24" i="3"/>
  <c r="AI23" i="3"/>
  <c r="AG23" i="3"/>
  <c r="AH23" i="3" s="1"/>
  <c r="AF23" i="3"/>
  <c r="AE23" i="3"/>
  <c r="AI22" i="3"/>
  <c r="AG22" i="3"/>
  <c r="AH22" i="3" s="1"/>
  <c r="AF22" i="3"/>
  <c r="AE22" i="3"/>
  <c r="AI21" i="3"/>
  <c r="AG21" i="3"/>
  <c r="AH21" i="3" s="1"/>
  <c r="AF21" i="3"/>
  <c r="AE21" i="3"/>
  <c r="AI20" i="3"/>
  <c r="AG20" i="3"/>
  <c r="AH20" i="3" s="1"/>
  <c r="AF20" i="3"/>
  <c r="AE20" i="3"/>
  <c r="AI19" i="3"/>
  <c r="AG19" i="3"/>
  <c r="AH19" i="3" s="1"/>
  <c r="AF19" i="3"/>
  <c r="AE19" i="3"/>
  <c r="AI18" i="3"/>
  <c r="AG18" i="3"/>
  <c r="AH18" i="3" s="1"/>
  <c r="AF18" i="3"/>
  <c r="AE18" i="3"/>
  <c r="AI17" i="3"/>
  <c r="AG17" i="3"/>
  <c r="AH17" i="3" s="1"/>
  <c r="AF17" i="3"/>
  <c r="AE17" i="3"/>
  <c r="AI16" i="3"/>
  <c r="AG16" i="3"/>
  <c r="AH16" i="3" s="1"/>
  <c r="AF16" i="3"/>
  <c r="AE16" i="3"/>
  <c r="AI15" i="3"/>
  <c r="AG15" i="3"/>
  <c r="AH15" i="3" s="1"/>
  <c r="AF15" i="3"/>
  <c r="AE15" i="3"/>
  <c r="AI14" i="3"/>
  <c r="AG14" i="3"/>
  <c r="AH14" i="3" s="1"/>
  <c r="AF14" i="3"/>
  <c r="AE14" i="3"/>
  <c r="AF13" i="3"/>
  <c r="AG13" i="3" s="1"/>
  <c r="AH13" i="3" s="1"/>
  <c r="AE13" i="3"/>
  <c r="AI13" i="3" s="1"/>
  <c r="AF12" i="3"/>
  <c r="AG12" i="3" s="1"/>
  <c r="AH12" i="3" s="1"/>
  <c r="AE12" i="3"/>
  <c r="AI12" i="3" s="1"/>
  <c r="AF11" i="3"/>
  <c r="AG11" i="3" s="1"/>
  <c r="AH11" i="3" s="1"/>
  <c r="AE11" i="3"/>
  <c r="AI10" i="3"/>
  <c r="AF10" i="3"/>
  <c r="AG10" i="3" s="1"/>
  <c r="AH10" i="3" s="1"/>
  <c r="AE10" i="3"/>
  <c r="AF9" i="3"/>
  <c r="AG9" i="3" s="1"/>
  <c r="AH9" i="3" s="1"/>
  <c r="AE9" i="3"/>
  <c r="AI9" i="3" s="1"/>
  <c r="AF8" i="3"/>
  <c r="AG8" i="3" s="1"/>
  <c r="AH8" i="3" s="1"/>
  <c r="AE8" i="3"/>
  <c r="AI8" i="3" s="1"/>
  <c r="AF7" i="3"/>
  <c r="AE7" i="3"/>
  <c r="AF6" i="3"/>
  <c r="AG6" i="3" s="1"/>
  <c r="AH6" i="3" s="1"/>
  <c r="AE6" i="3"/>
  <c r="AI6" i="3" s="1"/>
  <c r="AF5" i="3"/>
  <c r="AG5" i="3" s="1"/>
  <c r="AH5" i="3" s="1"/>
  <c r="AE5" i="3"/>
  <c r="AI5" i="3" s="1"/>
  <c r="AF4" i="3"/>
  <c r="AG4" i="3" s="1"/>
  <c r="AH4" i="3" s="1"/>
  <c r="AE4" i="3"/>
  <c r="AI4" i="3" s="1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D82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G49" i="2"/>
  <c r="B49" i="2"/>
  <c r="A49" i="2"/>
  <c r="B48" i="2"/>
  <c r="A48" i="2"/>
  <c r="B47" i="2"/>
  <c r="A47" i="2"/>
  <c r="B46" i="2"/>
  <c r="A46" i="2"/>
  <c r="C42" i="2"/>
  <c r="B42" i="2"/>
  <c r="C41" i="2"/>
  <c r="B41" i="2"/>
  <c r="C40" i="2"/>
  <c r="B40" i="2"/>
  <c r="C38" i="2"/>
  <c r="B38" i="2"/>
  <c r="C37" i="2"/>
  <c r="B37" i="2"/>
  <c r="C35" i="2"/>
  <c r="B35" i="2"/>
  <c r="C34" i="2"/>
  <c r="B34" i="2"/>
  <c r="C33" i="2"/>
  <c r="B33" i="2"/>
  <c r="C32" i="2"/>
  <c r="B32" i="2"/>
  <c r="A29" i="2"/>
  <c r="D27" i="2"/>
  <c r="C27" i="2"/>
  <c r="D26" i="2"/>
  <c r="C26" i="2"/>
  <c r="D25" i="2"/>
  <c r="C25" i="2"/>
  <c r="D24" i="2"/>
  <c r="C24" i="2"/>
  <c r="A22" i="2"/>
  <c r="B19" i="2"/>
  <c r="A19" i="2"/>
  <c r="B18" i="2"/>
  <c r="B20" i="2" s="1"/>
  <c r="A18" i="2"/>
  <c r="A16" i="2"/>
  <c r="B13" i="2"/>
  <c r="A13" i="2"/>
  <c r="B12" i="2"/>
  <c r="A12" i="2"/>
  <c r="B11" i="2"/>
  <c r="A11" i="2"/>
  <c r="B10" i="2"/>
  <c r="B14" i="2" s="1"/>
  <c r="A10" i="2"/>
  <c r="A8" i="2"/>
  <c r="K6" i="2"/>
  <c r="C5" i="2"/>
  <c r="G4" i="2"/>
  <c r="K4" i="2" s="1"/>
  <c r="G3" i="2"/>
  <c r="A44" i="2" l="1"/>
  <c r="C48" i="2"/>
  <c r="B31" i="2"/>
  <c r="B36" i="2" s="1"/>
  <c r="C49" i="2"/>
  <c r="AI11" i="3"/>
  <c r="G5" i="2"/>
  <c r="K5" i="2" s="1"/>
  <c r="E18" i="7"/>
  <c r="E19" i="7"/>
  <c r="C19" i="2" s="1"/>
  <c r="E10" i="7"/>
  <c r="E11" i="7"/>
  <c r="C11" i="2" s="1"/>
  <c r="X5" i="6"/>
  <c r="Y5" i="6" s="1"/>
  <c r="U5" i="6"/>
  <c r="K55" i="2" s="1"/>
  <c r="T5" i="6"/>
  <c r="A54" i="2"/>
  <c r="C54" i="2"/>
  <c r="E54" i="2"/>
  <c r="G54" i="2"/>
  <c r="A55" i="2"/>
  <c r="C55" i="2"/>
  <c r="E55" i="2"/>
  <c r="F55" i="2"/>
  <c r="H55" i="2"/>
  <c r="J55" i="2"/>
  <c r="L55" i="2"/>
  <c r="B56" i="2"/>
  <c r="D56" i="2"/>
  <c r="F56" i="2"/>
  <c r="H56" i="2"/>
  <c r="J56" i="2"/>
  <c r="L56" i="2"/>
  <c r="B57" i="2"/>
  <c r="D57" i="2"/>
  <c r="F57" i="2"/>
  <c r="H57" i="2"/>
  <c r="J57" i="2"/>
  <c r="L57" i="2"/>
  <c r="B58" i="2"/>
  <c r="D58" i="2"/>
  <c r="E58" i="2"/>
  <c r="G58" i="2"/>
  <c r="I58" i="2"/>
  <c r="K58" i="2"/>
  <c r="L58" i="2"/>
  <c r="B59" i="2"/>
  <c r="D59" i="2"/>
  <c r="F59" i="2"/>
  <c r="H59" i="2"/>
  <c r="J59" i="2"/>
  <c r="L59" i="2"/>
  <c r="A60" i="2"/>
  <c r="C60" i="2"/>
  <c r="E60" i="2"/>
  <c r="G60" i="2"/>
  <c r="I60" i="2"/>
  <c r="K60" i="2"/>
  <c r="A61" i="2"/>
  <c r="C61" i="2"/>
  <c r="E61" i="2"/>
  <c r="G61" i="2"/>
  <c r="I61" i="2"/>
  <c r="K61" i="2"/>
  <c r="A62" i="2"/>
  <c r="C62" i="2"/>
  <c r="D62" i="2"/>
  <c r="F62" i="2"/>
  <c r="G62" i="2"/>
  <c r="H62" i="2"/>
  <c r="I62" i="2"/>
  <c r="J62" i="2"/>
  <c r="K62" i="2"/>
  <c r="A63" i="2"/>
  <c r="B63" i="2"/>
  <c r="C63" i="2"/>
  <c r="D63" i="2"/>
  <c r="E63" i="2"/>
  <c r="F63" i="2"/>
  <c r="G63" i="2"/>
  <c r="H63" i="2"/>
  <c r="I63" i="2"/>
  <c r="J63" i="2"/>
  <c r="K63" i="2"/>
  <c r="L63" i="2"/>
  <c r="A64" i="2"/>
  <c r="B64" i="2"/>
  <c r="C64" i="2"/>
  <c r="D64" i="2"/>
  <c r="E64" i="2"/>
  <c r="F64" i="2"/>
  <c r="G64" i="2"/>
  <c r="H64" i="2"/>
  <c r="I64" i="2"/>
  <c r="J64" i="2"/>
  <c r="K64" i="2"/>
  <c r="L64" i="2"/>
  <c r="A65" i="2"/>
  <c r="B65" i="2"/>
  <c r="C65" i="2"/>
  <c r="D65" i="2"/>
  <c r="E65" i="2"/>
  <c r="F65" i="2"/>
  <c r="G65" i="2"/>
  <c r="H65" i="2"/>
  <c r="I65" i="2"/>
  <c r="J65" i="2"/>
  <c r="K65" i="2"/>
  <c r="L65" i="2"/>
  <c r="B54" i="2"/>
  <c r="D54" i="2"/>
  <c r="F54" i="2"/>
  <c r="H54" i="2"/>
  <c r="B55" i="2"/>
  <c r="D55" i="2"/>
  <c r="G55" i="2"/>
  <c r="I55" i="2"/>
  <c r="A56" i="2"/>
  <c r="C56" i="2"/>
  <c r="E56" i="2"/>
  <c r="G56" i="2"/>
  <c r="I56" i="2"/>
  <c r="K56" i="2"/>
  <c r="A57" i="2"/>
  <c r="C57" i="2"/>
  <c r="E57" i="2"/>
  <c r="G57" i="2"/>
  <c r="I57" i="2"/>
  <c r="K57" i="2"/>
  <c r="A58" i="2"/>
  <c r="C58" i="2"/>
  <c r="F58" i="2"/>
  <c r="H58" i="2"/>
  <c r="J58" i="2"/>
  <c r="A59" i="2"/>
  <c r="C59" i="2"/>
  <c r="E59" i="2"/>
  <c r="G59" i="2"/>
  <c r="I59" i="2"/>
  <c r="K59" i="2"/>
  <c r="B60" i="2"/>
  <c r="D60" i="2"/>
  <c r="F60" i="2"/>
  <c r="H60" i="2"/>
  <c r="J60" i="2"/>
  <c r="L60" i="2"/>
  <c r="B61" i="2"/>
  <c r="D61" i="2"/>
  <c r="F61" i="2"/>
  <c r="H61" i="2"/>
  <c r="J61" i="2"/>
  <c r="L61" i="2"/>
  <c r="B62" i="2"/>
  <c r="E62" i="2"/>
  <c r="L62" i="2"/>
  <c r="S4" i="6"/>
  <c r="I54" i="2" s="1"/>
  <c r="AG7" i="3"/>
  <c r="AH7" i="3" s="1"/>
  <c r="V4" i="6"/>
  <c r="L54" i="2" s="1"/>
  <c r="AI7" i="3"/>
  <c r="G24" i="2"/>
  <c r="G25" i="2"/>
  <c r="G26" i="2"/>
  <c r="G27" i="2"/>
  <c r="C93" i="2"/>
  <c r="D93" i="2"/>
  <c r="E93" i="2"/>
  <c r="F93" i="2" s="1"/>
  <c r="G93" i="2"/>
  <c r="H93" i="2"/>
  <c r="I93" i="2"/>
  <c r="J93" i="2"/>
  <c r="K93" i="2"/>
  <c r="L93" i="2"/>
  <c r="G92" i="2"/>
  <c r="H92" i="2"/>
  <c r="I92" i="2"/>
  <c r="J92" i="2"/>
  <c r="C92" i="2"/>
  <c r="K92" i="2"/>
  <c r="E92" i="2"/>
  <c r="F92" i="2" s="1"/>
  <c r="D92" i="2"/>
  <c r="L92" i="2"/>
  <c r="G91" i="2"/>
  <c r="I91" i="2"/>
  <c r="D91" i="2"/>
  <c r="J91" i="2"/>
  <c r="K91" i="2"/>
  <c r="H91" i="2"/>
  <c r="L91" i="2"/>
  <c r="C91" i="2"/>
  <c r="E91" i="2"/>
  <c r="F91" i="2" s="1"/>
  <c r="I90" i="2"/>
  <c r="J90" i="2"/>
  <c r="D90" i="2"/>
  <c r="G90" i="2"/>
  <c r="E90" i="2"/>
  <c r="F90" i="2" s="1"/>
  <c r="C90" i="2"/>
  <c r="L90" i="2"/>
  <c r="H90" i="2"/>
  <c r="K90" i="2"/>
  <c r="L89" i="2"/>
  <c r="E89" i="2"/>
  <c r="F89" i="2" s="1"/>
  <c r="K89" i="2"/>
  <c r="J89" i="2"/>
  <c r="I89" i="2"/>
  <c r="H89" i="2"/>
  <c r="G89" i="2"/>
  <c r="D89" i="2"/>
  <c r="C89" i="2"/>
  <c r="C88" i="2"/>
  <c r="E88" i="2"/>
  <c r="F88" i="2" s="1"/>
  <c r="G88" i="2"/>
  <c r="D88" i="2"/>
  <c r="H88" i="2"/>
  <c r="I88" i="2"/>
  <c r="J88" i="2"/>
  <c r="K88" i="2"/>
  <c r="L88" i="2"/>
  <c r="C87" i="2"/>
  <c r="D87" i="2"/>
  <c r="L87" i="2"/>
  <c r="K87" i="2"/>
  <c r="J87" i="2"/>
  <c r="I87" i="2"/>
  <c r="H87" i="2"/>
  <c r="G87" i="2"/>
  <c r="E87" i="2"/>
  <c r="F87" i="2" s="1"/>
  <c r="L86" i="2"/>
  <c r="K86" i="2"/>
  <c r="J86" i="2"/>
  <c r="I86" i="2"/>
  <c r="H86" i="2"/>
  <c r="G86" i="2"/>
  <c r="C86" i="2"/>
  <c r="E86" i="2"/>
  <c r="F86" i="2" s="1"/>
  <c r="D86" i="2"/>
  <c r="H85" i="2"/>
  <c r="D85" i="2"/>
  <c r="G85" i="2"/>
  <c r="I85" i="2"/>
  <c r="K85" i="2"/>
  <c r="L85" i="2"/>
  <c r="J85" i="2"/>
  <c r="E85" i="2"/>
  <c r="F85" i="2" s="1"/>
  <c r="C85" i="2"/>
  <c r="D84" i="2"/>
  <c r="I84" i="2"/>
  <c r="J84" i="2"/>
  <c r="K84" i="2"/>
  <c r="L84" i="2"/>
  <c r="E84" i="2"/>
  <c r="F84" i="2" s="1"/>
  <c r="C84" i="2"/>
  <c r="G84" i="2"/>
  <c r="H84" i="2"/>
  <c r="L83" i="2"/>
  <c r="E83" i="2"/>
  <c r="F83" i="2" s="1"/>
  <c r="C83" i="2"/>
  <c r="G83" i="2"/>
  <c r="D83" i="2"/>
  <c r="I83" i="2"/>
  <c r="K83" i="2"/>
  <c r="H83" i="2"/>
  <c r="J83" i="2"/>
  <c r="L82" i="2"/>
  <c r="J82" i="2"/>
  <c r="I82" i="2"/>
  <c r="G82" i="2"/>
  <c r="H82" i="2"/>
  <c r="E82" i="2"/>
  <c r="F82" i="2" s="1"/>
  <c r="C82" i="2"/>
  <c r="K82" i="2"/>
  <c r="C81" i="2"/>
  <c r="L81" i="2"/>
  <c r="K81" i="2"/>
  <c r="J81" i="2"/>
  <c r="I81" i="2"/>
  <c r="H81" i="2"/>
  <c r="G81" i="2"/>
  <c r="E81" i="2"/>
  <c r="F81" i="2" s="1"/>
  <c r="D81" i="2"/>
  <c r="K80" i="2"/>
  <c r="L80" i="2"/>
  <c r="C80" i="2"/>
  <c r="D80" i="2"/>
  <c r="E80" i="2"/>
  <c r="F80" i="2" s="1"/>
  <c r="G80" i="2"/>
  <c r="H80" i="2"/>
  <c r="I80" i="2"/>
  <c r="J80" i="2"/>
  <c r="D79" i="2"/>
  <c r="E79" i="2"/>
  <c r="F79" i="2" s="1"/>
  <c r="G79" i="2"/>
  <c r="H79" i="2"/>
  <c r="I79" i="2"/>
  <c r="J79" i="2"/>
  <c r="K79" i="2"/>
  <c r="L79" i="2"/>
  <c r="C79" i="2"/>
  <c r="D78" i="2"/>
  <c r="L78" i="2"/>
  <c r="K78" i="2"/>
  <c r="J78" i="2"/>
  <c r="I78" i="2"/>
  <c r="H78" i="2"/>
  <c r="G78" i="2"/>
  <c r="C78" i="2"/>
  <c r="E78" i="2"/>
  <c r="F78" i="2" s="1"/>
  <c r="L77" i="2"/>
  <c r="K77" i="2"/>
  <c r="J77" i="2"/>
  <c r="I77" i="2"/>
  <c r="H77" i="2"/>
  <c r="G77" i="2"/>
  <c r="E77" i="2"/>
  <c r="F77" i="2" s="1"/>
  <c r="D77" i="2"/>
  <c r="C77" i="2"/>
  <c r="C76" i="2"/>
  <c r="D76" i="2"/>
  <c r="L76" i="2"/>
  <c r="K76" i="2"/>
  <c r="J76" i="2"/>
  <c r="I76" i="2"/>
  <c r="H76" i="2"/>
  <c r="G76" i="2"/>
  <c r="E76" i="2"/>
  <c r="F76" i="2" s="1"/>
  <c r="L75" i="2"/>
  <c r="J75" i="2"/>
  <c r="I75" i="2"/>
  <c r="H75" i="2"/>
  <c r="G75" i="2"/>
  <c r="K75" i="2"/>
  <c r="E75" i="2"/>
  <c r="F75" i="2" s="1"/>
  <c r="D75" i="2"/>
  <c r="C75" i="2"/>
  <c r="J74" i="2"/>
  <c r="I74" i="2"/>
  <c r="H74" i="2"/>
  <c r="G74" i="2"/>
  <c r="L74" i="2"/>
  <c r="E74" i="2"/>
  <c r="F74" i="2" s="1"/>
  <c r="D74" i="2"/>
  <c r="C74" i="2"/>
  <c r="K74" i="2"/>
  <c r="L73" i="2"/>
  <c r="K73" i="2"/>
  <c r="D73" i="2"/>
  <c r="C73" i="2"/>
  <c r="D72" i="2"/>
  <c r="C72" i="2"/>
  <c r="I72" i="2"/>
  <c r="J72" i="2"/>
  <c r="K72" i="2"/>
  <c r="L72" i="2"/>
  <c r="E72" i="2"/>
  <c r="F72" i="2" s="1"/>
  <c r="G71" i="2"/>
  <c r="I71" i="2"/>
  <c r="H71" i="2"/>
  <c r="J71" i="2"/>
  <c r="K71" i="2"/>
  <c r="C71" i="2"/>
  <c r="D71" i="2"/>
  <c r="E71" i="2"/>
  <c r="F71" i="2" s="1"/>
  <c r="L71" i="2"/>
  <c r="C70" i="2"/>
  <c r="E70" i="2"/>
  <c r="F70" i="2" s="1"/>
  <c r="G70" i="2"/>
  <c r="H70" i="2"/>
  <c r="I70" i="2"/>
  <c r="J70" i="2"/>
  <c r="K70" i="2"/>
  <c r="L70" i="2"/>
  <c r="D70" i="2"/>
  <c r="E49" i="2"/>
  <c r="D49" i="2"/>
  <c r="G48" i="2"/>
  <c r="E48" i="2"/>
  <c r="D48" i="2"/>
  <c r="G47" i="2"/>
  <c r="E47" i="2"/>
  <c r="D47" i="2"/>
  <c r="B50" i="2"/>
  <c r="C47" i="2"/>
  <c r="C46" i="2"/>
  <c r="E46" i="2"/>
  <c r="D46" i="2"/>
  <c r="G46" i="2"/>
  <c r="E26" i="2"/>
  <c r="F26" i="2" s="1"/>
  <c r="E27" i="2"/>
  <c r="F27" i="2" s="1"/>
  <c r="E24" i="2"/>
  <c r="F24" i="2" s="1"/>
  <c r="E25" i="2"/>
  <c r="F25" i="2" s="1"/>
  <c r="D19" i="2"/>
  <c r="E19" i="2"/>
  <c r="G19" i="2"/>
  <c r="H19" i="2"/>
  <c r="D18" i="2"/>
  <c r="D20" i="2" s="1"/>
  <c r="E18" i="2"/>
  <c r="E20" i="2" s="1"/>
  <c r="G18" i="2"/>
  <c r="G20" i="2" s="1"/>
  <c r="H18" i="2"/>
  <c r="H20" i="2" s="1"/>
  <c r="H13" i="2"/>
  <c r="D13" i="2"/>
  <c r="G13" i="2"/>
  <c r="E13" i="2"/>
  <c r="F13" i="2" s="1"/>
  <c r="D12" i="2"/>
  <c r="E12" i="2"/>
  <c r="F12" i="2" s="1"/>
  <c r="G12" i="2"/>
  <c r="H12" i="2"/>
  <c r="H11" i="2"/>
  <c r="D11" i="2"/>
  <c r="E11" i="2"/>
  <c r="G11" i="2"/>
  <c r="D10" i="2"/>
  <c r="E10" i="2"/>
  <c r="E14" i="2" s="1"/>
  <c r="G10" i="2"/>
  <c r="G14" i="2" s="1"/>
  <c r="H10" i="2"/>
  <c r="H14" i="2" s="1"/>
  <c r="F48" i="2" l="1"/>
  <c r="H48" i="2"/>
  <c r="F49" i="2"/>
  <c r="H49" i="2"/>
  <c r="E20" i="7"/>
  <c r="C18" i="2"/>
  <c r="F19" i="2"/>
  <c r="I19" i="2"/>
  <c r="J19" i="2"/>
  <c r="E14" i="7"/>
  <c r="C10" i="2"/>
  <c r="F11" i="2"/>
  <c r="I11" i="2"/>
  <c r="J11" i="2"/>
  <c r="T4" i="6"/>
  <c r="J54" i="2" s="1"/>
  <c r="U4" i="6"/>
  <c r="K54" i="2" s="1"/>
  <c r="X4" i="6"/>
  <c r="Y4" i="6" s="1"/>
  <c r="B39" i="2"/>
  <c r="C39" i="2"/>
  <c r="H24" i="2"/>
  <c r="I24" i="2" s="1"/>
  <c r="H25" i="2"/>
  <c r="I25" i="2" s="1"/>
  <c r="H26" i="2"/>
  <c r="I26" i="2" s="1"/>
  <c r="H27" i="2"/>
  <c r="I27" i="2" s="1"/>
  <c r="F47" i="2"/>
  <c r="H47" i="2"/>
  <c r="F46" i="2"/>
  <c r="H46" i="2"/>
  <c r="C50" i="2"/>
  <c r="H50" i="2" s="1"/>
  <c r="D14" i="2"/>
  <c r="E50" i="2"/>
  <c r="D50" i="2"/>
  <c r="G50" i="2"/>
  <c r="J73" i="2"/>
  <c r="I73" i="2"/>
  <c r="H73" i="2"/>
  <c r="G73" i="2"/>
  <c r="E73" i="2"/>
  <c r="F73" i="2" s="1"/>
  <c r="G72" i="2"/>
  <c r="H72" i="2"/>
  <c r="I13" i="2"/>
  <c r="J13" i="2"/>
  <c r="I12" i="2"/>
  <c r="J12" i="2"/>
  <c r="F18" i="2" l="1"/>
  <c r="F20" i="2" s="1"/>
  <c r="I18" i="2"/>
  <c r="J18" i="2"/>
  <c r="C20" i="2"/>
  <c r="F10" i="2"/>
  <c r="F14" i="2" s="1"/>
  <c r="I10" i="2"/>
  <c r="J10" i="2"/>
  <c r="C14" i="2"/>
  <c r="F50" i="2"/>
  <c r="I20" i="2" l="1"/>
  <c r="J20" i="2"/>
  <c r="I14" i="2"/>
  <c r="J14" i="2"/>
</calcChain>
</file>

<file path=xl/sharedStrings.xml><?xml version="1.0" encoding="utf-8"?>
<sst xmlns="http://schemas.openxmlformats.org/spreadsheetml/2006/main" count="715" uniqueCount="400">
  <si>
    <t>NÁVOD – PLÁNOVÁNÍ, SCHVALOVÁNÍ A KONTROLA VIDEOOBSAHU</t>
  </si>
  <si>
    <t>K ČEMU SOUBOR SLOUŽÍ</t>
  </si>
  <si>
    <t>Jeden sdílený soubor pro dlouhodobou práci: každý měsíc se přidá nový natáčecí cyklus, scénáře se vkládají do společné databáze a Přehled se přepne na daný měsíc. Nic se nekopíruje, historie zůstává v témže souboru (filtrem podle měsíce nebo cyklu).</t>
  </si>
  <si>
    <t>LISTY</t>
  </si>
  <si>
    <t>Přehled</t>
  </si>
  <si>
    <t>Kontrolní panel pro vedení. Mění se jen dvě žluté buňky: vyhodnocovaný měsíc a natáčecí cyklus. Vše ostatní se počítá samo.</t>
  </si>
  <si>
    <t>Scénáře</t>
  </si>
  <si>
    <t>Hlavní databáze. Jeden řádek = jedno unikátní video nebo jeden díl série. Modré sloupce vyplňuje marketér, oranžové vedení, zelené výroba, šedé se počítají automaticky (nepřepisovat).</t>
  </si>
  <si>
    <t>Připomínky</t>
  </si>
  <si>
    <t>Každá připomínka Honzy / Radka = jeden řádek. Marketér doplní reakci, vedení nastaví stav (Nevyřešeno → Zapracováno → Uzavřeno). Připomínky zůstávají dohledatelné i po zapracování.</t>
  </si>
  <si>
    <t>Publikace</t>
  </si>
  <si>
    <t>Jeden řádek = jedno zveřejnění (profil × varianta). Z tohoto listu se bere datum první publikace a skutečný měsíc. Více zveřejnění jednoho videa (více profilů, hook A/B, repost) počet unikátních videí nezvyšuje.</t>
  </si>
  <si>
    <t>Série</t>
  </si>
  <si>
    <t>Jedna série = jeden řádek. Díly se evidují v listu Scénáře (sloupec ID série + Číslo dílu). Počty připravených, schválených, natočených a publikovaných dílů se dopočítají automaticky. Uzavření série je vědomé rozhodnutí: stav Uzavřená + kdo + kdy; sloupec „Lze uzavřít?“ hlídá podmínky.</t>
  </si>
  <si>
    <t>Nastavení</t>
  </si>
  <si>
    <t>Cíl videí za měsíc, poměry 30/40/20/10, 30/70 a 70/30, tolerance, natáčecí cykly (datum natáčení → termín schválení automaticky 7 dní předem), seznamy lidí a profilů.</t>
  </si>
  <si>
    <t>MĚSÍČNÍ POSTUP</t>
  </si>
  <si>
    <t>1. Nastavení</t>
  </si>
  <si>
    <t>Do tabulky natáčecích cyklů doplňte datum natáčení (řádek pro daný měsíc už existuje). Termín schválení se dopočítá.</t>
  </si>
  <si>
    <t>2. Marketéři</t>
  </si>
  <si>
    <t>Do listu Scénáře vloží každé téma: ID videa (např. V026), název, cyklus, plánovaný měsíc publikace, kategorii, typ zpracování, profil, charakter (u Honzy / Radka), cíl, myšlenku, scénář (text nebo odkaz na sdílený dokument), hooky, termín odevzdání a stav „K připomínkám“, jakmile je scénář hotový.</t>
  </si>
  <si>
    <t>3. Vedení</t>
  </si>
  <si>
    <t>Honza / Radek otevřou scénář, připomínky píší do listu Připomínky. V listu Scénáře nastaví stav „K dopracování“, nebo „Schváleno“ + Schválil + Datum schválení. Bez jména a data se schválení hlásí jako chyba.</t>
  </si>
  <si>
    <t>4. Před natáčením</t>
  </si>
  <si>
    <t>V Přehledu zkontrolujte sekce 4 a 5 (co chybí do mixu, kolik je po termínu). V listu Scénáře vyfiltrujte Stav schválení = Schváleno a daný cyklus – to je sada pro natáčecí den.</t>
  </si>
  <si>
    <t>5. Po natáčení</t>
  </si>
  <si>
    <t>Výroba nastaví Stav výroby (Natočeno → Ve střihu → Sestříháno → Publikováno) a doplní odkazy. Každé zveřejnění zapíše do listu Publikace (profil, datum, varianta, odkaz).</t>
  </si>
  <si>
    <t>6. Kontrola publikace</t>
  </si>
  <si>
    <t>V Přehledu přepněte měsíc – sloupce Publikováno a Plnění ukážou, zda skutečně zveřejněný obsah odpovídá mixu. Sekce 7 ukazuje historii po měsících.</t>
  </si>
  <si>
    <t>SÉRIE</t>
  </si>
  <si>
    <t>Novou sérii založte v listu Série (ID např. S03, název, kategorie, garant, plánovaný počet dílů). Každý díl vložte do listu Scénáře jako samostatné video s ID série a číslem dílu. Díl má vlastní kategorii, typ zpracování i měsíc publikace – do měsíčního mixu se počítá každý díl zvlášť podle svého měsíce. Pokud se změní počet dílů, upravte „Plánovaný počet dílů“ a vyplňte důvod změny.</t>
  </si>
  <si>
    <t>BAREVNÁ SIGNALIZACE</t>
  </si>
  <si>
    <t>Červená</t>
  </si>
  <si>
    <t>Chybí scénáře, prošlý termín, nevyřešená kontrola, poměr mimo toleranci.</t>
  </si>
  <si>
    <t>Žlutá / oranžová</t>
  </si>
  <si>
    <t>Čeká na další krok (vedení nebo marketér), chybějící údaj.</t>
  </si>
  <si>
    <t>Zelená</t>
  </si>
  <si>
    <t>Schváleno / publikováno / splněno.</t>
  </si>
  <si>
    <t>GOOGLE TABULKY</t>
  </si>
  <si>
    <t>Soubor nahrajte na Disk Google, otevřete a zvolte Soubor → Uložit jako Tabulky Google. Vzorce, rozbalovací seznamy i barevné zvýraznění fungují beze změn, získáte historii verzí a souběžnou práci více lidí. Pracujte dál jen v googlovské verzi.</t>
  </si>
  <si>
    <t>ZÁSADY</t>
  </si>
  <si>
    <t>Nemažte a nepřejmenovávejte stavy v Nastavení (používají je vzorce). Neměňte pořadí sloupců v listu Scénáře. Nové řádky vkládejte do volných řádků pod poslední záznam (vzorce jsou připravené do řádku 503; u sérií do 103). Ukázkové řádky označené „UKÁZKA“ smažte, až začnete pracovat naostro.</t>
  </si>
  <si>
    <t>GTA PARTNERS – PŘEHLED PLÁNOVÁNÍ A KONTROLY VIDEOOBSAHU</t>
  </si>
  <si>
    <t>Měňte pouze dvě žluté buňky (měsíc a natáčecí cyklus). Vše ostatní se počítá automaticky z listů Scénáře, Publikace, Série a Nastavení.</t>
  </si>
  <si>
    <t>Vyhodnocovaný měsíc publikace</t>
  </si>
  <si>
    <t>2026-11</t>
  </si>
  <si>
    <t>Cíl videí za měsíc</t>
  </si>
  <si>
    <t>Natáčecí cyklus</t>
  </si>
  <si>
    <t>Datum natáčení</t>
  </si>
  <si>
    <t>Dní do natáčení</t>
  </si>
  <si>
    <t>Dnes</t>
  </si>
  <si>
    <t>Termín schválení scénářů</t>
  </si>
  <si>
    <t>Dní do termínu schválení</t>
  </si>
  <si>
    <t>Plán videí pro cyklus</t>
  </si>
  <si>
    <t>Cíl klipů z natáčecího dne</t>
  </si>
  <si>
    <t>Kategorie</t>
  </si>
  <si>
    <t>Cíl %</t>
  </si>
  <si>
    <t>Plán (ks)</t>
  </si>
  <si>
    <t>Navrženo (scénáře)</t>
  </si>
  <si>
    <t>Schváleno</t>
  </si>
  <si>
    <t>Chybí ke schválení</t>
  </si>
  <si>
    <t>Natočeno</t>
  </si>
  <si>
    <t>Publikováno</t>
  </si>
  <si>
    <t>Plnění publikace</t>
  </si>
  <si>
    <t>Stav</t>
  </si>
  <si>
    <t>Celkem</t>
  </si>
  <si>
    <t>Typ zpracování</t>
  </si>
  <si>
    <t>Profil</t>
  </si>
  <si>
    <t>Charakter</t>
  </si>
  <si>
    <t>Scénáře (ks)</t>
  </si>
  <si>
    <t>Scénáře %</t>
  </si>
  <si>
    <t>Stav přípravy</t>
  </si>
  <si>
    <t>Publikováno (ks)</t>
  </si>
  <si>
    <t>Publikováno %</t>
  </si>
  <si>
    <t>Stav publikace</t>
  </si>
  <si>
    <t>Honza</t>
  </si>
  <si>
    <t>Osobní</t>
  </si>
  <si>
    <t>Pracovní</t>
  </si>
  <si>
    <t>Radek</t>
  </si>
  <si>
    <t>Ukazatel</t>
  </si>
  <si>
    <t>Vybraný cyklus</t>
  </si>
  <si>
    <t>Všechny cykly</t>
  </si>
  <si>
    <t>Poznámka</t>
  </si>
  <si>
    <t>Z listu Nastavení (tabulka cyklů).</t>
  </si>
  <si>
    <t>Scénářů celkem (bez odložených a zrušených)</t>
  </si>
  <si>
    <t>Vše, co marketéři vložili.</t>
  </si>
  <si>
    <t>Čeká na zpětnou vazbu vedení (K připomínkám + K finálnímu schválení)</t>
  </si>
  <si>
    <t>Další krok: Honza / Radek.</t>
  </si>
  <si>
    <t>Čeká na marketéry (Rozpracováno + K dopracování)</t>
  </si>
  <si>
    <t>Další krok: marketing.</t>
  </si>
  <si>
    <t>Chybí schválených do plánu cyklu</t>
  </si>
  <si>
    <t>Plán − schváleno.</t>
  </si>
  <si>
    <t>Schváleno a čeká na natáčení</t>
  </si>
  <si>
    <t>Před natáčením vyfiltrujte v listu Scénáře: Stav schválení = Schváleno.</t>
  </si>
  <si>
    <t>Po termínu odevzdání scénáře (neschválené)</t>
  </si>
  <si>
    <t>Termín odevzdání scénáře už prošel.</t>
  </si>
  <si>
    <t>Neschváleno po termínu schválení cyklu</t>
  </si>
  <si>
    <t>Termín schválení (datum natáčení − 7 dní) prošel a scénář není schválen.</t>
  </si>
  <si>
    <t>Otevřené připomínky (Nevyřešeno)</t>
  </si>
  <si>
    <t>Z listu Připomínky.</t>
  </si>
  <si>
    <t>Natočeno (vč. ve střihu a publikovaných)</t>
  </si>
  <si>
    <t>Odloženo / Zrušeno</t>
  </si>
  <si>
    <t>6. OBSAHOVÉ SÉRIE – všechny kromě uzavřených a zrušených (pozastavené zůstávají vidět)</t>
  </si>
  <si>
    <t>Název série</t>
  </si>
  <si>
    <t>ID</t>
  </si>
  <si>
    <t>Garant</t>
  </si>
  <si>
    <t>Plán dílů</t>
  </si>
  <si>
    <t>Díly se scénářem</t>
  </si>
  <si>
    <t>Plnění</t>
  </si>
  <si>
    <t>Zbývá dílů</t>
  </si>
  <si>
    <t>Otevřené připomínky</t>
  </si>
  <si>
    <t>Zobrazuje se prvních 12 aktivních sérií. Detail dílů: list Scénáře → filtr sloupce ID série.</t>
  </si>
  <si>
    <t>7. HISTORIE PO MĚSÍCÍCH – dlouhodobý přehled (Publikováno = podle skutečného data zveřejnění)</t>
  </si>
  <si>
    <t>Měsíc</t>
  </si>
  <si>
    <t>Scénáře (plán. měsíc)</t>
  </si>
  <si>
    <t>Nábor a vedení</t>
  </si>
  <si>
    <t>Osobní brand</t>
  </si>
  <si>
    <t>Trendy a trh</t>
  </si>
  <si>
    <t>Produkt. tipy</t>
  </si>
  <si>
    <t>Odborné</t>
  </si>
  <si>
    <t>Instagramové</t>
  </si>
  <si>
    <t>DATABÁZE TÉMAT A SCÉNÁŘŮ – jeden řádek = jedno unikátní video nebo jeden díl série</t>
  </si>
  <si>
    <t>VYPLŇUJE MARKETÉR</t>
  </si>
  <si>
    <t>VYPLŇUJE VEDENÍ (Honza / Radek)</t>
  </si>
  <si>
    <t>VÝROBA A POSTPRODUKCE</t>
  </si>
  <si>
    <t>AUTOMATICKY – NEPŘEPISOVAT</t>
  </si>
  <si>
    <t>ID videa</t>
  </si>
  <si>
    <t>Pracovní název</t>
  </si>
  <si>
    <t>ID série</t>
  </si>
  <si>
    <t>Číslo dílu</t>
  </si>
  <si>
    <t>Plánovaný měsíc publikace</t>
  </si>
  <si>
    <t>Tematická kategorie</t>
  </si>
  <si>
    <t>Primární profil</t>
  </si>
  <si>
    <t>Charakter pro osobní profil</t>
  </si>
  <si>
    <t>Typ obsahu</t>
  </si>
  <si>
    <t>Původní ID videa (při novém zpracování / střihu)</t>
  </si>
  <si>
    <t>Cíl videa</t>
  </si>
  <si>
    <t>Hlavní myšlenka</t>
  </si>
  <si>
    <t>Kompletní scénář (text nebo odkaz na dokument)</t>
  </si>
  <si>
    <t>Hook A</t>
  </si>
  <si>
    <t>Hook B</t>
  </si>
  <si>
    <t>Hook C</t>
  </si>
  <si>
    <t>Produkční požadavky (lokace, rekvizity, účinkující)</t>
  </si>
  <si>
    <t>Zodpovědný marketér</t>
  </si>
  <si>
    <t>Termín odevzdání scénáře</t>
  </si>
  <si>
    <t>Poznámky marketéra</t>
  </si>
  <si>
    <t>Stav schválení</t>
  </si>
  <si>
    <t>Schválil</t>
  </si>
  <si>
    <t>Datum schválení</t>
  </si>
  <si>
    <t>Poznámka vedení</t>
  </si>
  <si>
    <t>Stav výroby</t>
  </si>
  <si>
    <t>Skutečné datum natáčení</t>
  </si>
  <si>
    <t>Odkaz na natočený materiál</t>
  </si>
  <si>
    <t>Odkaz na finální video</t>
  </si>
  <si>
    <t>Počet publikací</t>
  </si>
  <si>
    <t>Datum první publikace</t>
  </si>
  <si>
    <t>Skutečný měsíc publikace</t>
  </si>
  <si>
    <t>Kontrola (co je potřeba dořešit)</t>
  </si>
  <si>
    <t>V001</t>
  </si>
  <si>
    <t>UKÁZKA – Proč jsme vzali asistentku bez praxe</t>
  </si>
  <si>
    <t>2026-10</t>
  </si>
  <si>
    <t>Nábor, vedení lidí a práce s týmem</t>
  </si>
  <si>
    <t>Odborně hodnotné</t>
  </si>
  <si>
    <t>GTA Partners</t>
  </si>
  <si>
    <t>Nevztahuje se</t>
  </si>
  <si>
    <t>Nové téma</t>
  </si>
  <si>
    <t>Ukázat firemní kulturu a mentoring.</t>
  </si>
  <si>
    <t>U nás roste každý, kdo chce.</t>
  </si>
  <si>
    <t>https://docs.google.com/… (odkaz na scénář)</t>
  </si>
  <si>
    <t>Vzali jsme člověka bez praxe. Tady je proč.</t>
  </si>
  <si>
    <t>Praxe se dá naučit. Postoj ne.</t>
  </si>
  <si>
    <t>Kancelář, Honza + asistentka</t>
  </si>
  <si>
    <t>Marketér A</t>
  </si>
  <si>
    <t>https://… finální video</t>
  </si>
  <si>
    <t>V002</t>
  </si>
  <si>
    <t>UKÁZKA – Ranní rutina před schůzkou s klientem</t>
  </si>
  <si>
    <t>Osobní brand &amp; Lifestyle</t>
  </si>
  <si>
    <t>Zákulisí, lidskost.</t>
  </si>
  <si>
    <t>Disciplína začíná ráno.</t>
  </si>
  <si>
    <t>Text scénáře…</t>
  </si>
  <si>
    <t>5:45. Takhle vypadá moje ráno.</t>
  </si>
  <si>
    <t>Domov, exteriér</t>
  </si>
  <si>
    <t>Marketér B</t>
  </si>
  <si>
    <t>V003</t>
  </si>
  <si>
    <t>UKÁZKA – Co udělá ČNB se sazbami a co to znamená pro hypotéky</t>
  </si>
  <si>
    <t>Trendy a reakce na trh</t>
  </si>
  <si>
    <t>Reakce na aktuální rozhodnutí ČNB.</t>
  </si>
  <si>
    <t>Sazby klesají pomaleji, než se čeká – jak to využít.</t>
  </si>
  <si>
    <t>ČNB právě rozhodla. Tohle to znamená pro vaši hypotéku.</t>
  </si>
  <si>
    <t>Čekáte s hypotékou na nižší sazby? Chyba.</t>
  </si>
  <si>
    <t>Kancelář, grafika sazeb</t>
  </si>
  <si>
    <t>K připomínkám</t>
  </si>
  <si>
    <t>Čeká na natáčení</t>
  </si>
  <si>
    <t>V004</t>
  </si>
  <si>
    <t>UKÁZKA – Investiční chyby: díl 1 – Čekání na správný okamžik</t>
  </si>
  <si>
    <t>S01</t>
  </si>
  <si>
    <t>Produktové a poradenské tipy</t>
  </si>
  <si>
    <t>Otevřít sérii, vysvětlit princip pravidelného investování.</t>
  </si>
  <si>
    <t>Čas na trhu &gt; časování trhu.</t>
  </si>
  <si>
    <t>Nejčastější chyba investorů? Čekání.</t>
  </si>
  <si>
    <t>Kancelář</t>
  </si>
  <si>
    <t>V005</t>
  </si>
  <si>
    <t>UKÁZKA – Investiční chyby: díl 2 – Všechno do jedné akcie</t>
  </si>
  <si>
    <t>Diverzifikace s humorem.</t>
  </si>
  <si>
    <t>Nedávej všechna vejce do jednoho košíku.</t>
  </si>
  <si>
    <t>Koupil jsem jednu akcii. Pak přišlo tohle.</t>
  </si>
  <si>
    <t>Kancelář, rekvizita košík s vejci</t>
  </si>
  <si>
    <t>K dopracování</t>
  </si>
  <si>
    <t>Zkrátit, doplnit konkrétní čísla.</t>
  </si>
  <si>
    <t>V006</t>
  </si>
  <si>
    <t>UKÁZKA – Investiční chyby: díl 3 – Panický prodej</t>
  </si>
  <si>
    <t>2026-12</t>
  </si>
  <si>
    <t>Vysvětlit chování při poklesu trhu.</t>
  </si>
  <si>
    <t>Pokles není ztráta, dokud neprodáš.</t>
  </si>
  <si>
    <t>Trh spadl o 20 %. Co teď?</t>
  </si>
  <si>
    <t>Rozpracováno</t>
  </si>
  <si>
    <t>V007</t>
  </si>
  <si>
    <t>UKÁZKA – Víkend s rodinou na horách</t>
  </si>
  <si>
    <t>Osobní stránka profilu.</t>
  </si>
  <si>
    <t>Práce není všechno.</t>
  </si>
  <si>
    <t>Vypnul jsem telefon na 48 hodin.</t>
  </si>
  <si>
    <t>Exteriér, hory</t>
  </si>
  <si>
    <t>Chybí pointa, dopracovat závěr.</t>
  </si>
  <si>
    <t>V008</t>
  </si>
  <si>
    <t>UKÁZKA – Jak u nás vypadá první měsíc nováčka</t>
  </si>
  <si>
    <t>Nábor – ukázat onboarding.</t>
  </si>
  <si>
    <t>Nikdo u nás není sám.</t>
  </si>
  <si>
    <t>První den. První klient. První výplata.</t>
  </si>
  <si>
    <t>Kancelář, 2–3 kolegové</t>
  </si>
  <si>
    <t>K finálnímu schválení</t>
  </si>
  <si>
    <t>V009</t>
  </si>
  <si>
    <t>UKÁZKA – Běžecká výzva: týden 1</t>
  </si>
  <si>
    <t>Osobní výzva, pravidelný obsah.</t>
  </si>
  <si>
    <t>Malé kroky každý den.</t>
  </si>
  <si>
    <t>Slíbil jsem 100 km za měsíc. Den 1.</t>
  </si>
  <si>
    <t>Exteriér</t>
  </si>
  <si>
    <t>V010</t>
  </si>
  <si>
    <t>UKÁZKA – Nový střih: Proč jsme vzali asistentku bez praxe</t>
  </si>
  <si>
    <t>Nový střih existujícího videa</t>
  </si>
  <si>
    <t>Využít úspěšné téma na osobním profilu.</t>
  </si>
  <si>
    <t>Postoj &gt; praxe.</t>
  </si>
  <si>
    <t>Použít materiál z V001</t>
  </si>
  <si>
    <t>Tohle nikdo v oboru nedělá.</t>
  </si>
  <si>
    <t>Bez natáčení – jen střih</t>
  </si>
  <si>
    <t>Ve střihu</t>
  </si>
  <si>
    <t>PŘIPOMÍNKY A SCHVALOVÁNÍ – každá zpětná vazba Honzy / Radka = jeden řádek (zůstává dohledatelná i po zapracování)</t>
  </si>
  <si>
    <t>VYPLŇUJE VEDENÍ</t>
  </si>
  <si>
    <t>VYPLŇUJE MARKETÉR (stav uzavírá vedení)</t>
  </si>
  <si>
    <t>Pracovní název (automaticky)</t>
  </si>
  <si>
    <t>Datum vložení</t>
  </si>
  <si>
    <t>Autor připomínky</t>
  </si>
  <si>
    <t>Typ</t>
  </si>
  <si>
    <t>Text připomínky / odborné doplnění / návrh změny</t>
  </si>
  <si>
    <t>Reakce marketéra</t>
  </si>
  <si>
    <t>Reagoval</t>
  </si>
  <si>
    <t>Datum reakce</t>
  </si>
  <si>
    <t>Stav připomínky</t>
  </si>
  <si>
    <t>Odborné doplnění</t>
  </si>
  <si>
    <t>Doplnit aktuální výši repo sazby a konkrétní dopad na splátku u hypotéky 5 mil.</t>
  </si>
  <si>
    <t>Nevyřešeno</t>
  </si>
  <si>
    <t>Požadavek na úpravu</t>
  </si>
  <si>
    <t>Zkrátit na 40 s, přidat příklad s reálnými čísly (např. propad jedné akcie o 60 %).</t>
  </si>
  <si>
    <t>Zkráceno, příklad doplněn – verze 2 v dokumentu.</t>
  </si>
  <si>
    <t>Zapracováno</t>
  </si>
  <si>
    <t>Připomínka</t>
  </si>
  <si>
    <t>Chybí pointa – proč to divákovi říkáme? Navázat na téma rovnováhy práce a rodiny.</t>
  </si>
  <si>
    <t>Souhlas / schválení</t>
  </si>
  <si>
    <t>Bez připomínek, schvaluji.</t>
  </si>
  <si>
    <t>Uzavřeno</t>
  </si>
  <si>
    <t>PUBLIKACE – jeden řádek = jedno zveřejnění (profil × varianta). Více řádků k jednomu ID videa NEZVYŠUJE počet unikátních videí.</t>
  </si>
  <si>
    <t>ID série (automaticky)</t>
  </si>
  <si>
    <t>Datum publikace</t>
  </si>
  <si>
    <t>Varianta (hook / střih)</t>
  </si>
  <si>
    <t>Odkaz na publikovaný příspěvek</t>
  </si>
  <si>
    <t>Výsledky / poznámka (A/B test)</t>
  </si>
  <si>
    <t>Hlavní verze</t>
  </si>
  <si>
    <t>https://instagram.com/… (ukázka)</t>
  </si>
  <si>
    <t>Hook B měl o 30 % vyšší dokoukanost.</t>
  </si>
  <si>
    <t>OBSAHOVÉ SÉRIE – jeden řádek = jedna série; díly se evidují v listu Scénáře (sloupec ID série + Číslo dílu)</t>
  </si>
  <si>
    <t>Hlavní tematická kategorie</t>
  </si>
  <si>
    <t>Cíl série (co chceme komunikovat)</t>
  </si>
  <si>
    <t>Garant série</t>
  </si>
  <si>
    <t>Odpovědný marketér</t>
  </si>
  <si>
    <t>Plánovaný počet dílů (aktuální)</t>
  </si>
  <si>
    <t>Původně plánovaný počet dílů</t>
  </si>
  <si>
    <t>Důvod změny rozsahu</t>
  </si>
  <si>
    <t>Datum zahájení</t>
  </si>
  <si>
    <t>Předpokládané dokončení</t>
  </si>
  <si>
    <t>Poznámky</t>
  </si>
  <si>
    <t>Stav série</t>
  </si>
  <si>
    <t>Uzavření potvrdil</t>
  </si>
  <si>
    <t>Datum uzavření</t>
  </si>
  <si>
    <t>Schválené díly</t>
  </si>
  <si>
    <t>Natočené díly</t>
  </si>
  <si>
    <t>Publikované díly</t>
  </si>
  <si>
    <t>Publikace bez odkazu</t>
  </si>
  <si>
    <t>Lze uzavřít?</t>
  </si>
  <si>
    <t>Kontrola</t>
  </si>
  <si>
    <t>Aktivní</t>
  </si>
  <si>
    <t>Pořadí v Přehledu</t>
  </si>
  <si>
    <t>UKÁZKA – Investiční chyby začátečníků</t>
  </si>
  <si>
    <t>Ukázat, že investování má pravidla, a přivést diváky k poradenství.</t>
  </si>
  <si>
    <t>Rozpracovaná</t>
  </si>
  <si>
    <t>S02</t>
  </si>
  <si>
    <t>UKÁZKA – Zákulisí finančního poradce</t>
  </si>
  <si>
    <t>Lidská stránka práce poradce – každodenní realita, humor, tým.</t>
  </si>
  <si>
    <t>Koncept zatím k odsouhlasení.</t>
  </si>
  <si>
    <t>Návrh</t>
  </si>
  <si>
    <t>NASTAVENÍ A PARAMETRY</t>
  </si>
  <si>
    <t>Žluté buňky můžete měnit. Šedé buňky se počítají automaticky. Změna parametru se ihned promítne do listu Přehled.</t>
  </si>
  <si>
    <t>SEZNAMY PRO ROZBALOVACÍ NABÍDKY (žluté položky lze doplnit / přejmenovat; stavy a typy neměňte, používají je vzorce)</t>
  </si>
  <si>
    <t>Cíl publikovaných videí za měsíc</t>
  </si>
  <si>
    <t>Výchozí hodnota ze zadání: 16 videí/měsíc. Cíl natáčecího dne (30–40 klipů) je jiný údaj – viz tabulka cyklů.</t>
  </si>
  <si>
    <t>Marketéři</t>
  </si>
  <si>
    <t>Schvalovatelé (vedení)</t>
  </si>
  <si>
    <t>Profily</t>
  </si>
  <si>
    <t>Typ připomínky</t>
  </si>
  <si>
    <t>Varianta publikace</t>
  </si>
  <si>
    <t>Měsíce publikace</t>
  </si>
  <si>
    <t>Termín schválení scénářů – dní před natáčením</t>
  </si>
  <si>
    <t>Výchozí hodnota ze zadání: 7 dní.</t>
  </si>
  <si>
    <t>Tolerance odchylky poměrů (v procentních bodech)</t>
  </si>
  <si>
    <t>Odchylka skutečného podílu od cíle, která se ještě považuje za OK (platí pro poměry v Přehledu).</t>
  </si>
  <si>
    <t>Nové zpracování úspěšného tématu</t>
  </si>
  <si>
    <t>Dnešní datum (automaticky)</t>
  </si>
  <si>
    <t>Marketér C</t>
  </si>
  <si>
    <t>Ve výrobě</t>
  </si>
  <si>
    <t>Sestříháno</t>
  </si>
  <si>
    <t>V publikaci</t>
  </si>
  <si>
    <t>Nápad</t>
  </si>
  <si>
    <t>2027-01</t>
  </si>
  <si>
    <t>TEMATICKÝ MIX (cíl za měsíc)</t>
  </si>
  <si>
    <t>Dokončená</t>
  </si>
  <si>
    <t>Alternativní střih</t>
  </si>
  <si>
    <t>2027-02</t>
  </si>
  <si>
    <t>Cílový podíl</t>
  </si>
  <si>
    <t>Přesně (videí)</t>
  </si>
  <si>
    <t>Zaokrouhleno</t>
  </si>
  <si>
    <t>Cíl videí / měsíc</t>
  </si>
  <si>
    <t>Tematické vymezení</t>
  </si>
  <si>
    <t>Odloženo</t>
  </si>
  <si>
    <t>Nenatočeno</t>
  </si>
  <si>
    <t>Uzavřená</t>
  </si>
  <si>
    <t>Opakovaná publikace</t>
  </si>
  <si>
    <t>2027-03</t>
  </si>
  <si>
    <t>Firemní kultura, mentoring, práce asistentek, vzdělávání, manažerský růst, atraktivita kariérní příležitosti.</t>
  </si>
  <si>
    <t>Zrušeno</t>
  </si>
  <si>
    <t>Pozastavená</t>
  </si>
  <si>
    <t>2027-04</t>
  </si>
  <si>
    <t>Zákulisí, každodenní život, rodina, sport, cestování, hobby, osobní příběhy, humor.</t>
  </si>
  <si>
    <t>Zrušená</t>
  </si>
  <si>
    <t>2027-05</t>
  </si>
  <si>
    <t>ČNB, inflace, hypotéky, investiční trhy, makroekonomické události.</t>
  </si>
  <si>
    <t>2027-06</t>
  </si>
  <si>
    <t>Finanční plánování, investice, pojištění, energie, klientský servis, praktické finanční rady.</t>
  </si>
  <si>
    <t>2027-07</t>
  </si>
  <si>
    <t>Součet podílů musí být 100 %. Zaokrouhlení: kategorie s největším podílem dorovná rozdíl, aby součet odpovídal cíli.</t>
  </si>
  <si>
    <t>2027-08</t>
  </si>
  <si>
    <t>2027-09</t>
  </si>
  <si>
    <t>ODBORNÁ HODNOTA vs. INSTAGRAMOVÝ FORMÁT (cíl za měsíc)</t>
  </si>
  <si>
    <t>2027-10</t>
  </si>
  <si>
    <t>Vymezení</t>
  </si>
  <si>
    <t>2027-11</t>
  </si>
  <si>
    <t>Předává konkrétní poznatek, vysvětluje souvislosti, dává praktickou radu nebo odborný pohled.</t>
  </si>
  <si>
    <t>2027-12</t>
  </si>
  <si>
    <t>Situační humor, krátké scénky, trendy, osobní příběhy, zákulisí, jednoduchá atraktivní sdělení.</t>
  </si>
  <si>
    <t>2028-01</t>
  </si>
  <si>
    <t>2028-02</t>
  </si>
  <si>
    <t>2028-03</t>
  </si>
  <si>
    <t>CHARAKTER OSOBNÍCH PROFILŮ (Honza, Radek) – cílový podíl</t>
  </si>
  <si>
    <t>2028-04</t>
  </si>
  <si>
    <t>Charakter obsahu</t>
  </si>
  <si>
    <t>2028-05</t>
  </si>
  <si>
    <t>Vyhodnocuje se zvlášť pro profil Honza a zvlášť pro profil Radek. Firemní profil GTA Partners se tímto poměrem neřídí.</t>
  </si>
  <si>
    <t>2028-06</t>
  </si>
  <si>
    <t>2028-07</t>
  </si>
  <si>
    <t>2028-08</t>
  </si>
  <si>
    <t>2028-09</t>
  </si>
  <si>
    <t>NATÁČECÍ CYKLY (jeden řádek = jeden natáčecí den; nový měsíc = nový řádek)</t>
  </si>
  <si>
    <t>2028-10</t>
  </si>
  <si>
    <t>Natáčecí cyklus (ID)</t>
  </si>
  <si>
    <t>Které měsíce publikace pokrývá</t>
  </si>
  <si>
    <t>2028-11</t>
  </si>
  <si>
    <t>30–40</t>
  </si>
  <si>
    <t>UKÁZKA</t>
  </si>
  <si>
    <t>2028-12</t>
  </si>
  <si>
    <t>UKÁZKA – datum natáčení doplňte podle skutečnosti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</si>
  <si>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</si>
  <si>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</si>
  <si>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</si>
  <si>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</si>
  <si>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</si>
  <si>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</si>
  <si>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</si>
  <si>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</si>
  <si>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</si>
  <si>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</si>
  <si>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</si>
  <si>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</si>
  <si>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Plán videí pro cyklus je předvyplněn vzorcem = měsíční cíl. Pokud natáčecí den pokrývá více měsíců, přepište číslo ručně (např. 32 pro dva měsíce) a do sloupce E uveďte oba měsíce.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</si>
</sst>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theme="1"/>
      <name val="Arial"/>
      <charset val="1"/>
    </font>
    <font>
      <i/>
      <sz val="9"/>
      <color rgb="FF595959"/>
      <name val="Arial"/>
      <charset val="1"/>
    </font>
    <font>
      <b/>
      <sz val="11"/>
      <color rgb="FF0000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7F7F7F"/>
        <bgColor rgb="FF969696"/>
      </patternFill>
    </fill>
    <fill>
      <patternFill patternType="solid">
        <fgColor rgb="FFDCE6F1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9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2" borderId="0" xfId="0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3" borderId="1" xfId="0" applyFont="1" applyFill="1" applyBorder="1" applyProtection="1">
      <protection locked="0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4" fontId="5" fillId="0" borderId="0" xfId="0" applyNumberFormat="1" applyFont="1"/>
    <xf numFmtId="0" fontId="8" fillId="5" borderId="0" xfId="0" applyFont="1" applyFill="1"/>
    <xf numFmtId="0" fontId="5" fillId="5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9" fontId="5" fillId="0" borderId="1" xfId="0" applyNumberFormat="1" applyFont="1" applyBorder="1"/>
    <xf numFmtId="0" fontId="3" fillId="2" borderId="1" xfId="0" applyFont="1" applyFill="1" applyBorder="1"/>
    <xf numFmtId="9" fontId="3" fillId="2" borderId="1" xfId="0" applyNumberFormat="1" applyFont="1" applyFill="1" applyBorder="1"/>
    <xf numFmtId="9" fontId="5" fillId="2" borderId="1" xfId="0" applyNumberFormat="1" applyFont="1" applyFill="1" applyBorder="1"/>
    <xf numFmtId="0" fontId="5" fillId="2" borderId="1" xfId="0" applyFont="1" applyFill="1" applyBorder="1"/>
    <xf numFmtId="0" fontId="3" fillId="0" borderId="1" xfId="0" applyFont="1" applyBorder="1"/>
    <xf numFmtId="0" fontId="6" fillId="0" borderId="1" xfId="0" applyFont="1" applyBorder="1"/>
    <xf numFmtId="165" fontId="5" fillId="0" borderId="1" xfId="0" applyNumberFormat="1" applyFont="1" applyBorder="1"/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164" fontId="4" fillId="4" borderId="0" xfId="0" applyNumberFormat="1" applyFont="1" applyFill="1"/>
    <xf numFmtId="0" fontId="4" fillId="4" borderId="0" xfId="0" applyFont="1" applyFill="1" applyAlignment="1">
      <alignment vertical="top" wrapText="1"/>
    </xf>
    <xf numFmtId="165" fontId="4" fillId="4" borderId="0" xfId="0" applyNumberFormat="1" applyFont="1" applyFill="1"/>
    <xf numFmtId="0" fontId="10" fillId="3" borderId="0" xfId="0" applyFont="1" applyFill="1"/>
    <xf numFmtId="0" fontId="0" fillId="3" borderId="1" xfId="0" applyFill="1" applyBorder="1"/>
    <xf numFmtId="0" fontId="0" fillId="4" borderId="1" xfId="0" applyFill="1" applyBorder="1"/>
    <xf numFmtId="164" fontId="0" fillId="4" borderId="0" xfId="0" applyNumberFormat="1" applyFill="1"/>
    <xf numFmtId="0" fontId="0" fillId="0" borderId="1" xfId="0" applyBorder="1"/>
    <xf numFmtId="9" fontId="0" fillId="3" borderId="1" xfId="0" applyNumberFormat="1" applyFill="1" applyBorder="1"/>
    <xf numFmtId="166" fontId="0" fillId="4" borderId="1" xfId="0" applyNumberFormat="1" applyFill="1" applyBorder="1"/>
    <xf numFmtId="0" fontId="0" fillId="0" borderId="1" xfId="0" applyBorder="1" applyAlignment="1">
      <alignment vertical="top" wrapText="1"/>
    </xf>
    <xf numFmtId="9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</cellXfs>
  <cellStyles count="1">
    <cellStyle name="Normální" xfId="0" builtinId="0"/>
  </cellStyles>
  <dxfs count="72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b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EDEDED"/>
      <rgbColor rgb="FF7030A0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D9D9D9"/>
      <rgbColor rgb="FFFCE4D6"/>
      <rgbColor rgb="FFD9E1F2"/>
      <rgbColor rgb="FFF8CBAD"/>
      <rgbColor rgb="FF2F75B5"/>
      <rgbColor rgb="FF33CCCC"/>
      <rgbColor rgb="FF99CC00"/>
      <rgbColor rgb="FFFFC0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B1:C28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30" customWidth="1"/>
    <col min="3" max="3" width="110" customWidth="1"/>
  </cols>
  <sheetData>
    <row r="1" spans="2:3" ht="20" x14ac:dyDescent="0.2">
      <c r="B1" s="7" t="s">
        <v>0</v>
      </c>
    </row>
    <row r="3" spans="2:3" x14ac:dyDescent="0.2">
      <c r="B3" s="8" t="s">
        <v>1</v>
      </c>
      <c r="C3" s="9"/>
    </row>
    <row r="4" spans="2:3" ht="45" customHeight="1" x14ac:dyDescent="0.2">
      <c r="B4" s="10"/>
      <c r="C4" s="11" t="s">
        <v>2</v>
      </c>
    </row>
    <row r="5" spans="2:3" x14ac:dyDescent="0.2">
      <c r="B5" s="8" t="s">
        <v>3</v>
      </c>
      <c r="C5" s="9"/>
    </row>
    <row r="6" spans="2:3" ht="30" customHeight="1" x14ac:dyDescent="0.2">
      <c r="B6" s="10" t="s">
        <v>4</v>
      </c>
      <c r="C6" s="11" t="s">
        <v>5</v>
      </c>
    </row>
    <row r="7" spans="2:3" ht="30" customHeight="1" x14ac:dyDescent="0.2">
      <c r="B7" s="10" t="s">
        <v>6</v>
      </c>
      <c r="C7" s="11" t="s">
        <v>7</v>
      </c>
    </row>
    <row r="8" spans="2:3" ht="30" customHeight="1" x14ac:dyDescent="0.2">
      <c r="B8" s="10" t="s">
        <v>8</v>
      </c>
      <c r="C8" s="11" t="s">
        <v>9</v>
      </c>
    </row>
    <row r="9" spans="2:3" ht="45" customHeight="1" x14ac:dyDescent="0.2">
      <c r="B9" s="10" t="s">
        <v>10</v>
      </c>
      <c r="C9" s="11" t="s">
        <v>11</v>
      </c>
    </row>
    <row r="10" spans="2:3" ht="45" customHeight="1" x14ac:dyDescent="0.2">
      <c r="B10" s="10" t="s">
        <v>12</v>
      </c>
      <c r="C10" s="11" t="s">
        <v>13</v>
      </c>
    </row>
    <row r="11" spans="2:3" ht="30" customHeight="1" x14ac:dyDescent="0.2">
      <c r="B11" s="10" t="s">
        <v>14</v>
      </c>
      <c r="C11" s="11" t="s">
        <v>15</v>
      </c>
    </row>
    <row r="12" spans="2:3" x14ac:dyDescent="0.2">
      <c r="B12" s="8" t="s">
        <v>16</v>
      </c>
      <c r="C12" s="9"/>
    </row>
    <row r="13" spans="2:3" ht="30" customHeight="1" x14ac:dyDescent="0.2">
      <c r="B13" s="10" t="s">
        <v>17</v>
      </c>
      <c r="C13" s="11" t="s">
        <v>18</v>
      </c>
    </row>
    <row r="14" spans="2:3" ht="45" customHeight="1" x14ac:dyDescent="0.2">
      <c r="B14" s="10" t="s">
        <v>19</v>
      </c>
      <c r="C14" s="11" t="s">
        <v>20</v>
      </c>
    </row>
    <row r="15" spans="2:3" ht="30" customHeight="1" x14ac:dyDescent="0.2">
      <c r="B15" s="10" t="s">
        <v>21</v>
      </c>
      <c r="C15" s="11" t="s">
        <v>22</v>
      </c>
    </row>
    <row r="16" spans="2:3" ht="30" customHeight="1" x14ac:dyDescent="0.2">
      <c r="B16" s="10" t="s">
        <v>23</v>
      </c>
      <c r="C16" s="11" t="s">
        <v>24</v>
      </c>
    </row>
    <row r="17" spans="2:3" ht="30" customHeight="1" x14ac:dyDescent="0.2">
      <c r="B17" s="10" t="s">
        <v>25</v>
      </c>
      <c r="C17" s="11" t="s">
        <v>26</v>
      </c>
    </row>
    <row r="18" spans="2:3" ht="30" customHeight="1" x14ac:dyDescent="0.2">
      <c r="B18" s="10" t="s">
        <v>27</v>
      </c>
      <c r="C18" s="11" t="s">
        <v>28</v>
      </c>
    </row>
    <row r="19" spans="2:3" x14ac:dyDescent="0.2">
      <c r="B19" s="8" t="s">
        <v>29</v>
      </c>
      <c r="C19" s="9"/>
    </row>
    <row r="20" spans="2:3" ht="60" customHeight="1" x14ac:dyDescent="0.2">
      <c r="B20" s="10"/>
      <c r="C20" s="11" t="s">
        <v>30</v>
      </c>
    </row>
    <row r="21" spans="2:3" x14ac:dyDescent="0.2">
      <c r="B21" s="8" t="s">
        <v>31</v>
      </c>
      <c r="C21" s="9"/>
    </row>
    <row r="22" spans="2:3" ht="15" customHeight="1" x14ac:dyDescent="0.2">
      <c r="B22" s="10" t="s">
        <v>32</v>
      </c>
      <c r="C22" s="11" t="s">
        <v>33</v>
      </c>
    </row>
    <row r="23" spans="2:3" ht="15" customHeight="1" x14ac:dyDescent="0.2">
      <c r="B23" s="10" t="s">
        <v>34</v>
      </c>
      <c r="C23" s="11" t="s">
        <v>35</v>
      </c>
    </row>
    <row r="24" spans="2:3" ht="15" customHeight="1" x14ac:dyDescent="0.2">
      <c r="B24" s="10" t="s">
        <v>36</v>
      </c>
      <c r="C24" s="11" t="s">
        <v>37</v>
      </c>
    </row>
    <row r="25" spans="2:3" x14ac:dyDescent="0.2">
      <c r="B25" s="8" t="s">
        <v>38</v>
      </c>
      <c r="C25" s="9"/>
    </row>
    <row r="26" spans="2:3" ht="45" customHeight="1" x14ac:dyDescent="0.2">
      <c r="B26" s="10"/>
      <c r="C26" s="11" t="s">
        <v>39</v>
      </c>
    </row>
    <row r="27" spans="2:3" x14ac:dyDescent="0.2">
      <c r="B27" s="8" t="s">
        <v>40</v>
      </c>
      <c r="C27" s="9"/>
    </row>
    <row r="28" spans="2:3" ht="45" customHeight="1" x14ac:dyDescent="0.2">
      <c r="B28" s="10"/>
      <c r="C28" s="11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3"/>
  <sheetViews>
    <sheetView zoomScaleNormal="100" workbookViewId="0">
      <pane ySplit="6" topLeftCell="A7" activePane="bottomLeft" state="frozen"/>
      <selection pane="bottomLeft"/>
    </sheetView>
  </sheetViews>
  <sheetFormatPr baseColWidth="10" defaultColWidth="8.6640625" defaultRowHeight="15" x14ac:dyDescent="0.2"/>
  <cols>
    <col min="1" max="1" width="54" customWidth="1"/>
    <col min="2" max="2" width="13" customWidth="1"/>
    <col min="3" max="4" width="14" customWidth="1"/>
    <col min="5" max="5" width="12" customWidth="1"/>
    <col min="6" max="6" width="15" customWidth="1"/>
    <col min="7" max="7" width="12" customWidth="1"/>
    <col min="8" max="8" width="13" customWidth="1"/>
    <col min="9" max="9" width="21" customWidth="1"/>
    <col min="10" max="10" width="18" customWidth="1"/>
    <col min="11" max="11" width="12" customWidth="1"/>
    <col min="12" max="12" width="14" customWidth="1"/>
  </cols>
  <sheetData>
    <row r="1" spans="1:12" ht="20" x14ac:dyDescent="0.2">
      <c r="A1" s="7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3" t="s">
        <v>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">
      <c r="A3" s="14" t="s">
        <v>44</v>
      </c>
      <c r="B3" s="12"/>
      <c r="C3" s="15" t="s">
        <v>45</v>
      </c>
      <c r="D3" s="12"/>
      <c r="E3" s="14" t="s">
        <v>46</v>
      </c>
      <c r="F3" s="12"/>
      <c r="G3" s="16">
        <f>Nastavení!$B$3</f>
        <v>16</v>
      </c>
      <c r="H3" s="12"/>
      <c r="I3" s="12"/>
      <c r="J3" s="12"/>
      <c r="K3" s="12"/>
      <c r="L3" s="12"/>
    </row>
    <row r="4" spans="1:12" x14ac:dyDescent="0.2">
      <c r="A4" s="14" t="s">
        <v>47</v>
      </c>
      <c r="B4" s="12"/>
      <c r="C4" s="15" t="s">
        <v>45</v>
      </c>
      <c r="D4" s="12"/>
      <c r="E4" s="14" t="s">
        <v>48</v>
      </c>
      <c r="F4" s="12"/>
      <c r="G4" s="17">
        <f>IFERROR(IF(VLOOKUP($C$4,Nastavení!$A$30:$G$53,2,FALSE())=0,"",VLOOKUP($C$4,Nastavení!$A$30:$G$53,2,FALSE())),"")</f>
        <v>46346</v>
      </c>
      <c r="H4" s="12"/>
      <c r="I4" s="14" t="s">
        <v>49</v>
      </c>
      <c r="J4" s="12"/>
      <c r="K4" s="16">
        <f ca="1">IF($G$4="","– (doplňte datum v Nastavení)",$G$4-TODAY())</f>
        <v>25</v>
      </c>
      <c r="L4" s="12"/>
    </row>
    <row r="5" spans="1:12" x14ac:dyDescent="0.2">
      <c r="A5" s="14" t="s">
        <v>50</v>
      </c>
      <c r="B5" s="12"/>
      <c r="C5" s="18">
        <f ca="1">TODAY()</f>
        <v>46321</v>
      </c>
      <c r="D5" s="12"/>
      <c r="E5" s="14" t="s">
        <v>51</v>
      </c>
      <c r="F5" s="12"/>
      <c r="G5" s="17">
        <f>IFERROR(IF(VLOOKUP($C$4,Nastavení!$A$30:$G$53,3,FALSE())=0,"",VLOOKUP($C$4,Nastavení!$A$30:$G$53,3,FALSE())),"")</f>
        <v>46339</v>
      </c>
      <c r="H5" s="12"/>
      <c r="I5" s="14" t="s">
        <v>52</v>
      </c>
      <c r="J5" s="12"/>
      <c r="K5" s="16">
        <f ca="1">IF($G$5="","–",$G$5-TODAY())</f>
        <v>18</v>
      </c>
      <c r="L5" s="12"/>
    </row>
    <row r="6" spans="1:12" x14ac:dyDescent="0.2">
      <c r="A6" s="12"/>
      <c r="B6" s="12"/>
      <c r="C6" s="12"/>
      <c r="D6" s="12"/>
      <c r="E6" s="14" t="s">
        <v>53</v>
      </c>
      <c r="F6" s="12"/>
      <c r="G6" s="16">
        <f>IFERROR(IF(VLOOKUP($C$4,Nastavení!$A$30:$G$53,4,FALSE())=0,Nastavení!$B$3,VLOOKUP($C$4,Nastavení!$A$30:$G$53,4,FALSE())),Nastavení!$B$3)</f>
        <v>16</v>
      </c>
      <c r="H6" s="12"/>
      <c r="I6" s="14" t="s">
        <v>54</v>
      </c>
      <c r="J6" s="12"/>
      <c r="K6" s="16" t="str">
        <f>IFERROR(VLOOKUP($C$4,Nastavení!$A$30:$G$53,6,FALSE()),"30–40")</f>
        <v>30–40</v>
      </c>
      <c r="L6" s="12"/>
    </row>
    <row r="7" spans="1:12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19.5" customHeight="1" x14ac:dyDescent="0.2">
      <c r="A8" s="19" t="str">
        <f>"1. TEMATICKÝ MIX – plánovaný měsíc publikace "&amp;$C$3&amp;"  (Plán = kolik videí má vyjít; Publikováno = skutečně zveřejněno v tomto měsíci)"</f>
        <v>1. TEMATICKÝ MIX – plánovaný měsíc publikace 2026-11  (Plán = kolik videí má vyjít; Publikováno = skutečně zveřejněno v tomto měsíci)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30" customHeight="1" x14ac:dyDescent="0.2">
      <c r="A9" s="21" t="s">
        <v>55</v>
      </c>
      <c r="B9" s="21" t="s">
        <v>56</v>
      </c>
      <c r="C9" s="21" t="s">
        <v>57</v>
      </c>
      <c r="D9" s="21" t="s">
        <v>58</v>
      </c>
      <c r="E9" s="21" t="s">
        <v>59</v>
      </c>
      <c r="F9" s="21" t="s">
        <v>60</v>
      </c>
      <c r="G9" s="21" t="s">
        <v>61</v>
      </c>
      <c r="H9" s="21" t="s">
        <v>62</v>
      </c>
      <c r="I9" s="21" t="s">
        <v>63</v>
      </c>
      <c r="J9" s="21" t="s">
        <v>64</v>
      </c>
      <c r="K9" s="12"/>
      <c r="L9" s="12"/>
    </row>
    <row r="10" spans="1:12" x14ac:dyDescent="0.2">
      <c r="A10" s="22" t="str">
        <f>Nastavení!$A$10</f>
        <v>Nábor, vedení lidí a práce s týmem</v>
      </c>
      <c r="B10" s="23">
        <f>Nastavení!$B$10</f>
        <v>0.3</v>
      </c>
      <c r="C10" s="22">
        <f>Nastavení!$E$10</f>
        <v>5</v>
      </c>
      <c r="D10" s="22">
        <f>COUNTIFS(Scénáře!$F$4:$F$503,$C$3,Scénáře!$G$4:$G$503,$A10,Scénáře!$W$4:$W$503,"&lt;&gt;Zrušeno",Scénáře!$W$4:$W$503,"&lt;&gt;Odloženo")</f>
        <v>2</v>
      </c>
      <c r="E10" s="22">
        <f>COUNTIFS(Scénáře!$F$4:$F$503,$C$3,Scénáře!$G$4:$G$503,$A10,Scénáře!$W$4:$W$503,"Schváleno")</f>
        <v>1</v>
      </c>
      <c r="F10" s="22">
        <f>MAX(0,C10-E10)</f>
        <v>4</v>
      </c>
      <c r="G10" s="22">
        <f>SUMPRODUCT((Scénáře!$F$4:$F$503=$C$3)*(Scénáře!$G$4:$G$503=$A10)*((Scénáře!$AA$4:$AA$503="Natočeno")+(Scénáře!$AA$4:$AA$503="Ve střihu")+(Scénáře!$AA$4:$AA$503="Sestříháno")+(Scénáře!$AA$4:$AA$503="Publikováno")))</f>
        <v>1</v>
      </c>
      <c r="H10" s="22">
        <f>COUNTIFS(Scénáře!$AH$4:$AH$503,$C$3,Scénáře!$G$4:$G$503,$A10)</f>
        <v>0</v>
      </c>
      <c r="I10" s="23">
        <f>IF(C10=0,"",H10/C10)</f>
        <v>0</v>
      </c>
      <c r="J10" s="22" t="str">
        <f>IF(C10=0,"–",IF(H10&gt;=C10,"Publikováno ✔",IF(E10&gt;=C10,"Schváleno ✔",IF(D10&gt;=C10,"Čeká na schválení","CHYBÍ SCÉNÁŘE"))))</f>
        <v>CHYBÍ SCÉNÁŘE</v>
      </c>
      <c r="K10" s="12"/>
      <c r="L10" s="12"/>
    </row>
    <row r="11" spans="1:12" x14ac:dyDescent="0.2">
      <c r="A11" s="22" t="str">
        <f>Nastavení!$A$11</f>
        <v>Osobní brand &amp; Lifestyle</v>
      </c>
      <c r="B11" s="23">
        <f>Nastavení!$B$11</f>
        <v>0.4</v>
      </c>
      <c r="C11" s="22">
        <f>Nastavení!$E$11</f>
        <v>6</v>
      </c>
      <c r="D11" s="22">
        <f>COUNTIFS(Scénáře!$F$4:$F$503,$C$3,Scénáře!$G$4:$G$503,$A11,Scénáře!$W$4:$W$503,"&lt;&gt;Zrušeno",Scénáře!$W$4:$W$503,"&lt;&gt;Odloženo")</f>
        <v>2</v>
      </c>
      <c r="E11" s="22">
        <f>COUNTIFS(Scénáře!$F$4:$F$503,$C$3,Scénáře!$G$4:$G$503,$A11,Scénáře!$W$4:$W$503,"Schváleno")</f>
        <v>1</v>
      </c>
      <c r="F11" s="22">
        <f>MAX(0,C11-E11)</f>
        <v>5</v>
      </c>
      <c r="G11" s="22">
        <f>SUMPRODUCT((Scénáře!$F$4:$F$503=$C$3)*(Scénáře!$G$4:$G$503=$A11)*((Scénáře!$AA$4:$AA$503="Natočeno")+(Scénáře!$AA$4:$AA$503="Ve střihu")+(Scénáře!$AA$4:$AA$503="Sestříháno")+(Scénáře!$AA$4:$AA$503="Publikováno")))</f>
        <v>0</v>
      </c>
      <c r="H11" s="22">
        <f>COUNTIFS(Scénáře!$AH$4:$AH$503,$C$3,Scénáře!$G$4:$G$503,$A11)</f>
        <v>0</v>
      </c>
      <c r="I11" s="23">
        <f>IF(C11=0,"",H11/C11)</f>
        <v>0</v>
      </c>
      <c r="J11" s="22" t="str">
        <f>IF(C11=0,"–",IF(H11&gt;=C11,"Publikováno ✔",IF(E11&gt;=C11,"Schváleno ✔",IF(D11&gt;=C11,"Čeká na schválení","CHYBÍ SCÉNÁŘE"))))</f>
        <v>CHYBÍ SCÉNÁŘE</v>
      </c>
      <c r="K11" s="12"/>
      <c r="L11" s="12"/>
    </row>
    <row r="12" spans="1:12" x14ac:dyDescent="0.2">
      <c r="A12" s="22" t="str">
        <f>Nastavení!$A$12</f>
        <v>Trendy a reakce na trh</v>
      </c>
      <c r="B12" s="23">
        <f>Nastavení!$B$12</f>
        <v>0.2</v>
      </c>
      <c r="C12" s="22">
        <f>Nastavení!$E$12</f>
        <v>3</v>
      </c>
      <c r="D12" s="22">
        <f>COUNTIFS(Scénáře!$F$4:$F$503,$C$3,Scénáře!$G$4:$G$503,$A12,Scénáře!$W$4:$W$503,"&lt;&gt;Zrušeno",Scénáře!$W$4:$W$503,"&lt;&gt;Odloženo")</f>
        <v>1</v>
      </c>
      <c r="E12" s="22">
        <f>COUNTIFS(Scénáře!$F$4:$F$503,$C$3,Scénáře!$G$4:$G$503,$A12,Scénáře!$W$4:$W$503,"Schváleno")</f>
        <v>0</v>
      </c>
      <c r="F12" s="22">
        <f>MAX(0,C12-E12)</f>
        <v>3</v>
      </c>
      <c r="G12" s="22">
        <f>SUMPRODUCT((Scénáře!$F$4:$F$503=$C$3)*(Scénáře!$G$4:$G$503=$A12)*((Scénáře!$AA$4:$AA$503="Natočeno")+(Scénáře!$AA$4:$AA$503="Ve střihu")+(Scénáře!$AA$4:$AA$503="Sestříháno")+(Scénáře!$AA$4:$AA$503="Publikováno")))</f>
        <v>0</v>
      </c>
      <c r="H12" s="22">
        <f>COUNTIFS(Scénáře!$AH$4:$AH$503,$C$3,Scénáře!$G$4:$G$503,$A12)</f>
        <v>0</v>
      </c>
      <c r="I12" s="23">
        <f>IF(C12=0,"",H12/C12)</f>
        <v>0</v>
      </c>
      <c r="J12" s="22" t="str">
        <f>IF(C12=0,"–",IF(H12&gt;=C12,"Publikováno ✔",IF(E12&gt;=C12,"Schváleno ✔",IF(D12&gt;=C12,"Čeká na schválení","CHYBÍ SCÉNÁŘE"))))</f>
        <v>CHYBÍ SCÉNÁŘE</v>
      </c>
      <c r="K12" s="12"/>
      <c r="L12" s="12"/>
    </row>
    <row r="13" spans="1:12" x14ac:dyDescent="0.2">
      <c r="A13" s="22" t="str">
        <f>Nastavení!$A$13</f>
        <v>Produktové a poradenské tipy</v>
      </c>
      <c r="B13" s="23">
        <f>Nastavení!$B$13</f>
        <v>0.1</v>
      </c>
      <c r="C13" s="22">
        <f>Nastavení!$E$13</f>
        <v>2</v>
      </c>
      <c r="D13" s="22">
        <f>COUNTIFS(Scénáře!$F$4:$F$503,$C$3,Scénáře!$G$4:$G$503,$A13,Scénáře!$W$4:$W$503,"&lt;&gt;Zrušeno",Scénáře!$W$4:$W$503,"&lt;&gt;Odloženo")</f>
        <v>2</v>
      </c>
      <c r="E13" s="22">
        <f>COUNTIFS(Scénáře!$F$4:$F$503,$C$3,Scénáře!$G$4:$G$503,$A13,Scénáře!$W$4:$W$503,"Schváleno")</f>
        <v>1</v>
      </c>
      <c r="F13" s="22">
        <f>MAX(0,C13-E13)</f>
        <v>1</v>
      </c>
      <c r="G13" s="22">
        <f>SUMPRODUCT((Scénáře!$F$4:$F$503=$C$3)*(Scénáře!$G$4:$G$503=$A13)*((Scénáře!$AA$4:$AA$503="Natočeno")+(Scénáře!$AA$4:$AA$503="Ve střihu")+(Scénáře!$AA$4:$AA$503="Sestříháno")+(Scénáře!$AA$4:$AA$503="Publikováno")))</f>
        <v>0</v>
      </c>
      <c r="H13" s="22">
        <f>COUNTIFS(Scénáře!$AH$4:$AH$503,$C$3,Scénáře!$G$4:$G$503,$A13)</f>
        <v>0</v>
      </c>
      <c r="I13" s="23">
        <f>IF(C13=0,"",H13/C13)</f>
        <v>0</v>
      </c>
      <c r="J13" s="22" t="str">
        <f>IF(C13=0,"–",IF(H13&gt;=C13,"Publikováno ✔",IF(E13&gt;=C13,"Schváleno ✔",IF(D13&gt;=C13,"Čeká na schválení","CHYBÍ SCÉNÁŘE"))))</f>
        <v>Čeká na schválení</v>
      </c>
      <c r="K13" s="12"/>
      <c r="L13" s="12"/>
    </row>
    <row r="14" spans="1:12" x14ac:dyDescent="0.2">
      <c r="A14" s="24" t="s">
        <v>65</v>
      </c>
      <c r="B14" s="25">
        <f t="shared" ref="B14:H14" si="0">SUM(B10:B13)</f>
        <v>0.99999999999999989</v>
      </c>
      <c r="C14" s="24">
        <f t="shared" si="0"/>
        <v>16</v>
      </c>
      <c r="D14" s="24">
        <f t="shared" si="0"/>
        <v>7</v>
      </c>
      <c r="E14" s="24">
        <f t="shared" si="0"/>
        <v>3</v>
      </c>
      <c r="F14" s="24">
        <f t="shared" si="0"/>
        <v>13</v>
      </c>
      <c r="G14" s="24">
        <f t="shared" si="0"/>
        <v>1</v>
      </c>
      <c r="H14" s="24">
        <f t="shared" si="0"/>
        <v>0</v>
      </c>
      <c r="I14" s="26">
        <f>IF(C14=0,"",H14/C14)</f>
        <v>0</v>
      </c>
      <c r="J14" s="27" t="str">
        <f>IF(C14=0,"–",IF(H14&gt;=C14,"Publikováno ✔",IF(E14&gt;=C14,"Schváleno ✔",IF(D14&gt;=C14,"Čeká na schválení","CHYBÍ SCÉNÁŘE"))))</f>
        <v>CHYBÍ SCÉNÁŘE</v>
      </c>
      <c r="K14" s="12"/>
      <c r="L14" s="12"/>
    </row>
    <row r="15" spans="1:12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9.5" customHeight="1" x14ac:dyDescent="0.2">
      <c r="A16" s="19" t="str">
        <f>"2. ODBORNĚ HODNOTNÁ vs. INSTAGRAMOVÁ VIDEA – měsíc "&amp;$C$3</f>
        <v>2. ODBORNĚ HODNOTNÁ vs. INSTAGRAMOVÁ VIDEA – měsíc 2026-11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30" customHeight="1" x14ac:dyDescent="0.2">
      <c r="A17" s="21" t="s">
        <v>66</v>
      </c>
      <c r="B17" s="21" t="s">
        <v>56</v>
      </c>
      <c r="C17" s="21" t="s">
        <v>57</v>
      </c>
      <c r="D17" s="21" t="s">
        <v>58</v>
      </c>
      <c r="E17" s="21" t="s">
        <v>59</v>
      </c>
      <c r="F17" s="21" t="s">
        <v>60</v>
      </c>
      <c r="G17" s="21" t="s">
        <v>61</v>
      </c>
      <c r="H17" s="21" t="s">
        <v>62</v>
      </c>
      <c r="I17" s="21" t="s">
        <v>63</v>
      </c>
      <c r="J17" s="21" t="s">
        <v>64</v>
      </c>
      <c r="K17" s="12"/>
      <c r="L17" s="12"/>
    </row>
    <row r="18" spans="1:12" x14ac:dyDescent="0.2">
      <c r="A18" s="22" t="str">
        <f>Nastavení!$A$18</f>
        <v>Odborně hodnotné</v>
      </c>
      <c r="B18" s="23">
        <f>Nastavení!$B$18</f>
        <v>0.3</v>
      </c>
      <c r="C18" s="22">
        <f>Nastavení!$E$18</f>
        <v>5</v>
      </c>
      <c r="D18" s="22">
        <f>COUNTIFS(Scénáře!$F$4:$F$503,$C$3,Scénáře!$H$4:$H$503,$A18,Scénáře!$W$4:$W$503,"&lt;&gt;Zrušeno",Scénáře!$W$4:$W$503,"&lt;&gt;Odloženo")</f>
        <v>2</v>
      </c>
      <c r="E18" s="22">
        <f>COUNTIFS(Scénáře!$F$4:$F$503,$C$3,Scénáře!$H$4:$H$503,$A18,Scénáře!$W$4:$W$503,"Schváleno")</f>
        <v>1</v>
      </c>
      <c r="F18" s="22">
        <f>MAX(0,C18-E18)</f>
        <v>4</v>
      </c>
      <c r="G18" s="22">
        <f>SUMPRODUCT((Scénáře!$F$4:$F$503=$C$3)*(Scénáře!$H$4:$H$503=$A18)*((Scénáře!$AA$4:$AA$503="Natočeno")+(Scénáře!$AA$4:$AA$503="Ve střihu")+(Scénáře!$AA$4:$AA$503="Sestříháno")+(Scénáře!$AA$4:$AA$503="Publikováno")))</f>
        <v>0</v>
      </c>
      <c r="H18" s="22">
        <f>COUNTIFS(Scénáře!$AH$4:$AH$503,$C$3,Scénáře!$H$4:$H$503,$A18)</f>
        <v>0</v>
      </c>
      <c r="I18" s="23">
        <f>IF(C18=0,"",H18/C18)</f>
        <v>0</v>
      </c>
      <c r="J18" s="22" t="str">
        <f>IF(C18=0,"–",IF(H18&gt;=C18,"Publikováno ✔",IF(E18&gt;=C18,"Schváleno ✔",IF(D18&gt;=C18,"Čeká na schválení","CHYBÍ SCÉNÁŘE"))))</f>
        <v>CHYBÍ SCÉNÁŘE</v>
      </c>
      <c r="K18" s="12"/>
      <c r="L18" s="12"/>
    </row>
    <row r="19" spans="1:12" x14ac:dyDescent="0.2">
      <c r="A19" s="22" t="str">
        <f>Nastavení!$A$19</f>
        <v>Instagramové</v>
      </c>
      <c r="B19" s="23">
        <f>Nastavení!$B$19</f>
        <v>0.7</v>
      </c>
      <c r="C19" s="22">
        <f>Nastavení!$E$19</f>
        <v>11</v>
      </c>
      <c r="D19" s="22">
        <f>COUNTIFS(Scénáře!$F$4:$F$503,$C$3,Scénáře!$H$4:$H$503,$A19,Scénáře!$W$4:$W$503,"&lt;&gt;Zrušeno",Scénáře!$W$4:$W$503,"&lt;&gt;Odloženo")</f>
        <v>5</v>
      </c>
      <c r="E19" s="22">
        <f>COUNTIFS(Scénáře!$F$4:$F$503,$C$3,Scénáře!$H$4:$H$503,$A19,Scénáře!$W$4:$W$503,"Schváleno")</f>
        <v>2</v>
      </c>
      <c r="F19" s="22">
        <f>MAX(0,C19-E19)</f>
        <v>9</v>
      </c>
      <c r="G19" s="22">
        <f>SUMPRODUCT((Scénáře!$F$4:$F$503=$C$3)*(Scénáře!$H$4:$H$503=$A19)*((Scénáře!$AA$4:$AA$503="Natočeno")+(Scénáře!$AA$4:$AA$503="Ve střihu")+(Scénáře!$AA$4:$AA$503="Sestříháno")+(Scénáře!$AA$4:$AA$503="Publikováno")))</f>
        <v>1</v>
      </c>
      <c r="H19" s="22">
        <f>COUNTIFS(Scénáře!$AH$4:$AH$503,$C$3,Scénáře!$H$4:$H$503,$A19)</f>
        <v>0</v>
      </c>
      <c r="I19" s="23">
        <f>IF(C19=0,"",H19/C19)</f>
        <v>0</v>
      </c>
      <c r="J19" s="22" t="str">
        <f>IF(C19=0,"–",IF(H19&gt;=C19,"Publikováno ✔",IF(E19&gt;=C19,"Schváleno ✔",IF(D19&gt;=C19,"Čeká na schválení","CHYBÍ SCÉNÁŘE"))))</f>
        <v>CHYBÍ SCÉNÁŘE</v>
      </c>
      <c r="K19" s="12"/>
      <c r="L19" s="12"/>
    </row>
    <row r="20" spans="1:12" x14ac:dyDescent="0.2">
      <c r="A20" s="24" t="s">
        <v>65</v>
      </c>
      <c r="B20" s="25">
        <f t="shared" ref="B20:H20" si="1">SUM(B18:B19)</f>
        <v>1</v>
      </c>
      <c r="C20" s="24">
        <f t="shared" si="1"/>
        <v>16</v>
      </c>
      <c r="D20" s="24">
        <f t="shared" si="1"/>
        <v>7</v>
      </c>
      <c r="E20" s="24">
        <f t="shared" si="1"/>
        <v>3</v>
      </c>
      <c r="F20" s="24">
        <f t="shared" si="1"/>
        <v>13</v>
      </c>
      <c r="G20" s="24">
        <f t="shared" si="1"/>
        <v>1</v>
      </c>
      <c r="H20" s="24">
        <f t="shared" si="1"/>
        <v>0</v>
      </c>
      <c r="I20" s="26">
        <f>IF(C20=0,"",H20/C20)</f>
        <v>0</v>
      </c>
      <c r="J20" s="27" t="str">
        <f>IF(C20=0,"–",IF(H20&gt;=C20,"Publikováno ✔",IF(E20&gt;=C20,"Schváleno ✔",IF(D20&gt;=C20,"Čeká na schválení","CHYBÍ SCÉNÁŘE"))))</f>
        <v>CHYBÍ SCÉNÁŘE</v>
      </c>
      <c r="K20" s="12"/>
      <c r="L20" s="12"/>
    </row>
    <row r="21" spans="1:12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19.5" customHeight="1" x14ac:dyDescent="0.2">
      <c r="A22" s="19" t="str">
        <f>"3. CHARAKTER OSOBNÍCH PROFILŮ (osobní 70 % / pracovní 30 %) – měsíc "&amp;$C$3&amp;"  (tolerance ±"&amp;Nastavení!$B$5&amp;" p. b.)"</f>
        <v>3. CHARAKTER OSOBNÍCH PROFILŮ (osobní 70 % / pracovní 30 %) – měsíc 2026-11  (tolerance ±10 p. b.)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ht="30" customHeight="1" x14ac:dyDescent="0.2">
      <c r="A23" s="21" t="s">
        <v>67</v>
      </c>
      <c r="B23" s="21" t="s">
        <v>68</v>
      </c>
      <c r="C23" s="21" t="s">
        <v>56</v>
      </c>
      <c r="D23" s="21" t="s">
        <v>69</v>
      </c>
      <c r="E23" s="21" t="s">
        <v>70</v>
      </c>
      <c r="F23" s="21" t="s">
        <v>71</v>
      </c>
      <c r="G23" s="21" t="s">
        <v>72</v>
      </c>
      <c r="H23" s="21" t="s">
        <v>73</v>
      </c>
      <c r="I23" s="21" t="s">
        <v>74</v>
      </c>
      <c r="J23" s="12"/>
      <c r="K23" s="12"/>
      <c r="L23" s="12"/>
    </row>
    <row r="24" spans="1:12" x14ac:dyDescent="0.2">
      <c r="A24" s="22" t="s">
        <v>75</v>
      </c>
      <c r="B24" s="22" t="s">
        <v>76</v>
      </c>
      <c r="C24" s="23">
        <f>Nastavení!$B$24</f>
        <v>0.7</v>
      </c>
      <c r="D24" s="22">
        <f>COUNTIFS(Scénáře!$F$4:$F$503,$C$3,Scénáře!$I$4:$I$503,$A24,Scénáře!$J$4:$J$503,$B24,Scénáře!$W$4:$W$503,"&lt;&gt;Zrušeno",Scénáře!$W$4:$W$503,"&lt;&gt;Odloženo")</f>
        <v>1</v>
      </c>
      <c r="E24" s="23">
        <f>IF(D24+D25=0,"",D24/(D24+D25))</f>
        <v>0.5</v>
      </c>
      <c r="F24" s="22" t="str">
        <f>IF(E24="","– (žádné scénáře)",IF(ABS(E24-C24)&lt;=Nastavení!$B$5/100,"OK","MIMO POMĚR"))</f>
        <v>MIMO POMĚR</v>
      </c>
      <c r="G24" s="22">
        <f>COUNTIFS(Scénáře!$AH$4:$AH$503,$C$3,Scénáře!$I$4:$I$503,$A24,Scénáře!$J$4:$J$503,$B24)</f>
        <v>0</v>
      </c>
      <c r="H24" s="23" t="str">
        <f>IF(G24+G25=0,"",G24/(G24+G25))</f>
        <v/>
      </c>
      <c r="I24" s="22" t="str">
        <f>IF(H24="","– (nic nepublikováno)",IF(ABS(H24-C24)&lt;=Nastavení!$B$5/100,"OK","MIMO POMĚR"))</f>
        <v>– (nic nepublikováno)</v>
      </c>
      <c r="J24" s="12"/>
      <c r="K24" s="12"/>
      <c r="L24" s="12"/>
    </row>
    <row r="25" spans="1:12" x14ac:dyDescent="0.2">
      <c r="A25" s="22" t="s">
        <v>75</v>
      </c>
      <c r="B25" s="22" t="s">
        <v>77</v>
      </c>
      <c r="C25" s="23">
        <f>Nastavení!$B$25</f>
        <v>0.3</v>
      </c>
      <c r="D25" s="22">
        <f>COUNTIFS(Scénáře!$F$4:$F$503,$C$3,Scénáře!$I$4:$I$503,$A25,Scénáře!$J$4:$J$503,$B25,Scénáře!$W$4:$W$503,"&lt;&gt;Zrušeno",Scénáře!$W$4:$W$503,"&lt;&gt;Odloženo")</f>
        <v>1</v>
      </c>
      <c r="E25" s="23">
        <f>IF(D24+D25=0,"",D25/(D24+D25))</f>
        <v>0.5</v>
      </c>
      <c r="F25" s="22" t="str">
        <f>IF(E25="","– (žádné scénáře)",IF(ABS(E25-C25)&lt;=Nastavení!$B$5/100,"OK","MIMO POMĚR"))</f>
        <v>MIMO POMĚR</v>
      </c>
      <c r="G25" s="22">
        <f>COUNTIFS(Scénáře!$AH$4:$AH$503,$C$3,Scénáře!$I$4:$I$503,$A25,Scénáře!$J$4:$J$503,$B25)</f>
        <v>0</v>
      </c>
      <c r="H25" s="23" t="str">
        <f>IF(G24+G25=0,"",G25/(G24+G25))</f>
        <v/>
      </c>
      <c r="I25" s="22" t="str">
        <f>IF(H25="","– (nic nepublikováno)",IF(ABS(H25-C25)&lt;=Nastavení!$B$5/100,"OK","MIMO POMĚR"))</f>
        <v>– (nic nepublikováno)</v>
      </c>
      <c r="J25" s="12"/>
      <c r="K25" s="12"/>
      <c r="L25" s="12"/>
    </row>
    <row r="26" spans="1:12" x14ac:dyDescent="0.2">
      <c r="A26" s="22" t="s">
        <v>78</v>
      </c>
      <c r="B26" s="22" t="s">
        <v>76</v>
      </c>
      <c r="C26" s="23">
        <f>Nastavení!$B$24</f>
        <v>0.7</v>
      </c>
      <c r="D26" s="22">
        <f>COUNTIFS(Scénáře!$F$4:$F$503,$C$3,Scénáře!$I$4:$I$503,$A26,Scénáře!$J$4:$J$503,$B26,Scénáře!$W$4:$W$503,"&lt;&gt;Zrušeno",Scénáře!$W$4:$W$503,"&lt;&gt;Odloženo")</f>
        <v>1</v>
      </c>
      <c r="E26" s="23">
        <f>IF(D26+D27=0,"",D26/(D26+D27))</f>
        <v>0.25</v>
      </c>
      <c r="F26" s="22" t="str">
        <f>IF(E26="","– (žádné scénáře)",IF(ABS(E26-C26)&lt;=Nastavení!$B$5/100,"OK","MIMO POMĚR"))</f>
        <v>MIMO POMĚR</v>
      </c>
      <c r="G26" s="22">
        <f>COUNTIFS(Scénáře!$AH$4:$AH$503,$C$3,Scénáře!$I$4:$I$503,$A26,Scénáře!$J$4:$J$503,$B26)</f>
        <v>0</v>
      </c>
      <c r="H26" s="23" t="str">
        <f>IF(G26+G27=0,"",G26/(G26+G27))</f>
        <v/>
      </c>
      <c r="I26" s="22" t="str">
        <f>IF(H26="","– (nic nepublikováno)",IF(ABS(H26-C26)&lt;=Nastavení!$B$5/100,"OK","MIMO POMĚR"))</f>
        <v>– (nic nepublikováno)</v>
      </c>
      <c r="J26" s="12"/>
      <c r="K26" s="12"/>
      <c r="L26" s="12"/>
    </row>
    <row r="27" spans="1:12" x14ac:dyDescent="0.2">
      <c r="A27" s="22" t="s">
        <v>78</v>
      </c>
      <c r="B27" s="22" t="s">
        <v>77</v>
      </c>
      <c r="C27" s="23">
        <f>Nastavení!$B$25</f>
        <v>0.3</v>
      </c>
      <c r="D27" s="22">
        <f>COUNTIFS(Scénáře!$F$4:$F$503,$C$3,Scénáře!$I$4:$I$503,$A27,Scénáře!$J$4:$J$503,$B27,Scénáře!$W$4:$W$503,"&lt;&gt;Zrušeno",Scénáře!$W$4:$W$503,"&lt;&gt;Odloženo")</f>
        <v>3</v>
      </c>
      <c r="E27" s="23">
        <f>IF(D26+D27=0,"",D27/(D26+D27))</f>
        <v>0.75</v>
      </c>
      <c r="F27" s="22" t="str">
        <f>IF(E27="","– (žádné scénáře)",IF(ABS(E27-C27)&lt;=Nastavení!$B$5/100,"OK","MIMO POMĚR"))</f>
        <v>MIMO POMĚR</v>
      </c>
      <c r="G27" s="22">
        <f>COUNTIFS(Scénáře!$AH$4:$AH$503,$C$3,Scénáře!$I$4:$I$503,$A27,Scénáře!$J$4:$J$503,$B27)</f>
        <v>0</v>
      </c>
      <c r="H27" s="23" t="str">
        <f>IF(G26+G27=0,"",G27/(G26+G27))</f>
        <v/>
      </c>
      <c r="I27" s="22" t="str">
        <f>IF(H27="","– (nic nepublikováno)",IF(ABS(H27-C27)&lt;=Nastavení!$B$5/100,"OK","MIMO POMĚR"))</f>
        <v>– (nic nepublikováno)</v>
      </c>
      <c r="J27" s="12"/>
      <c r="K27" s="12"/>
      <c r="L27" s="12"/>
    </row>
    <row r="28" spans="1:12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19.5" customHeight="1" x14ac:dyDescent="0.2">
      <c r="A29" s="19" t="str">
        <f>"4. STAV SCÉNÁŘŮ A SCHVALOVÁNÍ – natáčecí cyklus "&amp;$C$4&amp;"  (kdo má udělat další krok)"</f>
        <v>4. STAV SCÉNÁŘŮ A SCHVALOVÁNÍ – natáčecí cyklus 2026-11  (kdo má udělat další krok)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ht="30" customHeight="1" x14ac:dyDescent="0.2">
      <c r="A30" s="21" t="s">
        <v>79</v>
      </c>
      <c r="B30" s="21" t="s">
        <v>80</v>
      </c>
      <c r="C30" s="21" t="s">
        <v>81</v>
      </c>
      <c r="D30" s="6" t="s">
        <v>82</v>
      </c>
      <c r="E30" s="6"/>
      <c r="F30" s="6"/>
      <c r="G30" s="6"/>
      <c r="H30" s="6"/>
      <c r="I30" s="12"/>
      <c r="J30" s="12"/>
      <c r="K30" s="12"/>
      <c r="L30" s="12"/>
    </row>
    <row r="31" spans="1:12" x14ac:dyDescent="0.2">
      <c r="A31" s="22" t="s">
        <v>53</v>
      </c>
      <c r="B31" s="28">
        <f>$G$6</f>
        <v>16</v>
      </c>
      <c r="C31" s="22"/>
      <c r="D31" s="5" t="s">
        <v>83</v>
      </c>
      <c r="E31" s="5"/>
      <c r="F31" s="5"/>
      <c r="G31" s="5"/>
      <c r="H31" s="5"/>
      <c r="I31" s="12"/>
      <c r="J31" s="12"/>
      <c r="K31" s="12"/>
      <c r="L31" s="12"/>
    </row>
    <row r="32" spans="1:12" x14ac:dyDescent="0.2">
      <c r="A32" s="22" t="s">
        <v>84</v>
      </c>
      <c r="B32" s="28">
        <f>COUNTIFS(Scénáře!$E$4:$E$503,$C$4,Scénáře!$W$4:$W$503,"&lt;&gt;Zrušeno",Scénáře!$W$4:$W$503,"&lt;&gt;Odloženo")</f>
        <v>7</v>
      </c>
      <c r="C32" s="22">
        <f>COUNTIFS(Scénáře!$A$4:$A$503,"&lt;&gt;",Scénáře!$W$4:$W$503,"&lt;&gt;Zrušeno",Scénáře!$W$4:$W$503,"&lt;&gt;Odloženo")</f>
        <v>10</v>
      </c>
      <c r="D32" s="5" t="s">
        <v>85</v>
      </c>
      <c r="E32" s="5"/>
      <c r="F32" s="5"/>
      <c r="G32" s="5"/>
      <c r="H32" s="5"/>
      <c r="I32" s="12"/>
      <c r="J32" s="12"/>
      <c r="K32" s="12"/>
      <c r="L32" s="12"/>
    </row>
    <row r="33" spans="1:12" x14ac:dyDescent="0.2">
      <c r="A33" s="22" t="s">
        <v>86</v>
      </c>
      <c r="B33" s="28">
        <f>COUNTIFS(Scénáře!$E$4:$E$503,$C$4,Scénáře!$W$4:$W$503,"K připomínkám")+COUNTIFS(Scénáře!$E$4:$E$503,$C$4,Scénáře!$W$4:$W$503,"K finálnímu schválení")</f>
        <v>2</v>
      </c>
      <c r="C33" s="22">
        <f>COUNTIFS(Scénáře!$W$4:$W$503,"K připomínkám")+COUNTIFS(Scénáře!$W$4:$W$503,"K finálnímu schválení")</f>
        <v>2</v>
      </c>
      <c r="D33" s="5" t="s">
        <v>87</v>
      </c>
      <c r="E33" s="5"/>
      <c r="F33" s="5"/>
      <c r="G33" s="5"/>
      <c r="H33" s="5"/>
      <c r="I33" s="12"/>
      <c r="J33" s="12"/>
      <c r="K33" s="12"/>
      <c r="L33" s="12"/>
    </row>
    <row r="34" spans="1:12" x14ac:dyDescent="0.2">
      <c r="A34" s="22" t="s">
        <v>88</v>
      </c>
      <c r="B34" s="28">
        <f>COUNTIFS(Scénáře!$E$4:$E$503,$C$4,Scénáře!$W$4:$W$503,"Rozpracováno")+COUNTIFS(Scénáře!$E$4:$E$503,$C$4,Scénáře!$W$4:$W$503,"K dopracování")</f>
        <v>2</v>
      </c>
      <c r="C34" s="22">
        <f>COUNTIFS(Scénáře!$W$4:$W$503,"Rozpracováno")+COUNTIFS(Scénáře!$W$4:$W$503,"K dopracování")</f>
        <v>3</v>
      </c>
      <c r="D34" s="5" t="s">
        <v>89</v>
      </c>
      <c r="E34" s="5"/>
      <c r="F34" s="5"/>
      <c r="G34" s="5"/>
      <c r="H34" s="5"/>
      <c r="I34" s="12"/>
      <c r="J34" s="12"/>
      <c r="K34" s="12"/>
      <c r="L34" s="12"/>
    </row>
    <row r="35" spans="1:12" x14ac:dyDescent="0.2">
      <c r="A35" s="22" t="s">
        <v>59</v>
      </c>
      <c r="B35" s="28">
        <f>COUNTIFS(Scénáře!$E$4:$E$503,$C$4,Scénáře!$W$4:$W$503,"Schváleno")</f>
        <v>3</v>
      </c>
      <c r="C35" s="22">
        <f>COUNTIFS(Scénáře!$W$4:$W$503,"Schváleno")</f>
        <v>5</v>
      </c>
      <c r="D35" s="5"/>
      <c r="E35" s="5"/>
      <c r="F35" s="5"/>
      <c r="G35" s="5"/>
      <c r="H35" s="5"/>
      <c r="I35" s="12"/>
      <c r="J35" s="12"/>
      <c r="K35" s="12"/>
      <c r="L35" s="12"/>
    </row>
    <row r="36" spans="1:12" x14ac:dyDescent="0.2">
      <c r="A36" s="22" t="s">
        <v>90</v>
      </c>
      <c r="B36" s="28">
        <f>MAX(0,B31-B35)</f>
        <v>13</v>
      </c>
      <c r="C36" s="22"/>
      <c r="D36" s="5" t="s">
        <v>91</v>
      </c>
      <c r="E36" s="5"/>
      <c r="F36" s="5"/>
      <c r="G36" s="5"/>
      <c r="H36" s="5"/>
      <c r="I36" s="12"/>
      <c r="J36" s="12"/>
      <c r="K36" s="12"/>
      <c r="L36" s="12"/>
    </row>
    <row r="37" spans="1:12" x14ac:dyDescent="0.2">
      <c r="A37" s="22" t="s">
        <v>92</v>
      </c>
      <c r="B37" s="28">
        <f>COUNTIFS(Scénáře!$E$4:$E$503,$C$4,Scénáře!$W$4:$W$503,"Schváleno",Scénáře!$AA$4:$AA$503,"Čeká na natáčení")+COUNTIFS(Scénáře!$E$4:$E$503,$C$4,Scénáře!$W$4:$W$503,"Schváleno",Scénáře!$AA$4:$AA$503,"")</f>
        <v>2</v>
      </c>
      <c r="C37" s="22">
        <f>COUNTIFS(Scénáře!$W$4:$W$503,"Schváleno",Scénáře!$AA$4:$AA$503,"Čeká na natáčení")+COUNTIFS(Scénáře!$W$4:$W$503,"Schváleno",Scénáře!$AA$4:$AA$503,"")</f>
        <v>2</v>
      </c>
      <c r="D37" s="5" t="s">
        <v>93</v>
      </c>
      <c r="E37" s="5"/>
      <c r="F37" s="5"/>
      <c r="G37" s="5"/>
      <c r="H37" s="5"/>
      <c r="I37" s="12"/>
      <c r="J37" s="12"/>
      <c r="K37" s="12"/>
      <c r="L37" s="12"/>
    </row>
    <row r="38" spans="1:12" x14ac:dyDescent="0.2">
      <c r="A38" s="22" t="s">
        <v>94</v>
      </c>
      <c r="B38" s="28">
        <f ca="1">SUMPRODUCT((Scénáře!$E$4:$E$503=$C$4)*(Scénáře!$U$4:$U$503&lt;&gt;"")*(Scénáře!$U$4:$U$503&lt;TODAY())*(Scénáře!$W$4:$W$503&lt;&gt;"Schváleno")*(Scénáře!$W$4:$W$503&lt;&gt;"Odloženo")*(Scénáře!$W$4:$W$503&lt;&gt;"Zrušeno"))</f>
        <v>1</v>
      </c>
      <c r="C38" s="22">
        <f ca="1">SUMPRODUCT((Scénáře!$U$4:$U$503&lt;&gt;"")*(Scénáře!$U$4:$U$503&lt;TODAY())*(Scénáře!$W$4:$W$503&lt;&gt;"Schváleno")*(Scénáře!$W$4:$W$503&lt;&gt;"Odloženo")*(Scénáře!$W$4:$W$503&lt;&gt;"Zrušeno"))</f>
        <v>1</v>
      </c>
      <c r="D38" s="5" t="s">
        <v>95</v>
      </c>
      <c r="E38" s="5"/>
      <c r="F38" s="5"/>
      <c r="G38" s="5"/>
      <c r="H38" s="5"/>
      <c r="I38" s="12"/>
      <c r="J38" s="12"/>
      <c r="K38" s="12"/>
      <c r="L38" s="12"/>
    </row>
    <row r="39" spans="1:12" x14ac:dyDescent="0.2">
      <c r="A39" s="22" t="s">
        <v>96</v>
      </c>
      <c r="B39" s="28">
        <f ca="1">COUNTIFS(Scénáře!$E$4:$E$503,$C$4,Scénáře!$AI$4:$AI$503,"*Neschváleno po termínu cyklu*")</f>
        <v>0</v>
      </c>
      <c r="C39" s="22">
        <f ca="1">COUNTIF(Scénáře!$AI$4:$AI$503,"*Neschváleno po termínu cyklu*")</f>
        <v>0</v>
      </c>
      <c r="D39" s="5" t="s">
        <v>97</v>
      </c>
      <c r="E39" s="5"/>
      <c r="F39" s="5"/>
      <c r="G39" s="5"/>
      <c r="H39" s="5"/>
      <c r="I39" s="12"/>
      <c r="J39" s="12"/>
      <c r="K39" s="12"/>
      <c r="L39" s="12"/>
    </row>
    <row r="40" spans="1:12" x14ac:dyDescent="0.2">
      <c r="A40" s="22" t="s">
        <v>98</v>
      </c>
      <c r="B40" s="28">
        <f>SUMIFS(Scénáře!$AE$4:$AE$503,Scénáře!$E$4:$E$503,$C$4)</f>
        <v>2</v>
      </c>
      <c r="C40" s="22">
        <f>SUM(Scénáře!$AE$4:$AE$503)</f>
        <v>2</v>
      </c>
      <c r="D40" s="5" t="s">
        <v>99</v>
      </c>
      <c r="E40" s="5"/>
      <c r="F40" s="5"/>
      <c r="G40" s="5"/>
      <c r="H40" s="5"/>
      <c r="I40" s="12"/>
      <c r="J40" s="12"/>
      <c r="K40" s="12"/>
      <c r="L40" s="12"/>
    </row>
    <row r="41" spans="1:12" x14ac:dyDescent="0.2">
      <c r="A41" s="22" t="s">
        <v>100</v>
      </c>
      <c r="B41" s="28">
        <f>SUMPRODUCT((Scénáře!$E$4:$E$503=$C$4)*((Scénáře!$AA$4:$AA$503="Natočeno")+(Scénáře!$AA$4:$AA$503="Ve střihu")+(Scénáře!$AA$4:$AA$503="Sestříháno")+(Scénáře!$AA$4:$AA$503="Publikováno")))</f>
        <v>1</v>
      </c>
      <c r="C41" s="22">
        <f>SUMPRODUCT(((Scénáře!$AA$4:$AA$503="Natočeno")+(Scénáře!$AA$4:$AA$503="Ve střihu")+(Scénáře!$AA$4:$AA$503="Sestříháno")+(Scénáře!$AA$4:$AA$503="Publikováno")))</f>
        <v>3</v>
      </c>
      <c r="D41" s="5"/>
      <c r="E41" s="5"/>
      <c r="F41" s="5"/>
      <c r="G41" s="5"/>
      <c r="H41" s="5"/>
      <c r="I41" s="12"/>
      <c r="J41" s="12"/>
      <c r="K41" s="12"/>
      <c r="L41" s="12"/>
    </row>
    <row r="42" spans="1:12" x14ac:dyDescent="0.2">
      <c r="A42" s="22" t="s">
        <v>101</v>
      </c>
      <c r="B42" s="28">
        <f>COUNTIFS(Scénáře!$E$4:$E$503,$C$4,Scénáře!$W$4:$W$503,"Odloženo")+COUNTIFS(Scénáře!$E$4:$E$503,$C$4,Scénáře!$W$4:$W$503,"Zrušeno")</f>
        <v>0</v>
      </c>
      <c r="C42" s="22">
        <f>COUNTIFS(Scénáře!$W$4:$W$503,"Odloženo")+COUNTIFS(Scénáře!$W$4:$W$503,"Zrušeno")</f>
        <v>0</v>
      </c>
      <c r="D42" s="5"/>
      <c r="E42" s="5"/>
      <c r="F42" s="5"/>
      <c r="G42" s="5"/>
      <c r="H42" s="5"/>
      <c r="I42" s="12"/>
      <c r="J42" s="12"/>
      <c r="K42" s="12"/>
      <c r="L42" s="12"/>
    </row>
    <row r="43" spans="1:12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9.5" customHeight="1" x14ac:dyDescent="0.2">
      <c r="A44" s="19" t="str">
        <f>"5. TEMATICKÝ MIX PRO NATÁČECÍ CYKLUS "&amp;$C$4&amp;"  (plán "&amp;$G$6&amp;" videí – fáze plánování a schvalování)"</f>
        <v>5. TEMATICKÝ MIX PRO NATÁČECÍ CYKLUS 2026-11  (plán 16 videí – fáze plánování a schvalování)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30" customHeight="1" x14ac:dyDescent="0.2">
      <c r="A45" s="21" t="s">
        <v>55</v>
      </c>
      <c r="B45" s="21" t="s">
        <v>56</v>
      </c>
      <c r="C45" s="21" t="s">
        <v>57</v>
      </c>
      <c r="D45" s="21" t="s">
        <v>58</v>
      </c>
      <c r="E45" s="21" t="s">
        <v>59</v>
      </c>
      <c r="F45" s="21" t="s">
        <v>60</v>
      </c>
      <c r="G45" s="21" t="s">
        <v>61</v>
      </c>
      <c r="H45" s="21" t="s">
        <v>64</v>
      </c>
      <c r="I45" s="12"/>
      <c r="J45" s="12"/>
      <c r="K45" s="12"/>
      <c r="L45" s="12"/>
    </row>
    <row r="46" spans="1:12" x14ac:dyDescent="0.2">
      <c r="A46" s="22" t="str">
        <f>Nastavení!$A$10</f>
        <v>Nábor, vedení lidí a práce s týmem</v>
      </c>
      <c r="B46" s="23">
        <f>Nastavení!$B$10</f>
        <v>0.3</v>
      </c>
      <c r="C46" s="22">
        <f>IF(ROW()-46+1=MATCH(MAX($B$46:$B$49),$B$46:$B$49,0),$G$6-(ROUND($G$6*$B46,0)+ROUND($G$6*$B47,0)+ROUND($G$6*$B48,0)+ROUND($G$6*$B49,0))+ROUND($G$6*$B46,0),ROUND($G$6*$B46,0))</f>
        <v>5</v>
      </c>
      <c r="D46" s="22">
        <f>COUNTIFS(Scénáře!$E$4:$E$503,$C$4,Scénáře!$G$4:$G$503,$A46,Scénáře!$W$4:$W$503,"&lt;&gt;Zrušeno",Scénáře!$W$4:$W$503,"&lt;&gt;Odloženo")</f>
        <v>2</v>
      </c>
      <c r="E46" s="22">
        <f>COUNTIFS(Scénáře!$E$4:$E$503,$C$4,Scénáře!$G$4:$G$503,$A46,Scénáře!$W$4:$W$503,"Schváleno")</f>
        <v>1</v>
      </c>
      <c r="F46" s="22">
        <f>MAX(0,C46-E46)</f>
        <v>4</v>
      </c>
      <c r="G46" s="22">
        <f>SUMPRODUCT((Scénáře!$E$4:$E$503=$C$4)*(Scénáře!$G$4:$G$503=$A46)*((Scénáře!$AA$4:$AA$503="Natočeno")+(Scénáře!$AA$4:$AA$503="Ve střihu")+(Scénáře!$AA$4:$AA$503="Sestříháno")+(Scénáře!$AA$4:$AA$503="Publikováno")))</f>
        <v>1</v>
      </c>
      <c r="H46" s="22" t="str">
        <f>IF(C46=0,"–",IF(E46&gt;=C46,"Schváleno ✔",IF(D46&gt;=C46,"Čeká na schválení","CHYBÍ SCÉNÁŘE")))</f>
        <v>CHYBÍ SCÉNÁŘE</v>
      </c>
      <c r="I46" s="12"/>
      <c r="J46" s="12"/>
      <c r="K46" s="12"/>
      <c r="L46" s="12"/>
    </row>
    <row r="47" spans="1:12" x14ac:dyDescent="0.2">
      <c r="A47" s="22" t="str">
        <f>Nastavení!$A$11</f>
        <v>Osobní brand &amp; Lifestyle</v>
      </c>
      <c r="B47" s="23">
        <f>Nastavení!$B$11</f>
        <v>0.4</v>
      </c>
      <c r="C47" s="22">
        <f>IF(ROW()-46+1=MATCH(MAX($B$46:$B$49),$B$46:$B$49,0),$G$6-(ROUND($G$6*$B46,0)+ROUND($G$6*$B47,0)+ROUND($G$6*$B48,0)+ROUND($G$6*$B49,0))+ROUND($G$6*$B47,0),ROUND($G$6*$B47,0))</f>
        <v>6</v>
      </c>
      <c r="D47" s="22">
        <f>COUNTIFS(Scénáře!$E$4:$E$503,$C$4,Scénáře!$G$4:$G$503,$A47,Scénáře!$W$4:$W$503,"&lt;&gt;Zrušeno",Scénáře!$W$4:$W$503,"&lt;&gt;Odloženo")</f>
        <v>2</v>
      </c>
      <c r="E47" s="22">
        <f>COUNTIFS(Scénáře!$E$4:$E$503,$C$4,Scénáře!$G$4:$G$503,$A47,Scénáře!$W$4:$W$503,"Schváleno")</f>
        <v>1</v>
      </c>
      <c r="F47" s="22">
        <f>MAX(0,C47-E47)</f>
        <v>5</v>
      </c>
      <c r="G47" s="22">
        <f>SUMPRODUCT((Scénáře!$E$4:$E$503=$C$4)*(Scénáře!$G$4:$G$503=$A47)*((Scénáře!$AA$4:$AA$503="Natočeno")+(Scénáře!$AA$4:$AA$503="Ve střihu")+(Scénáře!$AA$4:$AA$503="Sestříháno")+(Scénáře!$AA$4:$AA$503="Publikováno")))</f>
        <v>0</v>
      </c>
      <c r="H47" s="22" t="str">
        <f>IF(C47=0,"–",IF(E47&gt;=C47,"Schváleno ✔",IF(D47&gt;=C47,"Čeká na schválení","CHYBÍ SCÉNÁŘE")))</f>
        <v>CHYBÍ SCÉNÁŘE</v>
      </c>
      <c r="I47" s="12"/>
      <c r="J47" s="12"/>
      <c r="K47" s="12"/>
      <c r="L47" s="12"/>
    </row>
    <row r="48" spans="1:12" x14ac:dyDescent="0.2">
      <c r="A48" s="22" t="str">
        <f>Nastavení!$A$12</f>
        <v>Trendy a reakce na trh</v>
      </c>
      <c r="B48" s="23">
        <f>Nastavení!$B$12</f>
        <v>0.2</v>
      </c>
      <c r="C48" s="22">
        <f>IF(ROW()-46+1=MATCH(MAX($B$46:$B$49),$B$46:$B$49,0),$G$6-(ROUND($G$6*$B46,0)+ROUND($G$6*$B47,0)+ROUND($G$6*$B48,0)+ROUND($G$6*$B49,0))+ROUND($G$6*$B48,0),ROUND($G$6*$B48,0))</f>
        <v>3</v>
      </c>
      <c r="D48" s="22">
        <f>COUNTIFS(Scénáře!$E$4:$E$503,$C$4,Scénáře!$G$4:$G$503,$A48,Scénáře!$W$4:$W$503,"&lt;&gt;Zrušeno",Scénáře!$W$4:$W$503,"&lt;&gt;Odloženo")</f>
        <v>1</v>
      </c>
      <c r="E48" s="22">
        <f>COUNTIFS(Scénáře!$E$4:$E$503,$C$4,Scénáře!$G$4:$G$503,$A48,Scénáře!$W$4:$W$503,"Schváleno")</f>
        <v>0</v>
      </c>
      <c r="F48" s="22">
        <f>MAX(0,C48-E48)</f>
        <v>3</v>
      </c>
      <c r="G48" s="22">
        <f>SUMPRODUCT((Scénáře!$E$4:$E$503=$C$4)*(Scénáře!$G$4:$G$503=$A48)*((Scénáře!$AA$4:$AA$503="Natočeno")+(Scénáře!$AA$4:$AA$503="Ve střihu")+(Scénáře!$AA$4:$AA$503="Sestříháno")+(Scénáře!$AA$4:$AA$503="Publikováno")))</f>
        <v>0</v>
      </c>
      <c r="H48" s="22" t="str">
        <f>IF(C48=0,"–",IF(E48&gt;=C48,"Schváleno ✔",IF(D48&gt;=C48,"Čeká na schválení","CHYBÍ SCÉNÁŘE")))</f>
        <v>CHYBÍ SCÉNÁŘE</v>
      </c>
      <c r="I48" s="12"/>
      <c r="J48" s="12"/>
      <c r="K48" s="12"/>
      <c r="L48" s="12"/>
    </row>
    <row r="49" spans="1:12" x14ac:dyDescent="0.2">
      <c r="A49" s="22" t="str">
        <f>Nastavení!$A$13</f>
        <v>Produktové a poradenské tipy</v>
      </c>
      <c r="B49" s="23">
        <f>Nastavení!$B$13</f>
        <v>0.1</v>
      </c>
      <c r="C49" s="22">
        <f>IF(ROW()-46+1=MATCH(MAX($B$46:$B$49),$B$46:$B$49,0),$G$6-(ROUND($G$6*$B46,0)+ROUND($G$6*$B47,0)+ROUND($G$6*$B48,0)+ROUND($G$6*$B49,0))+ROUND($G$6*$B49,0),ROUND($G$6*$B49,0))</f>
        <v>2</v>
      </c>
      <c r="D49" s="22">
        <f>COUNTIFS(Scénáře!$E$4:$E$503,$C$4,Scénáře!$G$4:$G$503,$A49,Scénáře!$W$4:$W$503,"&lt;&gt;Zrušeno",Scénáře!$W$4:$W$503,"&lt;&gt;Odloženo")</f>
        <v>2</v>
      </c>
      <c r="E49" s="22">
        <f>COUNTIFS(Scénáře!$E$4:$E$503,$C$4,Scénáře!$G$4:$G$503,$A49,Scénáře!$W$4:$W$503,"Schváleno")</f>
        <v>1</v>
      </c>
      <c r="F49" s="22">
        <f>MAX(0,C49-E49)</f>
        <v>1</v>
      </c>
      <c r="G49" s="22">
        <f>SUMPRODUCT((Scénáře!$E$4:$E$503=$C$4)*(Scénáře!$G$4:$G$503=$A49)*((Scénáře!$AA$4:$AA$503="Natočeno")+(Scénáře!$AA$4:$AA$503="Ve střihu")+(Scénáře!$AA$4:$AA$503="Sestříháno")+(Scénáře!$AA$4:$AA$503="Publikováno")))</f>
        <v>0</v>
      </c>
      <c r="H49" s="22" t="str">
        <f>IF(C49=0,"–",IF(E49&gt;=C49,"Schváleno ✔",IF(D49&gt;=C49,"Čeká na schválení","CHYBÍ SCÉNÁŘE")))</f>
        <v>Čeká na schválení</v>
      </c>
      <c r="I49" s="12"/>
      <c r="J49" s="12"/>
      <c r="K49" s="12"/>
      <c r="L49" s="12"/>
    </row>
    <row r="50" spans="1:12" x14ac:dyDescent="0.2">
      <c r="A50" s="24" t="s">
        <v>65</v>
      </c>
      <c r="B50" s="25">
        <f t="shared" ref="B50:G50" si="2">SUM(B46:B49)</f>
        <v>0.99999999999999989</v>
      </c>
      <c r="C50" s="24">
        <f t="shared" si="2"/>
        <v>16</v>
      </c>
      <c r="D50" s="24">
        <f t="shared" si="2"/>
        <v>7</v>
      </c>
      <c r="E50" s="24">
        <f t="shared" si="2"/>
        <v>3</v>
      </c>
      <c r="F50" s="24">
        <f t="shared" si="2"/>
        <v>13</v>
      </c>
      <c r="G50" s="24">
        <f t="shared" si="2"/>
        <v>1</v>
      </c>
      <c r="H50" s="27" t="str">
        <f>IF(C50=0,"–",IF(E50&gt;=C50,"Schváleno ✔",IF(D50&gt;=C50,"Čeká na schválení","CHYBÍ SCÉNÁŘE")))</f>
        <v>CHYBÍ SCÉNÁŘE</v>
      </c>
      <c r="I50" s="12"/>
      <c r="J50" s="12"/>
      <c r="K50" s="12"/>
      <c r="L50" s="12"/>
    </row>
    <row r="51" spans="1:12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ht="19.5" customHeight="1" x14ac:dyDescent="0.2">
      <c r="A52" s="19" t="s">
        <v>102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spans="1:12" ht="30" customHeight="1" x14ac:dyDescent="0.2">
      <c r="A53" s="21" t="s">
        <v>103</v>
      </c>
      <c r="B53" s="21" t="s">
        <v>104</v>
      </c>
      <c r="C53" s="21" t="s">
        <v>64</v>
      </c>
      <c r="D53" s="21" t="s">
        <v>105</v>
      </c>
      <c r="E53" s="21" t="s">
        <v>106</v>
      </c>
      <c r="F53" s="21" t="s">
        <v>107</v>
      </c>
      <c r="G53" s="21" t="s">
        <v>59</v>
      </c>
      <c r="H53" s="21" t="s">
        <v>61</v>
      </c>
      <c r="I53" s="21" t="s">
        <v>62</v>
      </c>
      <c r="J53" s="21" t="s">
        <v>108</v>
      </c>
      <c r="K53" s="21" t="s">
        <v>109</v>
      </c>
      <c r="L53" s="21" t="s">
        <v>110</v>
      </c>
    </row>
    <row r="54" spans="1:12" x14ac:dyDescent="0.2">
      <c r="A54" s="22" t="str">
        <f>IFERROR(INDEX(Série!$B$4:$B$103,MATCH(1,Série!$AA$4:$AA$103,0)),"")</f>
        <v>UKÁZKA – Investiční chyby začátečníků</v>
      </c>
      <c r="B54" s="22" t="str">
        <f>IFERROR(INDEX(Série!$A$4:$A$103,MATCH(1,Série!$AA$4:$AA$103,0)),"")</f>
        <v>S01</v>
      </c>
      <c r="C54" s="22" t="str">
        <f>IFERROR(INDEX(Série!$M$4:$M$103,MATCH(1,Série!$AA$4:$AA$103,0)),"")</f>
        <v>Rozpracovaná</v>
      </c>
      <c r="D54" s="22" t="str">
        <f>IFERROR(INDEX(Série!$E$4:$E$103,MATCH(1,Série!$AA$4:$AA$103,0)),"")</f>
        <v>Radek</v>
      </c>
      <c r="E54" s="22">
        <f>IFERROR(INDEX(Série!$G$4:$G$103,MATCH(1,Série!$AA$4:$AA$103,0)),"")</f>
        <v>8</v>
      </c>
      <c r="F54" s="22">
        <f>IFERROR(INDEX(Série!$P$4:$P$103,MATCH(1,Série!$AA$4:$AA$103,0)),"")</f>
        <v>3</v>
      </c>
      <c r="G54" s="22">
        <f>IFERROR(INDEX(Série!$Q$4:$Q$103,MATCH(1,Série!$AA$4:$AA$103,0)),"")</f>
        <v>1</v>
      </c>
      <c r="H54" s="22">
        <f>IFERROR(INDEX(Série!$R$4:$R$103,MATCH(1,Série!$AA$4:$AA$103,0)),"")</f>
        <v>0</v>
      </c>
      <c r="I54" s="22">
        <f>IFERROR(INDEX(Série!$S$4:$S$103,MATCH(1,Série!$AA$4:$AA$103,0)),"")</f>
        <v>0</v>
      </c>
      <c r="J54" s="30">
        <f>IFERROR(INDEX(Série!$T$4:$T$103,MATCH(1,Série!$AA$4:$AA$103,0)),"")</f>
        <v>0</v>
      </c>
      <c r="K54" s="22">
        <f>IFERROR(INDEX(Série!$U$4:$U$103,MATCH(1,Série!$AA$4:$AA$103,0)),"")</f>
        <v>8</v>
      </c>
      <c r="L54" s="22">
        <f>IFERROR(INDEX(Série!$V$4:$V$103,MATCH(1,Série!$AA$4:$AA$103,0)),"")</f>
        <v>0</v>
      </c>
    </row>
    <row r="55" spans="1:12" x14ac:dyDescent="0.2">
      <c r="A55" s="22" t="str">
        <f>IFERROR(INDEX(Série!$B$4:$B$103,MATCH(2,Série!$AA$4:$AA$103,0)),"")</f>
        <v>UKÁZKA – Zákulisí finančního poradce</v>
      </c>
      <c r="B55" s="22" t="str">
        <f>IFERROR(INDEX(Série!$A$4:$A$103,MATCH(2,Série!$AA$4:$AA$103,0)),"")</f>
        <v>S02</v>
      </c>
      <c r="C55" s="22" t="str">
        <f>IFERROR(INDEX(Série!$M$4:$M$103,MATCH(2,Série!$AA$4:$AA$103,0)),"")</f>
        <v>Návrh</v>
      </c>
      <c r="D55" s="22" t="str">
        <f>IFERROR(INDEX(Série!$E$4:$E$103,MATCH(2,Série!$AA$4:$AA$103,0)),"")</f>
        <v>Honza</v>
      </c>
      <c r="E55" s="22">
        <f>IFERROR(INDEX(Série!$G$4:$G$103,MATCH(2,Série!$AA$4:$AA$103,0)),"")</f>
        <v>5</v>
      </c>
      <c r="F55" s="22">
        <f>IFERROR(INDEX(Série!$P$4:$P$103,MATCH(2,Série!$AA$4:$AA$103,0)),"")</f>
        <v>0</v>
      </c>
      <c r="G55" s="22">
        <f>IFERROR(INDEX(Série!$Q$4:$Q$103,MATCH(2,Série!$AA$4:$AA$103,0)),"")</f>
        <v>0</v>
      </c>
      <c r="H55" s="22">
        <f>IFERROR(INDEX(Série!$R$4:$R$103,MATCH(2,Série!$AA$4:$AA$103,0)),"")</f>
        <v>0</v>
      </c>
      <c r="I55" s="22">
        <f>IFERROR(INDEX(Série!$S$4:$S$103,MATCH(2,Série!$AA$4:$AA$103,0)),"")</f>
        <v>0</v>
      </c>
      <c r="J55" s="30">
        <f>IFERROR(INDEX(Série!$T$4:$T$103,MATCH(2,Série!$AA$4:$AA$103,0)),"")</f>
        <v>0</v>
      </c>
      <c r="K55" s="22">
        <f>IFERROR(INDEX(Série!$U$4:$U$103,MATCH(2,Série!$AA$4:$AA$103,0)),"")</f>
        <v>5</v>
      </c>
      <c r="L55" s="22">
        <f>IFERROR(INDEX(Série!$V$4:$V$103,MATCH(2,Série!$AA$4:$AA$103,0)),"")</f>
        <v>0</v>
      </c>
    </row>
    <row r="56" spans="1:12" x14ac:dyDescent="0.2">
      <c r="A56" s="22" t="str">
        <f>IFERROR(INDEX(Série!$B$4:$B$103,MATCH(3,Série!$AA$4:$AA$103,0)),"")</f>
        <v/>
      </c>
      <c r="B56" s="22" t="str">
        <f>IFERROR(INDEX(Série!$A$4:$A$103,MATCH(3,Série!$AA$4:$AA$103,0)),"")</f>
        <v/>
      </c>
      <c r="C56" s="22" t="str">
        <f>IFERROR(INDEX(Série!$M$4:$M$103,MATCH(3,Série!$AA$4:$AA$103,0)),"")</f>
        <v/>
      </c>
      <c r="D56" s="22" t="str">
        <f>IFERROR(INDEX(Série!$E$4:$E$103,MATCH(3,Série!$AA$4:$AA$103,0)),"")</f>
        <v/>
      </c>
      <c r="E56" s="22" t="str">
        <f>IFERROR(INDEX(Série!$G$4:$G$103,MATCH(3,Série!$AA$4:$AA$103,0)),"")</f>
        <v/>
      </c>
      <c r="F56" s="22" t="str">
        <f>IFERROR(INDEX(Série!$P$4:$P$103,MATCH(3,Série!$AA$4:$AA$103,0)),"")</f>
        <v/>
      </c>
      <c r="G56" s="22" t="str">
        <f>IFERROR(INDEX(Série!$Q$4:$Q$103,MATCH(3,Série!$AA$4:$AA$103,0)),"")</f>
        <v/>
      </c>
      <c r="H56" s="22" t="str">
        <f>IFERROR(INDEX(Série!$R$4:$R$103,MATCH(3,Série!$AA$4:$AA$103,0)),"")</f>
        <v/>
      </c>
      <c r="I56" s="22" t="str">
        <f>IFERROR(INDEX(Série!$S$4:$S$103,MATCH(3,Série!$AA$4:$AA$103,0)),"")</f>
        <v/>
      </c>
      <c r="J56" s="30" t="str">
        <f>IFERROR(INDEX(Série!$T$4:$T$103,MATCH(3,Série!$AA$4:$AA$103,0)),"")</f>
        <v/>
      </c>
      <c r="K56" s="22" t="str">
        <f>IFERROR(INDEX(Série!$U$4:$U$103,MATCH(3,Série!$AA$4:$AA$103,0)),"")</f>
        <v/>
      </c>
      <c r="L56" s="22" t="str">
        <f>IFERROR(INDEX(Série!$V$4:$V$103,MATCH(3,Série!$AA$4:$AA$103,0)),"")</f>
        <v/>
      </c>
    </row>
    <row r="57" spans="1:12" x14ac:dyDescent="0.2">
      <c r="A57" s="22" t="str">
        <f>IFERROR(INDEX(Série!$B$4:$B$103,MATCH(4,Série!$AA$4:$AA$103,0)),"")</f>
        <v/>
      </c>
      <c r="B57" s="22" t="str">
        <f>IFERROR(INDEX(Série!$A$4:$A$103,MATCH(4,Série!$AA$4:$AA$103,0)),"")</f>
        <v/>
      </c>
      <c r="C57" s="22" t="str">
        <f>IFERROR(INDEX(Série!$M$4:$M$103,MATCH(4,Série!$AA$4:$AA$103,0)),"")</f>
        <v/>
      </c>
      <c r="D57" s="22" t="str">
        <f>IFERROR(INDEX(Série!$E$4:$E$103,MATCH(4,Série!$AA$4:$AA$103,0)),"")</f>
        <v/>
      </c>
      <c r="E57" s="22" t="str">
        <f>IFERROR(INDEX(Série!$G$4:$G$103,MATCH(4,Série!$AA$4:$AA$103,0)),"")</f>
        <v/>
      </c>
      <c r="F57" s="22" t="str">
        <f>IFERROR(INDEX(Série!$P$4:$P$103,MATCH(4,Série!$AA$4:$AA$103,0)),"")</f>
        <v/>
      </c>
      <c r="G57" s="22" t="str">
        <f>IFERROR(INDEX(Série!$Q$4:$Q$103,MATCH(4,Série!$AA$4:$AA$103,0)),"")</f>
        <v/>
      </c>
      <c r="H57" s="22" t="str">
        <f>IFERROR(INDEX(Série!$R$4:$R$103,MATCH(4,Série!$AA$4:$AA$103,0)),"")</f>
        <v/>
      </c>
      <c r="I57" s="22" t="str">
        <f>IFERROR(INDEX(Série!$S$4:$S$103,MATCH(4,Série!$AA$4:$AA$103,0)),"")</f>
        <v/>
      </c>
      <c r="J57" s="30" t="str">
        <f>IFERROR(INDEX(Série!$T$4:$T$103,MATCH(4,Série!$AA$4:$AA$103,0)),"")</f>
        <v/>
      </c>
      <c r="K57" s="22" t="str">
        <f>IFERROR(INDEX(Série!$U$4:$U$103,MATCH(4,Série!$AA$4:$AA$103,0)),"")</f>
        <v/>
      </c>
      <c r="L57" s="22" t="str">
        <f>IFERROR(INDEX(Série!$V$4:$V$103,MATCH(4,Série!$AA$4:$AA$103,0)),"")</f>
        <v/>
      </c>
    </row>
    <row r="58" spans="1:12" x14ac:dyDescent="0.2">
      <c r="A58" s="22" t="str">
        <f>IFERROR(INDEX(Série!$B$4:$B$103,MATCH(5,Série!$AA$4:$AA$103,0)),"")</f>
        <v/>
      </c>
      <c r="B58" s="22" t="str">
        <f>IFERROR(INDEX(Série!$A$4:$A$103,MATCH(5,Série!$AA$4:$AA$103,0)),"")</f>
        <v/>
      </c>
      <c r="C58" s="22" t="str">
        <f>IFERROR(INDEX(Série!$M$4:$M$103,MATCH(5,Série!$AA$4:$AA$103,0)),"")</f>
        <v/>
      </c>
      <c r="D58" s="22" t="str">
        <f>IFERROR(INDEX(Série!$E$4:$E$103,MATCH(5,Série!$AA$4:$AA$103,0)),"")</f>
        <v/>
      </c>
      <c r="E58" s="22" t="str">
        <f>IFERROR(INDEX(Série!$G$4:$G$103,MATCH(5,Série!$AA$4:$AA$103,0)),"")</f>
        <v/>
      </c>
      <c r="F58" s="22" t="str">
        <f>IFERROR(INDEX(Série!$P$4:$P$103,MATCH(5,Série!$AA$4:$AA$103,0)),"")</f>
        <v/>
      </c>
      <c r="G58" s="22" t="str">
        <f>IFERROR(INDEX(Série!$Q$4:$Q$103,MATCH(5,Série!$AA$4:$AA$103,0)),"")</f>
        <v/>
      </c>
      <c r="H58" s="22" t="str">
        <f>IFERROR(INDEX(Série!$R$4:$R$103,MATCH(5,Série!$AA$4:$AA$103,0)),"")</f>
        <v/>
      </c>
      <c r="I58" s="22" t="str">
        <f>IFERROR(INDEX(Série!$S$4:$S$103,MATCH(5,Série!$AA$4:$AA$103,0)),"")</f>
        <v/>
      </c>
      <c r="J58" s="30" t="str">
        <f>IFERROR(INDEX(Série!$T$4:$T$103,MATCH(5,Série!$AA$4:$AA$103,0)),"")</f>
        <v/>
      </c>
      <c r="K58" s="22" t="str">
        <f>IFERROR(INDEX(Série!$U$4:$U$103,MATCH(5,Série!$AA$4:$AA$103,0)),"")</f>
        <v/>
      </c>
      <c r="L58" s="22" t="str">
        <f>IFERROR(INDEX(Série!$V$4:$V$103,MATCH(5,Série!$AA$4:$AA$103,0)),"")</f>
        <v/>
      </c>
    </row>
    <row r="59" spans="1:12" x14ac:dyDescent="0.2">
      <c r="A59" s="22" t="str">
        <f>IFERROR(INDEX(Série!$B$4:$B$103,MATCH(6,Série!$AA$4:$AA$103,0)),"")</f>
        <v/>
      </c>
      <c r="B59" s="22" t="str">
        <f>IFERROR(INDEX(Série!$A$4:$A$103,MATCH(6,Série!$AA$4:$AA$103,0)),"")</f>
        <v/>
      </c>
      <c r="C59" s="22" t="str">
        <f>IFERROR(INDEX(Série!$M$4:$M$103,MATCH(6,Série!$AA$4:$AA$103,0)),"")</f>
        <v/>
      </c>
      <c r="D59" s="22" t="str">
        <f>IFERROR(INDEX(Série!$E$4:$E$103,MATCH(6,Série!$AA$4:$AA$103,0)),"")</f>
        <v/>
      </c>
      <c r="E59" s="22" t="str">
        <f>IFERROR(INDEX(Série!$G$4:$G$103,MATCH(6,Série!$AA$4:$AA$103,0)),"")</f>
        <v/>
      </c>
      <c r="F59" s="22" t="str">
        <f>IFERROR(INDEX(Série!$P$4:$P$103,MATCH(6,Série!$AA$4:$AA$103,0)),"")</f>
        <v/>
      </c>
      <c r="G59" s="22" t="str">
        <f>IFERROR(INDEX(Série!$Q$4:$Q$103,MATCH(6,Série!$AA$4:$AA$103,0)),"")</f>
        <v/>
      </c>
      <c r="H59" s="22" t="str">
        <f>IFERROR(INDEX(Série!$R$4:$R$103,MATCH(6,Série!$AA$4:$AA$103,0)),"")</f>
        <v/>
      </c>
      <c r="I59" s="22" t="str">
        <f>IFERROR(INDEX(Série!$S$4:$S$103,MATCH(6,Série!$AA$4:$AA$103,0)),"")</f>
        <v/>
      </c>
      <c r="J59" s="30" t="str">
        <f>IFERROR(INDEX(Série!$T$4:$T$103,MATCH(6,Série!$AA$4:$AA$103,0)),"")</f>
        <v/>
      </c>
      <c r="K59" s="22" t="str">
        <f>IFERROR(INDEX(Série!$U$4:$U$103,MATCH(6,Série!$AA$4:$AA$103,0)),"")</f>
        <v/>
      </c>
      <c r="L59" s="22" t="str">
        <f>IFERROR(INDEX(Série!$V$4:$V$103,MATCH(6,Série!$AA$4:$AA$103,0)),"")</f>
        <v/>
      </c>
    </row>
    <row r="60" spans="1:12" x14ac:dyDescent="0.2">
      <c r="A60" s="22" t="str">
        <f>IFERROR(INDEX(Série!$B$4:$B$103,MATCH(7,Série!$AA$4:$AA$103,0)),"")</f>
        <v/>
      </c>
      <c r="B60" s="22" t="str">
        <f>IFERROR(INDEX(Série!$A$4:$A$103,MATCH(7,Série!$AA$4:$AA$103,0)),"")</f>
        <v/>
      </c>
      <c r="C60" s="22" t="str">
        <f>IFERROR(INDEX(Série!$M$4:$M$103,MATCH(7,Série!$AA$4:$AA$103,0)),"")</f>
        <v/>
      </c>
      <c r="D60" s="22" t="str">
        <f>IFERROR(INDEX(Série!$E$4:$E$103,MATCH(7,Série!$AA$4:$AA$103,0)),"")</f>
        <v/>
      </c>
      <c r="E60" s="22" t="str">
        <f>IFERROR(INDEX(Série!$G$4:$G$103,MATCH(7,Série!$AA$4:$AA$103,0)),"")</f>
        <v/>
      </c>
      <c r="F60" s="22" t="str">
        <f>IFERROR(INDEX(Série!$P$4:$P$103,MATCH(7,Série!$AA$4:$AA$103,0)),"")</f>
        <v/>
      </c>
      <c r="G60" s="22" t="str">
        <f>IFERROR(INDEX(Série!$Q$4:$Q$103,MATCH(7,Série!$AA$4:$AA$103,0)),"")</f>
        <v/>
      </c>
      <c r="H60" s="22" t="str">
        <f>IFERROR(INDEX(Série!$R$4:$R$103,MATCH(7,Série!$AA$4:$AA$103,0)),"")</f>
        <v/>
      </c>
      <c r="I60" s="22" t="str">
        <f>IFERROR(INDEX(Série!$S$4:$S$103,MATCH(7,Série!$AA$4:$AA$103,0)),"")</f>
        <v/>
      </c>
      <c r="J60" s="30" t="str">
        <f>IFERROR(INDEX(Série!$T$4:$T$103,MATCH(7,Série!$AA$4:$AA$103,0)),"")</f>
        <v/>
      </c>
      <c r="K60" s="22" t="str">
        <f>IFERROR(INDEX(Série!$U$4:$U$103,MATCH(7,Série!$AA$4:$AA$103,0)),"")</f>
        <v/>
      </c>
      <c r="L60" s="22" t="str">
        <f>IFERROR(INDEX(Série!$V$4:$V$103,MATCH(7,Série!$AA$4:$AA$103,0)),"")</f>
        <v/>
      </c>
    </row>
    <row r="61" spans="1:12" x14ac:dyDescent="0.2">
      <c r="A61" s="22" t="str">
        <f>IFERROR(INDEX(Série!$B$4:$B$103,MATCH(8,Série!$AA$4:$AA$103,0)),"")</f>
        <v/>
      </c>
      <c r="B61" s="22" t="str">
        <f>IFERROR(INDEX(Série!$A$4:$A$103,MATCH(8,Série!$AA$4:$AA$103,0)),"")</f>
        <v/>
      </c>
      <c r="C61" s="22" t="str">
        <f>IFERROR(INDEX(Série!$M$4:$M$103,MATCH(8,Série!$AA$4:$AA$103,0)),"")</f>
        <v/>
      </c>
      <c r="D61" s="22" t="str">
        <f>IFERROR(INDEX(Série!$E$4:$E$103,MATCH(8,Série!$AA$4:$AA$103,0)),"")</f>
        <v/>
      </c>
      <c r="E61" s="22" t="str">
        <f>IFERROR(INDEX(Série!$G$4:$G$103,MATCH(8,Série!$AA$4:$AA$103,0)),"")</f>
        <v/>
      </c>
      <c r="F61" s="22" t="str">
        <f>IFERROR(INDEX(Série!$P$4:$P$103,MATCH(8,Série!$AA$4:$AA$103,0)),"")</f>
        <v/>
      </c>
      <c r="G61" s="22" t="str">
        <f>IFERROR(INDEX(Série!$Q$4:$Q$103,MATCH(8,Série!$AA$4:$AA$103,0)),"")</f>
        <v/>
      </c>
      <c r="H61" s="22" t="str">
        <f>IFERROR(INDEX(Série!$R$4:$R$103,MATCH(8,Série!$AA$4:$AA$103,0)),"")</f>
        <v/>
      </c>
      <c r="I61" s="22" t="str">
        <f>IFERROR(INDEX(Série!$S$4:$S$103,MATCH(8,Série!$AA$4:$AA$103,0)),"")</f>
        <v/>
      </c>
      <c r="J61" s="30" t="str">
        <f>IFERROR(INDEX(Série!$T$4:$T$103,MATCH(8,Série!$AA$4:$AA$103,0)),"")</f>
        <v/>
      </c>
      <c r="K61" s="22" t="str">
        <f>IFERROR(INDEX(Série!$U$4:$U$103,MATCH(8,Série!$AA$4:$AA$103,0)),"")</f>
        <v/>
      </c>
      <c r="L61" s="22" t="str">
        <f>IFERROR(INDEX(Série!$V$4:$V$103,MATCH(8,Série!$AA$4:$AA$103,0)),"")</f>
        <v/>
      </c>
    </row>
    <row r="62" spans="1:12" x14ac:dyDescent="0.2">
      <c r="A62" s="22" t="str">
        <f>IFERROR(INDEX(Série!$B$4:$B$103,MATCH(9,Série!$AA$4:$AA$103,0)),"")</f>
        <v/>
      </c>
      <c r="B62" s="22" t="str">
        <f>IFERROR(INDEX(Série!$A$4:$A$103,MATCH(9,Série!$AA$4:$AA$103,0)),"")</f>
        <v/>
      </c>
      <c r="C62" s="22" t="str">
        <f>IFERROR(INDEX(Série!$M$4:$M$103,MATCH(9,Série!$AA$4:$AA$103,0)),"")</f>
        <v/>
      </c>
      <c r="D62" s="22" t="str">
        <f>IFERROR(INDEX(Série!$E$4:$E$103,MATCH(9,Série!$AA$4:$AA$103,0)),"")</f>
        <v/>
      </c>
      <c r="E62" s="22" t="str">
        <f>IFERROR(INDEX(Série!$G$4:$G$103,MATCH(9,Série!$AA$4:$AA$103,0)),"")</f>
        <v/>
      </c>
      <c r="F62" s="22" t="str">
        <f>IFERROR(INDEX(Série!$P$4:$P$103,MATCH(9,Série!$AA$4:$AA$103,0)),"")</f>
        <v/>
      </c>
      <c r="G62" s="22" t="str">
        <f>IFERROR(INDEX(Série!$Q$4:$Q$103,MATCH(9,Série!$AA$4:$AA$103,0)),"")</f>
        <v/>
      </c>
      <c r="H62" s="22" t="str">
        <f>IFERROR(INDEX(Série!$R$4:$R$103,MATCH(9,Série!$AA$4:$AA$103,0)),"")</f>
        <v/>
      </c>
      <c r="I62" s="22" t="str">
        <f>IFERROR(INDEX(Série!$S$4:$S$103,MATCH(9,Série!$AA$4:$AA$103,0)),"")</f>
        <v/>
      </c>
      <c r="J62" s="30" t="str">
        <f>IFERROR(INDEX(Série!$T$4:$T$103,MATCH(9,Série!$AA$4:$AA$103,0)),"")</f>
        <v/>
      </c>
      <c r="K62" s="22" t="str">
        <f>IFERROR(INDEX(Série!$U$4:$U$103,MATCH(9,Série!$AA$4:$AA$103,0)),"")</f>
        <v/>
      </c>
      <c r="L62" s="22" t="str">
        <f>IFERROR(INDEX(Série!$V$4:$V$103,MATCH(9,Série!$AA$4:$AA$103,0)),"")</f>
        <v/>
      </c>
    </row>
    <row r="63" spans="1:12" x14ac:dyDescent="0.2">
      <c r="A63" s="22" t="str">
        <f>IFERROR(INDEX(Série!$B$4:$B$103,MATCH(10,Série!$AA$4:$AA$103,0)),"")</f>
        <v/>
      </c>
      <c r="B63" s="22" t="str">
        <f>IFERROR(INDEX(Série!$A$4:$A$103,MATCH(10,Série!$AA$4:$AA$103,0)),"")</f>
        <v/>
      </c>
      <c r="C63" s="22" t="str">
        <f>IFERROR(INDEX(Série!$M$4:$M$103,MATCH(10,Série!$AA$4:$AA$103,0)),"")</f>
        <v/>
      </c>
      <c r="D63" s="22" t="str">
        <f>IFERROR(INDEX(Série!$E$4:$E$103,MATCH(10,Série!$AA$4:$AA$103,0)),"")</f>
        <v/>
      </c>
      <c r="E63" s="22" t="str">
        <f>IFERROR(INDEX(Série!$G$4:$G$103,MATCH(10,Série!$AA$4:$AA$103,0)),"")</f>
        <v/>
      </c>
      <c r="F63" s="22" t="str">
        <f>IFERROR(INDEX(Série!$P$4:$P$103,MATCH(10,Série!$AA$4:$AA$103,0)),"")</f>
        <v/>
      </c>
      <c r="G63" s="22" t="str">
        <f>IFERROR(INDEX(Série!$Q$4:$Q$103,MATCH(10,Série!$AA$4:$AA$103,0)),"")</f>
        <v/>
      </c>
      <c r="H63" s="22" t="str">
        <f>IFERROR(INDEX(Série!$R$4:$R$103,MATCH(10,Série!$AA$4:$AA$103,0)),"")</f>
        <v/>
      </c>
      <c r="I63" s="22" t="str">
        <f>IFERROR(INDEX(Série!$S$4:$S$103,MATCH(10,Série!$AA$4:$AA$103,0)),"")</f>
        <v/>
      </c>
      <c r="J63" s="30" t="str">
        <f>IFERROR(INDEX(Série!$T$4:$T$103,MATCH(10,Série!$AA$4:$AA$103,0)),"")</f>
        <v/>
      </c>
      <c r="K63" s="22" t="str">
        <f>IFERROR(INDEX(Série!$U$4:$U$103,MATCH(10,Série!$AA$4:$AA$103,0)),"")</f>
        <v/>
      </c>
      <c r="L63" s="22" t="str">
        <f>IFERROR(INDEX(Série!$V$4:$V$103,MATCH(10,Série!$AA$4:$AA$103,0)),"")</f>
        <v/>
      </c>
    </row>
    <row r="64" spans="1:12" x14ac:dyDescent="0.2">
      <c r="A64" s="22" t="str">
        <f>IFERROR(INDEX(Série!$B$4:$B$103,MATCH(11,Série!$AA$4:$AA$103,0)),"")</f>
        <v/>
      </c>
      <c r="B64" s="22" t="str">
        <f>IFERROR(INDEX(Série!$A$4:$A$103,MATCH(11,Série!$AA$4:$AA$103,0)),"")</f>
        <v/>
      </c>
      <c r="C64" s="22" t="str">
        <f>IFERROR(INDEX(Série!$M$4:$M$103,MATCH(11,Série!$AA$4:$AA$103,0)),"")</f>
        <v/>
      </c>
      <c r="D64" s="22" t="str">
        <f>IFERROR(INDEX(Série!$E$4:$E$103,MATCH(11,Série!$AA$4:$AA$103,0)),"")</f>
        <v/>
      </c>
      <c r="E64" s="22" t="str">
        <f>IFERROR(INDEX(Série!$G$4:$G$103,MATCH(11,Série!$AA$4:$AA$103,0)),"")</f>
        <v/>
      </c>
      <c r="F64" s="22" t="str">
        <f>IFERROR(INDEX(Série!$P$4:$P$103,MATCH(11,Série!$AA$4:$AA$103,0)),"")</f>
        <v/>
      </c>
      <c r="G64" s="22" t="str">
        <f>IFERROR(INDEX(Série!$Q$4:$Q$103,MATCH(11,Série!$AA$4:$AA$103,0)),"")</f>
        <v/>
      </c>
      <c r="H64" s="22" t="str">
        <f>IFERROR(INDEX(Série!$R$4:$R$103,MATCH(11,Série!$AA$4:$AA$103,0)),"")</f>
        <v/>
      </c>
      <c r="I64" s="22" t="str">
        <f>IFERROR(INDEX(Série!$S$4:$S$103,MATCH(11,Série!$AA$4:$AA$103,0)),"")</f>
        <v/>
      </c>
      <c r="J64" s="30" t="str">
        <f>IFERROR(INDEX(Série!$T$4:$T$103,MATCH(11,Série!$AA$4:$AA$103,0)),"")</f>
        <v/>
      </c>
      <c r="K64" s="22" t="str">
        <f>IFERROR(INDEX(Série!$U$4:$U$103,MATCH(11,Série!$AA$4:$AA$103,0)),"")</f>
        <v/>
      </c>
      <c r="L64" s="22" t="str">
        <f>IFERROR(INDEX(Série!$V$4:$V$103,MATCH(11,Série!$AA$4:$AA$103,0)),"")</f>
        <v/>
      </c>
    </row>
    <row r="65" spans="1:12" x14ac:dyDescent="0.2">
      <c r="A65" s="22" t="str">
        <f>IFERROR(INDEX(Série!$B$4:$B$103,MATCH(12,Série!$AA$4:$AA$103,0)),"")</f>
        <v/>
      </c>
      <c r="B65" s="22" t="str">
        <f>IFERROR(INDEX(Série!$A$4:$A$103,MATCH(12,Série!$AA$4:$AA$103,0)),"")</f>
        <v/>
      </c>
      <c r="C65" s="22" t="str">
        <f>IFERROR(INDEX(Série!$M$4:$M$103,MATCH(12,Série!$AA$4:$AA$103,0)),"")</f>
        <v/>
      </c>
      <c r="D65" s="22" t="str">
        <f>IFERROR(INDEX(Série!$E$4:$E$103,MATCH(12,Série!$AA$4:$AA$103,0)),"")</f>
        <v/>
      </c>
      <c r="E65" s="22" t="str">
        <f>IFERROR(INDEX(Série!$G$4:$G$103,MATCH(12,Série!$AA$4:$AA$103,0)),"")</f>
        <v/>
      </c>
      <c r="F65" s="22" t="str">
        <f>IFERROR(INDEX(Série!$P$4:$P$103,MATCH(12,Série!$AA$4:$AA$103,0)),"")</f>
        <v/>
      </c>
      <c r="G65" s="22" t="str">
        <f>IFERROR(INDEX(Série!$Q$4:$Q$103,MATCH(12,Série!$AA$4:$AA$103,0)),"")</f>
        <v/>
      </c>
      <c r="H65" s="22" t="str">
        <f>IFERROR(INDEX(Série!$R$4:$R$103,MATCH(12,Série!$AA$4:$AA$103,0)),"")</f>
        <v/>
      </c>
      <c r="I65" s="22" t="str">
        <f>IFERROR(INDEX(Série!$S$4:$S$103,MATCH(12,Série!$AA$4:$AA$103,0)),"")</f>
        <v/>
      </c>
      <c r="J65" s="30" t="str">
        <f>IFERROR(INDEX(Série!$T$4:$T$103,MATCH(12,Série!$AA$4:$AA$103,0)),"")</f>
        <v/>
      </c>
      <c r="K65" s="22" t="str">
        <f>IFERROR(INDEX(Série!$U$4:$U$103,MATCH(12,Série!$AA$4:$AA$103,0)),"")</f>
        <v/>
      </c>
      <c r="L65" s="22" t="str">
        <f>IFERROR(INDEX(Série!$V$4:$V$103,MATCH(12,Série!$AA$4:$AA$103,0)),"")</f>
        <v/>
      </c>
    </row>
    <row r="66" spans="1:12" x14ac:dyDescent="0.2">
      <c r="A66" s="13" t="s">
        <v>111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19.5" customHeight="1" x14ac:dyDescent="0.2">
      <c r="A68" s="19" t="s">
        <v>112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1:12" ht="30" customHeight="1" x14ac:dyDescent="0.2">
      <c r="A69" s="21" t="s">
        <v>113</v>
      </c>
      <c r="B69" s="21" t="s">
        <v>57</v>
      </c>
      <c r="C69" s="21" t="s">
        <v>114</v>
      </c>
      <c r="D69" s="21" t="s">
        <v>59</v>
      </c>
      <c r="E69" s="21" t="s">
        <v>62</v>
      </c>
      <c r="F69" s="21" t="s">
        <v>108</v>
      </c>
      <c r="G69" s="21" t="s">
        <v>115</v>
      </c>
      <c r="H69" s="21" t="s">
        <v>116</v>
      </c>
      <c r="I69" s="21" t="s">
        <v>117</v>
      </c>
      <c r="J69" s="21" t="s">
        <v>118</v>
      </c>
      <c r="K69" s="21" t="s">
        <v>119</v>
      </c>
      <c r="L69" s="21" t="s">
        <v>120</v>
      </c>
    </row>
    <row r="70" spans="1:12" x14ac:dyDescent="0.2">
      <c r="A70" s="22" t="str">
        <f>Nastavení!$U$4</f>
        <v>2026-10</v>
      </c>
      <c r="B70" s="22">
        <f>Nastavení!$B$3</f>
        <v>16</v>
      </c>
      <c r="C70" s="22">
        <f>COUNTIFS(Scénáře!$F$4:$F$503,$A70,Scénáře!$W$4:$W$503,"&lt;&gt;Zrušeno",Scénáře!$W$4:$W$503,"&lt;&gt;Odloženo")</f>
        <v>2</v>
      </c>
      <c r="D70" s="22">
        <f>COUNTIFS(Scénáře!$F$4:$F$503,$A70,Scénáře!$W$4:$W$503,"Schváleno")</f>
        <v>2</v>
      </c>
      <c r="E70" s="22">
        <f>COUNTIFS(Scénáře!$AH$4:$AH$503,$A70)</f>
        <v>2</v>
      </c>
      <c r="F70" s="23">
        <f t="shared" ref="F70:F93" si="3">IF(B70=0,"",E70/B70)</f>
        <v>0.125</v>
      </c>
      <c r="G70" s="22">
        <f>COUNTIFS(Scénáře!$AH$4:$AH$503,$A70,Scénáře!$G$4:$G$503,Nastavení!$A$10)</f>
        <v>1</v>
      </c>
      <c r="H70" s="22">
        <f>COUNTIFS(Scénáře!$AH$4:$AH$503,$A70,Scénáře!$G$4:$G$503,Nastavení!$A$11)</f>
        <v>1</v>
      </c>
      <c r="I70" s="22">
        <f>COUNTIFS(Scénáře!$AH$4:$AH$503,$A70,Scénáře!$G$4:$G$503,Nastavení!$A$12)</f>
        <v>0</v>
      </c>
      <c r="J70" s="22">
        <f>COUNTIFS(Scénáře!$AH$4:$AH$503,$A70,Scénáře!$G$4:$G$503,Nastavení!$A$13)</f>
        <v>0</v>
      </c>
      <c r="K70" s="22">
        <f>COUNTIFS(Scénáře!$AH$4:$AH$503,$A70,Scénáře!$H$4:$H$503,Nastavení!$A$18)</f>
        <v>1</v>
      </c>
      <c r="L70" s="22">
        <f>COUNTIFS(Scénáře!$AH$4:$AH$503,$A70,Scénáře!$H$4:$H$503,Nastavení!$A$19)</f>
        <v>1</v>
      </c>
    </row>
    <row r="71" spans="1:12" x14ac:dyDescent="0.2">
      <c r="A71" s="22" t="str">
        <f>Nastavení!$U$5</f>
        <v>2026-11</v>
      </c>
      <c r="B71" s="22">
        <f>Nastavení!$B$3</f>
        <v>16</v>
      </c>
      <c r="C71" s="22">
        <f>COUNTIFS(Scénáře!$F$4:$F$503,$A71,Scénáře!$W$4:$W$503,"&lt;&gt;Zrušeno",Scénáře!$W$4:$W$503,"&lt;&gt;Odloženo")</f>
        <v>7</v>
      </c>
      <c r="D71" s="22">
        <f>COUNTIFS(Scénáře!$F$4:$F$503,$A71,Scénáře!$W$4:$W$503,"Schváleno")</f>
        <v>3</v>
      </c>
      <c r="E71" s="22">
        <f>COUNTIFS(Scénáře!$AH$4:$AH$503,$A71)</f>
        <v>0</v>
      </c>
      <c r="F71" s="23">
        <f t="shared" si="3"/>
        <v>0</v>
      </c>
      <c r="G71" s="22">
        <f>COUNTIFS(Scénáře!$AH$4:$AH$503,$A71,Scénáře!$G$4:$G$503,Nastavení!$A$10)</f>
        <v>0</v>
      </c>
      <c r="H71" s="22">
        <f>COUNTIFS(Scénáře!$AH$4:$AH$503,$A71,Scénáře!$G$4:$G$503,Nastavení!$A$11)</f>
        <v>0</v>
      </c>
      <c r="I71" s="22">
        <f>COUNTIFS(Scénáře!$AH$4:$AH$503,$A71,Scénáře!$G$4:$G$503,Nastavení!$A$12)</f>
        <v>0</v>
      </c>
      <c r="J71" s="22">
        <f>COUNTIFS(Scénáře!$AH$4:$AH$503,$A71,Scénáře!$G$4:$G$503,Nastavení!$A$13)</f>
        <v>0</v>
      </c>
      <c r="K71" s="22">
        <f>COUNTIFS(Scénáře!$AH$4:$AH$503,$A71,Scénáře!$H$4:$H$503,Nastavení!$A$18)</f>
        <v>0</v>
      </c>
      <c r="L71" s="22">
        <f>COUNTIFS(Scénáře!$AH$4:$AH$503,$A71,Scénáře!$H$4:$H$503,Nastavení!$A$19)</f>
        <v>0</v>
      </c>
    </row>
    <row r="72" spans="1:12" x14ac:dyDescent="0.2">
      <c r="A72" s="22" t="str">
        <f>Nastavení!$U$6</f>
        <v>2026-12</v>
      </c>
      <c r="B72" s="22">
        <f>Nastavení!$B$3</f>
        <v>16</v>
      </c>
      <c r="C72" s="22">
        <f>COUNTIFS(Scénáře!$F$4:$F$503,$A72,Scénáře!$W$4:$W$503,"&lt;&gt;Zrušeno",Scénáře!$W$4:$W$503,"&lt;&gt;Odloženo")</f>
        <v>1</v>
      </c>
      <c r="D72" s="22">
        <f>COUNTIFS(Scénáře!$F$4:$F$503,$A72,Scénáře!$W$4:$W$503,"Schváleno")</f>
        <v>0</v>
      </c>
      <c r="E72" s="22">
        <f>COUNTIFS(Scénáře!$AH$4:$AH$503,$A72)</f>
        <v>0</v>
      </c>
      <c r="F72" s="23">
        <f t="shared" si="3"/>
        <v>0</v>
      </c>
      <c r="G72" s="22">
        <f>COUNTIFS(Scénáře!$AH$4:$AH$503,$A72,Scénáře!$G$4:$G$503,Nastavení!$A$10)</f>
        <v>0</v>
      </c>
      <c r="H72" s="22">
        <f>COUNTIFS(Scénáře!$AH$4:$AH$503,$A72,Scénáře!$G$4:$G$503,Nastavení!$A$11)</f>
        <v>0</v>
      </c>
      <c r="I72" s="22">
        <f>COUNTIFS(Scénáře!$AH$4:$AH$503,$A72,Scénáře!$G$4:$G$503,Nastavení!$A$12)</f>
        <v>0</v>
      </c>
      <c r="J72" s="22">
        <f>COUNTIFS(Scénáře!$AH$4:$AH$503,$A72,Scénáře!$G$4:$G$503,Nastavení!$A$13)</f>
        <v>0</v>
      </c>
      <c r="K72" s="22">
        <f>COUNTIFS(Scénáře!$AH$4:$AH$503,$A72,Scénáře!$H$4:$H$503,Nastavení!$A$18)</f>
        <v>0</v>
      </c>
      <c r="L72" s="22">
        <f>COUNTIFS(Scénáře!$AH$4:$AH$503,$A72,Scénáře!$H$4:$H$503,Nastavení!$A$19)</f>
        <v>0</v>
      </c>
    </row>
    <row r="73" spans="1:12" x14ac:dyDescent="0.2">
      <c r="A73" s="22" t="str">
        <f>Nastavení!$U$7</f>
        <v>2027-01</v>
      </c>
      <c r="B73" s="22">
        <f>Nastavení!$B$3</f>
        <v>16</v>
      </c>
      <c r="C73" s="22">
        <f>COUNTIFS(Scénáře!$F$4:$F$503,$A73,Scénáře!$W$4:$W$503,"&lt;&gt;Zrušeno",Scénáře!$W$4:$W$503,"&lt;&gt;Odloženo")</f>
        <v>0</v>
      </c>
      <c r="D73" s="22">
        <f>COUNTIFS(Scénáře!$F$4:$F$503,$A73,Scénáře!$W$4:$W$503,"Schváleno")</f>
        <v>0</v>
      </c>
      <c r="E73" s="22">
        <f>COUNTIFS(Scénáře!$AH$4:$AH$503,$A73)</f>
        <v>0</v>
      </c>
      <c r="F73" s="23">
        <f t="shared" si="3"/>
        <v>0</v>
      </c>
      <c r="G73" s="22">
        <f>COUNTIFS(Scénáře!$AH$4:$AH$503,$A73,Scénáře!$G$4:$G$503,Nastavení!$A$10)</f>
        <v>0</v>
      </c>
      <c r="H73" s="22">
        <f>COUNTIFS(Scénáře!$AH$4:$AH$503,$A73,Scénáře!$G$4:$G$503,Nastavení!$A$11)</f>
        <v>0</v>
      </c>
      <c r="I73" s="22">
        <f>COUNTIFS(Scénáře!$AH$4:$AH$503,$A73,Scénáře!$G$4:$G$503,Nastavení!$A$12)</f>
        <v>0</v>
      </c>
      <c r="J73" s="22">
        <f>COUNTIFS(Scénáře!$AH$4:$AH$503,$A73,Scénáře!$G$4:$G$503,Nastavení!$A$13)</f>
        <v>0</v>
      </c>
      <c r="K73" s="22">
        <f>COUNTIFS(Scénáře!$AH$4:$AH$503,$A73,Scénáře!$H$4:$H$503,Nastavení!$A$18)</f>
        <v>0</v>
      </c>
      <c r="L73" s="22">
        <f>COUNTIFS(Scénáře!$AH$4:$AH$503,$A73,Scénáře!$H$4:$H$503,Nastavení!$A$19)</f>
        <v>0</v>
      </c>
    </row>
    <row r="74" spans="1:12" x14ac:dyDescent="0.2">
      <c r="A74" s="22" t="str">
        <f>Nastavení!$U$8</f>
        <v>2027-02</v>
      </c>
      <c r="B74" s="22">
        <f>Nastavení!$B$3</f>
        <v>16</v>
      </c>
      <c r="C74" s="22">
        <f>COUNTIFS(Scénáře!$F$4:$F$503,$A74,Scénáře!$W$4:$W$503,"&lt;&gt;Zrušeno",Scénáře!$W$4:$W$503,"&lt;&gt;Odloženo")</f>
        <v>0</v>
      </c>
      <c r="D74" s="22">
        <f>COUNTIFS(Scénáře!$F$4:$F$503,$A74,Scénáře!$W$4:$W$503,"Schváleno")</f>
        <v>0</v>
      </c>
      <c r="E74" s="22">
        <f>COUNTIFS(Scénáře!$AH$4:$AH$503,$A74)</f>
        <v>0</v>
      </c>
      <c r="F74" s="23">
        <f t="shared" si="3"/>
        <v>0</v>
      </c>
      <c r="G74" s="22">
        <f>COUNTIFS(Scénáře!$AH$4:$AH$503,$A74,Scénáře!$G$4:$G$503,Nastavení!$A$10)</f>
        <v>0</v>
      </c>
      <c r="H74" s="22">
        <f>COUNTIFS(Scénáře!$AH$4:$AH$503,$A74,Scénáře!$G$4:$G$503,Nastavení!$A$11)</f>
        <v>0</v>
      </c>
      <c r="I74" s="22">
        <f>COUNTIFS(Scénáře!$AH$4:$AH$503,$A74,Scénáře!$G$4:$G$503,Nastavení!$A$12)</f>
        <v>0</v>
      </c>
      <c r="J74" s="22">
        <f>COUNTIFS(Scénáře!$AH$4:$AH$503,$A74,Scénáře!$G$4:$G$503,Nastavení!$A$13)</f>
        <v>0</v>
      </c>
      <c r="K74" s="22">
        <f>COUNTIFS(Scénáře!$AH$4:$AH$503,$A74,Scénáře!$H$4:$H$503,Nastavení!$A$18)</f>
        <v>0</v>
      </c>
      <c r="L74" s="22">
        <f>COUNTIFS(Scénáře!$AH$4:$AH$503,$A74,Scénáře!$H$4:$H$503,Nastavení!$A$19)</f>
        <v>0</v>
      </c>
    </row>
    <row r="75" spans="1:12" x14ac:dyDescent="0.2">
      <c r="A75" s="22" t="str">
        <f>Nastavení!$U$9</f>
        <v>2027-03</v>
      </c>
      <c r="B75" s="22">
        <f>Nastavení!$B$3</f>
        <v>16</v>
      </c>
      <c r="C75" s="22">
        <f>COUNTIFS(Scénáře!$F$4:$F$503,$A75,Scénáře!$W$4:$W$503,"&lt;&gt;Zrušeno",Scénáře!$W$4:$W$503,"&lt;&gt;Odloženo")</f>
        <v>0</v>
      </c>
      <c r="D75" s="22">
        <f>COUNTIFS(Scénáře!$F$4:$F$503,$A75,Scénáře!$W$4:$W$503,"Schváleno")</f>
        <v>0</v>
      </c>
      <c r="E75" s="22">
        <f>COUNTIFS(Scénáře!$AH$4:$AH$503,$A75)</f>
        <v>0</v>
      </c>
      <c r="F75" s="23">
        <f t="shared" si="3"/>
        <v>0</v>
      </c>
      <c r="G75" s="22">
        <f>COUNTIFS(Scénáře!$AH$4:$AH$503,$A75,Scénáře!$G$4:$G$503,Nastavení!$A$10)</f>
        <v>0</v>
      </c>
      <c r="H75" s="22">
        <f>COUNTIFS(Scénáře!$AH$4:$AH$503,$A75,Scénáře!$G$4:$G$503,Nastavení!$A$11)</f>
        <v>0</v>
      </c>
      <c r="I75" s="22">
        <f>COUNTIFS(Scénáře!$AH$4:$AH$503,$A75,Scénáře!$G$4:$G$503,Nastavení!$A$12)</f>
        <v>0</v>
      </c>
      <c r="J75" s="22">
        <f>COUNTIFS(Scénáře!$AH$4:$AH$503,$A75,Scénáře!$G$4:$G$503,Nastavení!$A$13)</f>
        <v>0</v>
      </c>
      <c r="K75" s="22">
        <f>COUNTIFS(Scénáře!$AH$4:$AH$503,$A75,Scénáře!$H$4:$H$503,Nastavení!$A$18)</f>
        <v>0</v>
      </c>
      <c r="L75" s="22">
        <f>COUNTIFS(Scénáře!$AH$4:$AH$503,$A75,Scénáře!$H$4:$H$503,Nastavení!$A$19)</f>
        <v>0</v>
      </c>
    </row>
    <row r="76" spans="1:12" x14ac:dyDescent="0.2">
      <c r="A76" s="22" t="str">
        <f>Nastavení!$U$10</f>
        <v>2027-04</v>
      </c>
      <c r="B76" s="22">
        <f>Nastavení!$B$3</f>
        <v>16</v>
      </c>
      <c r="C76" s="22">
        <f>COUNTIFS(Scénáře!$F$4:$F$503,$A76,Scénáře!$W$4:$W$503,"&lt;&gt;Zrušeno",Scénáře!$W$4:$W$503,"&lt;&gt;Odloženo")</f>
        <v>0</v>
      </c>
      <c r="D76" s="22">
        <f>COUNTIFS(Scénáře!$F$4:$F$503,$A76,Scénáře!$W$4:$W$503,"Schváleno")</f>
        <v>0</v>
      </c>
      <c r="E76" s="22">
        <f>COUNTIFS(Scénáře!$AH$4:$AH$503,$A76)</f>
        <v>0</v>
      </c>
      <c r="F76" s="23">
        <f t="shared" si="3"/>
        <v>0</v>
      </c>
      <c r="G76" s="22">
        <f>COUNTIFS(Scénáře!$AH$4:$AH$503,$A76,Scénáře!$G$4:$G$503,Nastavení!$A$10)</f>
        <v>0</v>
      </c>
      <c r="H76" s="22">
        <f>COUNTIFS(Scénáře!$AH$4:$AH$503,$A76,Scénáře!$G$4:$G$503,Nastavení!$A$11)</f>
        <v>0</v>
      </c>
      <c r="I76" s="22">
        <f>COUNTIFS(Scénáře!$AH$4:$AH$503,$A76,Scénáře!$G$4:$G$503,Nastavení!$A$12)</f>
        <v>0</v>
      </c>
      <c r="J76" s="22">
        <f>COUNTIFS(Scénáře!$AH$4:$AH$503,$A76,Scénáře!$G$4:$G$503,Nastavení!$A$13)</f>
        <v>0</v>
      </c>
      <c r="K76" s="22">
        <f>COUNTIFS(Scénáře!$AH$4:$AH$503,$A76,Scénáře!$H$4:$H$503,Nastavení!$A$18)</f>
        <v>0</v>
      </c>
      <c r="L76" s="22">
        <f>COUNTIFS(Scénáře!$AH$4:$AH$503,$A76,Scénáře!$H$4:$H$503,Nastavení!$A$19)</f>
        <v>0</v>
      </c>
    </row>
    <row r="77" spans="1:12" x14ac:dyDescent="0.2">
      <c r="A77" s="22" t="str">
        <f>Nastavení!$U$11</f>
        <v>2027-05</v>
      </c>
      <c r="B77" s="22">
        <f>Nastavení!$B$3</f>
        <v>16</v>
      </c>
      <c r="C77" s="22">
        <f>COUNTIFS(Scénáře!$F$4:$F$503,$A77,Scénáře!$W$4:$W$503,"&lt;&gt;Zrušeno",Scénáře!$W$4:$W$503,"&lt;&gt;Odloženo")</f>
        <v>0</v>
      </c>
      <c r="D77" s="22">
        <f>COUNTIFS(Scénáře!$F$4:$F$503,$A77,Scénáře!$W$4:$W$503,"Schváleno")</f>
        <v>0</v>
      </c>
      <c r="E77" s="22">
        <f>COUNTIFS(Scénáře!$AH$4:$AH$503,$A77)</f>
        <v>0</v>
      </c>
      <c r="F77" s="23">
        <f t="shared" si="3"/>
        <v>0</v>
      </c>
      <c r="G77" s="22">
        <f>COUNTIFS(Scénáře!$AH$4:$AH$503,$A77,Scénáře!$G$4:$G$503,Nastavení!$A$10)</f>
        <v>0</v>
      </c>
      <c r="H77" s="22">
        <f>COUNTIFS(Scénáře!$AH$4:$AH$503,$A77,Scénáře!$G$4:$G$503,Nastavení!$A$11)</f>
        <v>0</v>
      </c>
      <c r="I77" s="22">
        <f>COUNTIFS(Scénáře!$AH$4:$AH$503,$A77,Scénáře!$G$4:$G$503,Nastavení!$A$12)</f>
        <v>0</v>
      </c>
      <c r="J77" s="22">
        <f>COUNTIFS(Scénáře!$AH$4:$AH$503,$A77,Scénáře!$G$4:$G$503,Nastavení!$A$13)</f>
        <v>0</v>
      </c>
      <c r="K77" s="22">
        <f>COUNTIFS(Scénáře!$AH$4:$AH$503,$A77,Scénáře!$H$4:$H$503,Nastavení!$A$18)</f>
        <v>0</v>
      </c>
      <c r="L77" s="22">
        <f>COUNTIFS(Scénáře!$AH$4:$AH$503,$A77,Scénáře!$H$4:$H$503,Nastavení!$A$19)</f>
        <v>0</v>
      </c>
    </row>
    <row r="78" spans="1:12" x14ac:dyDescent="0.2">
      <c r="A78" s="22" t="str">
        <f>Nastavení!$U$12</f>
        <v>2027-06</v>
      </c>
      <c r="B78" s="22">
        <f>Nastavení!$B$3</f>
        <v>16</v>
      </c>
      <c r="C78" s="22">
        <f>COUNTIFS(Scénáře!$F$4:$F$503,$A78,Scénáře!$W$4:$W$503,"&lt;&gt;Zrušeno",Scénáře!$W$4:$W$503,"&lt;&gt;Odloženo")</f>
        <v>0</v>
      </c>
      <c r="D78" s="22">
        <f>COUNTIFS(Scénáře!$F$4:$F$503,$A78,Scénáře!$W$4:$W$503,"Schváleno")</f>
        <v>0</v>
      </c>
      <c r="E78" s="22">
        <f>COUNTIFS(Scénáře!$AH$4:$AH$503,$A78)</f>
        <v>0</v>
      </c>
      <c r="F78" s="23">
        <f t="shared" si="3"/>
        <v>0</v>
      </c>
      <c r="G78" s="22">
        <f>COUNTIFS(Scénáře!$AH$4:$AH$503,$A78,Scénáře!$G$4:$G$503,Nastavení!$A$10)</f>
        <v>0</v>
      </c>
      <c r="H78" s="22">
        <f>COUNTIFS(Scénáře!$AH$4:$AH$503,$A78,Scénáře!$G$4:$G$503,Nastavení!$A$11)</f>
        <v>0</v>
      </c>
      <c r="I78" s="22">
        <f>COUNTIFS(Scénáře!$AH$4:$AH$503,$A78,Scénáře!$G$4:$G$503,Nastavení!$A$12)</f>
        <v>0</v>
      </c>
      <c r="J78" s="22">
        <f>COUNTIFS(Scénáře!$AH$4:$AH$503,$A78,Scénáře!$G$4:$G$503,Nastavení!$A$13)</f>
        <v>0</v>
      </c>
      <c r="K78" s="22">
        <f>COUNTIFS(Scénáře!$AH$4:$AH$503,$A78,Scénáře!$H$4:$H$503,Nastavení!$A$18)</f>
        <v>0</v>
      </c>
      <c r="L78" s="22">
        <f>COUNTIFS(Scénáře!$AH$4:$AH$503,$A78,Scénáře!$H$4:$H$503,Nastavení!$A$19)</f>
        <v>0</v>
      </c>
    </row>
    <row r="79" spans="1:12" x14ac:dyDescent="0.2">
      <c r="A79" s="22" t="str">
        <f>Nastavení!$U$13</f>
        <v>2027-07</v>
      </c>
      <c r="B79" s="22">
        <f>Nastavení!$B$3</f>
        <v>16</v>
      </c>
      <c r="C79" s="22">
        <f>COUNTIFS(Scénáře!$F$4:$F$503,$A79,Scénáře!$W$4:$W$503,"&lt;&gt;Zrušeno",Scénáře!$W$4:$W$503,"&lt;&gt;Odloženo")</f>
        <v>0</v>
      </c>
      <c r="D79" s="22">
        <f>COUNTIFS(Scénáře!$F$4:$F$503,$A79,Scénáře!$W$4:$W$503,"Schváleno")</f>
        <v>0</v>
      </c>
      <c r="E79" s="22">
        <f>COUNTIFS(Scénáře!$AH$4:$AH$503,$A79)</f>
        <v>0</v>
      </c>
      <c r="F79" s="23">
        <f t="shared" si="3"/>
        <v>0</v>
      </c>
      <c r="G79" s="22">
        <f>COUNTIFS(Scénáře!$AH$4:$AH$503,$A79,Scénáře!$G$4:$G$503,Nastavení!$A$10)</f>
        <v>0</v>
      </c>
      <c r="H79" s="22">
        <f>COUNTIFS(Scénáře!$AH$4:$AH$503,$A79,Scénáře!$G$4:$G$503,Nastavení!$A$11)</f>
        <v>0</v>
      </c>
      <c r="I79" s="22">
        <f>COUNTIFS(Scénáře!$AH$4:$AH$503,$A79,Scénáře!$G$4:$G$503,Nastavení!$A$12)</f>
        <v>0</v>
      </c>
      <c r="J79" s="22">
        <f>COUNTIFS(Scénáře!$AH$4:$AH$503,$A79,Scénáře!$G$4:$G$503,Nastavení!$A$13)</f>
        <v>0</v>
      </c>
      <c r="K79" s="22">
        <f>COUNTIFS(Scénáře!$AH$4:$AH$503,$A79,Scénáře!$H$4:$H$503,Nastavení!$A$18)</f>
        <v>0</v>
      </c>
      <c r="L79" s="22">
        <f>COUNTIFS(Scénáře!$AH$4:$AH$503,$A79,Scénáře!$H$4:$H$503,Nastavení!$A$19)</f>
        <v>0</v>
      </c>
    </row>
    <row r="80" spans="1:12" x14ac:dyDescent="0.2">
      <c r="A80" s="22" t="str">
        <f>Nastavení!$U$14</f>
        <v>2027-08</v>
      </c>
      <c r="B80" s="22">
        <f>Nastavení!$B$3</f>
        <v>16</v>
      </c>
      <c r="C80" s="22">
        <f>COUNTIFS(Scénáře!$F$4:$F$503,$A80,Scénáře!$W$4:$W$503,"&lt;&gt;Zrušeno",Scénáře!$W$4:$W$503,"&lt;&gt;Odloženo")</f>
        <v>0</v>
      </c>
      <c r="D80" s="22">
        <f>COUNTIFS(Scénáře!$F$4:$F$503,$A80,Scénáře!$W$4:$W$503,"Schváleno")</f>
        <v>0</v>
      </c>
      <c r="E80" s="22">
        <f>COUNTIFS(Scénáře!$AH$4:$AH$503,$A80)</f>
        <v>0</v>
      </c>
      <c r="F80" s="23">
        <f t="shared" si="3"/>
        <v>0</v>
      </c>
      <c r="G80" s="22">
        <f>COUNTIFS(Scénáře!$AH$4:$AH$503,$A80,Scénáře!$G$4:$G$503,Nastavení!$A$10)</f>
        <v>0</v>
      </c>
      <c r="H80" s="22">
        <f>COUNTIFS(Scénáře!$AH$4:$AH$503,$A80,Scénáře!$G$4:$G$503,Nastavení!$A$11)</f>
        <v>0</v>
      </c>
      <c r="I80" s="22">
        <f>COUNTIFS(Scénáře!$AH$4:$AH$503,$A80,Scénáře!$G$4:$G$503,Nastavení!$A$12)</f>
        <v>0</v>
      </c>
      <c r="J80" s="22">
        <f>COUNTIFS(Scénáře!$AH$4:$AH$503,$A80,Scénáře!$G$4:$G$503,Nastavení!$A$13)</f>
        <v>0</v>
      </c>
      <c r="K80" s="22">
        <f>COUNTIFS(Scénáře!$AH$4:$AH$503,$A80,Scénáře!$H$4:$H$503,Nastavení!$A$18)</f>
        <v>0</v>
      </c>
      <c r="L80" s="22">
        <f>COUNTIFS(Scénáře!$AH$4:$AH$503,$A80,Scénáře!$H$4:$H$503,Nastavení!$A$19)</f>
        <v>0</v>
      </c>
    </row>
    <row r="81" spans="1:12" x14ac:dyDescent="0.2">
      <c r="A81" s="22" t="str">
        <f>Nastavení!$U$15</f>
        <v>2027-09</v>
      </c>
      <c r="B81" s="22">
        <f>Nastavení!$B$3</f>
        <v>16</v>
      </c>
      <c r="C81" s="22">
        <f>COUNTIFS(Scénáře!$F$4:$F$503,$A81,Scénáře!$W$4:$W$503,"&lt;&gt;Zrušeno",Scénáře!$W$4:$W$503,"&lt;&gt;Odloženo")</f>
        <v>0</v>
      </c>
      <c r="D81" s="22">
        <f>COUNTIFS(Scénáře!$F$4:$F$503,$A81,Scénáře!$W$4:$W$503,"Schváleno")</f>
        <v>0</v>
      </c>
      <c r="E81" s="22">
        <f>COUNTIFS(Scénáře!$AH$4:$AH$503,$A81)</f>
        <v>0</v>
      </c>
      <c r="F81" s="23">
        <f t="shared" si="3"/>
        <v>0</v>
      </c>
      <c r="G81" s="22">
        <f>COUNTIFS(Scénáře!$AH$4:$AH$503,$A81,Scénáře!$G$4:$G$503,Nastavení!$A$10)</f>
        <v>0</v>
      </c>
      <c r="H81" s="22">
        <f>COUNTIFS(Scénáře!$AH$4:$AH$503,$A81,Scénáře!$G$4:$G$503,Nastavení!$A$11)</f>
        <v>0</v>
      </c>
      <c r="I81" s="22">
        <f>COUNTIFS(Scénáře!$AH$4:$AH$503,$A81,Scénáře!$G$4:$G$503,Nastavení!$A$12)</f>
        <v>0</v>
      </c>
      <c r="J81" s="22">
        <f>COUNTIFS(Scénáře!$AH$4:$AH$503,$A81,Scénáře!$G$4:$G$503,Nastavení!$A$13)</f>
        <v>0</v>
      </c>
      <c r="K81" s="22">
        <f>COUNTIFS(Scénáře!$AH$4:$AH$503,$A81,Scénáře!$H$4:$H$503,Nastavení!$A$18)</f>
        <v>0</v>
      </c>
      <c r="L81" s="22">
        <f>COUNTIFS(Scénáře!$AH$4:$AH$503,$A81,Scénáře!$H$4:$H$503,Nastavení!$A$19)</f>
        <v>0</v>
      </c>
    </row>
    <row r="82" spans="1:12" x14ac:dyDescent="0.2">
      <c r="A82" s="22" t="str">
        <f>Nastavení!$U$16</f>
        <v>2027-10</v>
      </c>
      <c r="B82" s="22">
        <f>Nastavení!$B$3</f>
        <v>16</v>
      </c>
      <c r="C82" s="22">
        <f>COUNTIFS(Scénáře!$F$4:$F$503,$A82,Scénáře!$W$4:$W$503,"&lt;&gt;Zrušeno",Scénáře!$W$4:$W$503,"&lt;&gt;Odloženo")</f>
        <v>0</v>
      </c>
      <c r="D82" s="22">
        <f>COUNTIFS(Scénáře!$F$4:$F$503,$A82,Scénáře!$W$4:$W$503,"Schváleno")</f>
        <v>0</v>
      </c>
      <c r="E82" s="22">
        <f>COUNTIFS(Scénáře!$AH$4:$AH$503,$A82)</f>
        <v>0</v>
      </c>
      <c r="F82" s="23">
        <f t="shared" si="3"/>
        <v>0</v>
      </c>
      <c r="G82" s="22">
        <f>COUNTIFS(Scénáře!$AH$4:$AH$503,$A82,Scénáře!$G$4:$G$503,Nastavení!$A$10)</f>
        <v>0</v>
      </c>
      <c r="H82" s="22">
        <f>COUNTIFS(Scénáře!$AH$4:$AH$503,$A82,Scénáře!$G$4:$G$503,Nastavení!$A$11)</f>
        <v>0</v>
      </c>
      <c r="I82" s="22">
        <f>COUNTIFS(Scénáře!$AH$4:$AH$503,$A82,Scénáře!$G$4:$G$503,Nastavení!$A$12)</f>
        <v>0</v>
      </c>
      <c r="J82" s="22">
        <f>COUNTIFS(Scénáře!$AH$4:$AH$503,$A82,Scénáře!$G$4:$G$503,Nastavení!$A$13)</f>
        <v>0</v>
      </c>
      <c r="K82" s="22">
        <f>COUNTIFS(Scénáře!$AH$4:$AH$503,$A82,Scénáře!$H$4:$H$503,Nastavení!$A$18)</f>
        <v>0</v>
      </c>
      <c r="L82" s="22">
        <f>COUNTIFS(Scénáře!$AH$4:$AH$503,$A82,Scénáře!$H$4:$H$503,Nastavení!$A$19)</f>
        <v>0</v>
      </c>
    </row>
    <row r="83" spans="1:12" x14ac:dyDescent="0.2">
      <c r="A83" s="22" t="str">
        <f>Nastavení!$U$17</f>
        <v>2027-11</v>
      </c>
      <c r="B83" s="22">
        <f>Nastavení!$B$3</f>
        <v>16</v>
      </c>
      <c r="C83" s="22">
        <f>COUNTIFS(Scénáře!$F$4:$F$503,$A83,Scénáře!$W$4:$W$503,"&lt;&gt;Zrušeno",Scénáře!$W$4:$W$503,"&lt;&gt;Odloženo")</f>
        <v>0</v>
      </c>
      <c r="D83" s="22">
        <f>COUNTIFS(Scénáře!$F$4:$F$503,$A83,Scénáře!$W$4:$W$503,"Schváleno")</f>
        <v>0</v>
      </c>
      <c r="E83" s="22">
        <f>COUNTIFS(Scénáře!$AH$4:$AH$503,$A83)</f>
        <v>0</v>
      </c>
      <c r="F83" s="23">
        <f t="shared" si="3"/>
        <v>0</v>
      </c>
      <c r="G83" s="22">
        <f>COUNTIFS(Scénáře!$AH$4:$AH$503,$A83,Scénáře!$G$4:$G$503,Nastavení!$A$10)</f>
        <v>0</v>
      </c>
      <c r="H83" s="22">
        <f>COUNTIFS(Scénáře!$AH$4:$AH$503,$A83,Scénáře!$G$4:$G$503,Nastavení!$A$11)</f>
        <v>0</v>
      </c>
      <c r="I83" s="22">
        <f>COUNTIFS(Scénáře!$AH$4:$AH$503,$A83,Scénáře!$G$4:$G$503,Nastavení!$A$12)</f>
        <v>0</v>
      </c>
      <c r="J83" s="22">
        <f>COUNTIFS(Scénáře!$AH$4:$AH$503,$A83,Scénáře!$G$4:$G$503,Nastavení!$A$13)</f>
        <v>0</v>
      </c>
      <c r="K83" s="22">
        <f>COUNTIFS(Scénáře!$AH$4:$AH$503,$A83,Scénáře!$H$4:$H$503,Nastavení!$A$18)</f>
        <v>0</v>
      </c>
      <c r="L83" s="22">
        <f>COUNTIFS(Scénáře!$AH$4:$AH$503,$A83,Scénáře!$H$4:$H$503,Nastavení!$A$19)</f>
        <v>0</v>
      </c>
    </row>
    <row r="84" spans="1:12" x14ac:dyDescent="0.2">
      <c r="A84" s="22" t="str">
        <f>Nastavení!$U$18</f>
        <v>2027-12</v>
      </c>
      <c r="B84" s="22">
        <f>Nastavení!$B$3</f>
        <v>16</v>
      </c>
      <c r="C84" s="22">
        <f>COUNTIFS(Scénáře!$F$4:$F$503,$A84,Scénáře!$W$4:$W$503,"&lt;&gt;Zrušeno",Scénáře!$W$4:$W$503,"&lt;&gt;Odloženo")</f>
        <v>0</v>
      </c>
      <c r="D84" s="22">
        <f>COUNTIFS(Scénáře!$F$4:$F$503,$A84,Scénáře!$W$4:$W$503,"Schváleno")</f>
        <v>0</v>
      </c>
      <c r="E84" s="22">
        <f>COUNTIFS(Scénáře!$AH$4:$AH$503,$A84)</f>
        <v>0</v>
      </c>
      <c r="F84" s="23">
        <f t="shared" si="3"/>
        <v>0</v>
      </c>
      <c r="G84" s="22">
        <f>COUNTIFS(Scénáře!$AH$4:$AH$503,$A84,Scénáře!$G$4:$G$503,Nastavení!$A$10)</f>
        <v>0</v>
      </c>
      <c r="H84" s="22">
        <f>COUNTIFS(Scénáře!$AH$4:$AH$503,$A84,Scénáře!$G$4:$G$503,Nastavení!$A$11)</f>
        <v>0</v>
      </c>
      <c r="I84" s="22">
        <f>COUNTIFS(Scénáře!$AH$4:$AH$503,$A84,Scénáře!$G$4:$G$503,Nastavení!$A$12)</f>
        <v>0</v>
      </c>
      <c r="J84" s="22">
        <f>COUNTIFS(Scénáře!$AH$4:$AH$503,$A84,Scénáře!$G$4:$G$503,Nastavení!$A$13)</f>
        <v>0</v>
      </c>
      <c r="K84" s="22">
        <f>COUNTIFS(Scénáře!$AH$4:$AH$503,$A84,Scénáře!$H$4:$H$503,Nastavení!$A$18)</f>
        <v>0</v>
      </c>
      <c r="L84" s="22">
        <f>COUNTIFS(Scénáře!$AH$4:$AH$503,$A84,Scénáře!$H$4:$H$503,Nastavení!$A$19)</f>
        <v>0</v>
      </c>
    </row>
    <row r="85" spans="1:12" x14ac:dyDescent="0.2">
      <c r="A85" s="22" t="str">
        <f>Nastavení!$U$19</f>
        <v>2028-01</v>
      </c>
      <c r="B85" s="22">
        <f>Nastavení!$B$3</f>
        <v>16</v>
      </c>
      <c r="C85" s="22">
        <f>COUNTIFS(Scénáře!$F$4:$F$503,$A85,Scénáře!$W$4:$W$503,"&lt;&gt;Zrušeno",Scénáře!$W$4:$W$503,"&lt;&gt;Odloženo")</f>
        <v>0</v>
      </c>
      <c r="D85" s="22">
        <f>COUNTIFS(Scénáře!$F$4:$F$503,$A85,Scénáře!$W$4:$W$503,"Schváleno")</f>
        <v>0</v>
      </c>
      <c r="E85" s="22">
        <f>COUNTIFS(Scénáře!$AH$4:$AH$503,$A85)</f>
        <v>0</v>
      </c>
      <c r="F85" s="23">
        <f t="shared" si="3"/>
        <v>0</v>
      </c>
      <c r="G85" s="22">
        <f>COUNTIFS(Scénáře!$AH$4:$AH$503,$A85,Scénáře!$G$4:$G$503,Nastavení!$A$10)</f>
        <v>0</v>
      </c>
      <c r="H85" s="22">
        <f>COUNTIFS(Scénáře!$AH$4:$AH$503,$A85,Scénáře!$G$4:$G$503,Nastavení!$A$11)</f>
        <v>0</v>
      </c>
      <c r="I85" s="22">
        <f>COUNTIFS(Scénáře!$AH$4:$AH$503,$A85,Scénáře!$G$4:$G$503,Nastavení!$A$12)</f>
        <v>0</v>
      </c>
      <c r="J85" s="22">
        <f>COUNTIFS(Scénáře!$AH$4:$AH$503,$A85,Scénáře!$G$4:$G$503,Nastavení!$A$13)</f>
        <v>0</v>
      </c>
      <c r="K85" s="22">
        <f>COUNTIFS(Scénáře!$AH$4:$AH$503,$A85,Scénáře!$H$4:$H$503,Nastavení!$A$18)</f>
        <v>0</v>
      </c>
      <c r="L85" s="22">
        <f>COUNTIFS(Scénáře!$AH$4:$AH$503,$A85,Scénáře!$H$4:$H$503,Nastavení!$A$19)</f>
        <v>0</v>
      </c>
    </row>
    <row r="86" spans="1:12" x14ac:dyDescent="0.2">
      <c r="A86" s="22" t="str">
        <f>Nastavení!$U$20</f>
        <v>2028-02</v>
      </c>
      <c r="B86" s="22">
        <f>Nastavení!$B$3</f>
        <v>16</v>
      </c>
      <c r="C86" s="22">
        <f>COUNTIFS(Scénáře!$F$4:$F$503,$A86,Scénáře!$W$4:$W$503,"&lt;&gt;Zrušeno",Scénáře!$W$4:$W$503,"&lt;&gt;Odloženo")</f>
        <v>0</v>
      </c>
      <c r="D86" s="22">
        <f>COUNTIFS(Scénáře!$F$4:$F$503,$A86,Scénáře!$W$4:$W$503,"Schváleno")</f>
        <v>0</v>
      </c>
      <c r="E86" s="22">
        <f>COUNTIFS(Scénáře!$AH$4:$AH$503,$A86)</f>
        <v>0</v>
      </c>
      <c r="F86" s="23">
        <f t="shared" si="3"/>
        <v>0</v>
      </c>
      <c r="G86" s="22">
        <f>COUNTIFS(Scénáře!$AH$4:$AH$503,$A86,Scénáře!$G$4:$G$503,Nastavení!$A$10)</f>
        <v>0</v>
      </c>
      <c r="H86" s="22">
        <f>COUNTIFS(Scénáře!$AH$4:$AH$503,$A86,Scénáře!$G$4:$G$503,Nastavení!$A$11)</f>
        <v>0</v>
      </c>
      <c r="I86" s="22">
        <f>COUNTIFS(Scénáře!$AH$4:$AH$503,$A86,Scénáře!$G$4:$G$503,Nastavení!$A$12)</f>
        <v>0</v>
      </c>
      <c r="J86" s="22">
        <f>COUNTIFS(Scénáře!$AH$4:$AH$503,$A86,Scénáře!$G$4:$G$503,Nastavení!$A$13)</f>
        <v>0</v>
      </c>
      <c r="K86" s="22">
        <f>COUNTIFS(Scénáře!$AH$4:$AH$503,$A86,Scénáře!$H$4:$H$503,Nastavení!$A$18)</f>
        <v>0</v>
      </c>
      <c r="L86" s="22">
        <f>COUNTIFS(Scénáře!$AH$4:$AH$503,$A86,Scénáře!$H$4:$H$503,Nastavení!$A$19)</f>
        <v>0</v>
      </c>
    </row>
    <row r="87" spans="1:12" x14ac:dyDescent="0.2">
      <c r="A87" s="22" t="str">
        <f>Nastavení!$U$21</f>
        <v>2028-03</v>
      </c>
      <c r="B87" s="22">
        <f>Nastavení!$B$3</f>
        <v>16</v>
      </c>
      <c r="C87" s="22">
        <f>COUNTIFS(Scénáře!$F$4:$F$503,$A87,Scénáře!$W$4:$W$503,"&lt;&gt;Zrušeno",Scénáře!$W$4:$W$503,"&lt;&gt;Odloženo")</f>
        <v>0</v>
      </c>
      <c r="D87" s="22">
        <f>COUNTIFS(Scénáře!$F$4:$F$503,$A87,Scénáře!$W$4:$W$503,"Schváleno")</f>
        <v>0</v>
      </c>
      <c r="E87" s="22">
        <f>COUNTIFS(Scénáře!$AH$4:$AH$503,$A87)</f>
        <v>0</v>
      </c>
      <c r="F87" s="23">
        <f t="shared" si="3"/>
        <v>0</v>
      </c>
      <c r="G87" s="22">
        <f>COUNTIFS(Scénáře!$AH$4:$AH$503,$A87,Scénáře!$G$4:$G$503,Nastavení!$A$10)</f>
        <v>0</v>
      </c>
      <c r="H87" s="22">
        <f>COUNTIFS(Scénáře!$AH$4:$AH$503,$A87,Scénáře!$G$4:$G$503,Nastavení!$A$11)</f>
        <v>0</v>
      </c>
      <c r="I87" s="22">
        <f>COUNTIFS(Scénáře!$AH$4:$AH$503,$A87,Scénáře!$G$4:$G$503,Nastavení!$A$12)</f>
        <v>0</v>
      </c>
      <c r="J87" s="22">
        <f>COUNTIFS(Scénáře!$AH$4:$AH$503,$A87,Scénáře!$G$4:$G$503,Nastavení!$A$13)</f>
        <v>0</v>
      </c>
      <c r="K87" s="22">
        <f>COUNTIFS(Scénáře!$AH$4:$AH$503,$A87,Scénáře!$H$4:$H$503,Nastavení!$A$18)</f>
        <v>0</v>
      </c>
      <c r="L87" s="22">
        <f>COUNTIFS(Scénáře!$AH$4:$AH$503,$A87,Scénáře!$H$4:$H$503,Nastavení!$A$19)</f>
        <v>0</v>
      </c>
    </row>
    <row r="88" spans="1:12" x14ac:dyDescent="0.2">
      <c r="A88" s="22" t="str">
        <f>Nastavení!$U$22</f>
        <v>2028-04</v>
      </c>
      <c r="B88" s="22">
        <f>Nastavení!$B$3</f>
        <v>16</v>
      </c>
      <c r="C88" s="22">
        <f>COUNTIFS(Scénáře!$F$4:$F$503,$A88,Scénáře!$W$4:$W$503,"&lt;&gt;Zrušeno",Scénáře!$W$4:$W$503,"&lt;&gt;Odloženo")</f>
        <v>0</v>
      </c>
      <c r="D88" s="22">
        <f>COUNTIFS(Scénáře!$F$4:$F$503,$A88,Scénáře!$W$4:$W$503,"Schváleno")</f>
        <v>0</v>
      </c>
      <c r="E88" s="22">
        <f>COUNTIFS(Scénáře!$AH$4:$AH$503,$A88)</f>
        <v>0</v>
      </c>
      <c r="F88" s="23">
        <f t="shared" si="3"/>
        <v>0</v>
      </c>
      <c r="G88" s="22">
        <f>COUNTIFS(Scénáře!$AH$4:$AH$503,$A88,Scénáře!$G$4:$G$503,Nastavení!$A$10)</f>
        <v>0</v>
      </c>
      <c r="H88" s="22">
        <f>COUNTIFS(Scénáře!$AH$4:$AH$503,$A88,Scénáře!$G$4:$G$503,Nastavení!$A$11)</f>
        <v>0</v>
      </c>
      <c r="I88" s="22">
        <f>COUNTIFS(Scénáře!$AH$4:$AH$503,$A88,Scénáře!$G$4:$G$503,Nastavení!$A$12)</f>
        <v>0</v>
      </c>
      <c r="J88" s="22">
        <f>COUNTIFS(Scénáře!$AH$4:$AH$503,$A88,Scénáře!$G$4:$G$503,Nastavení!$A$13)</f>
        <v>0</v>
      </c>
      <c r="K88" s="22">
        <f>COUNTIFS(Scénáře!$AH$4:$AH$503,$A88,Scénáře!$H$4:$H$503,Nastavení!$A$18)</f>
        <v>0</v>
      </c>
      <c r="L88" s="22">
        <f>COUNTIFS(Scénáře!$AH$4:$AH$503,$A88,Scénáře!$H$4:$H$503,Nastavení!$A$19)</f>
        <v>0</v>
      </c>
    </row>
    <row r="89" spans="1:12" x14ac:dyDescent="0.2">
      <c r="A89" s="22" t="str">
        <f>Nastavení!$U$23</f>
        <v>2028-05</v>
      </c>
      <c r="B89" s="22">
        <f>Nastavení!$B$3</f>
        <v>16</v>
      </c>
      <c r="C89" s="22">
        <f>COUNTIFS(Scénáře!$F$4:$F$503,$A89,Scénáře!$W$4:$W$503,"&lt;&gt;Zrušeno",Scénáře!$W$4:$W$503,"&lt;&gt;Odloženo")</f>
        <v>0</v>
      </c>
      <c r="D89" s="22">
        <f>COUNTIFS(Scénáře!$F$4:$F$503,$A89,Scénáře!$W$4:$W$503,"Schváleno")</f>
        <v>0</v>
      </c>
      <c r="E89" s="22">
        <f>COUNTIFS(Scénáře!$AH$4:$AH$503,$A89)</f>
        <v>0</v>
      </c>
      <c r="F89" s="23">
        <f t="shared" si="3"/>
        <v>0</v>
      </c>
      <c r="G89" s="22">
        <f>COUNTIFS(Scénáře!$AH$4:$AH$503,$A89,Scénáře!$G$4:$G$503,Nastavení!$A$10)</f>
        <v>0</v>
      </c>
      <c r="H89" s="22">
        <f>COUNTIFS(Scénáře!$AH$4:$AH$503,$A89,Scénáře!$G$4:$G$503,Nastavení!$A$11)</f>
        <v>0</v>
      </c>
      <c r="I89" s="22">
        <f>COUNTIFS(Scénáře!$AH$4:$AH$503,$A89,Scénáře!$G$4:$G$503,Nastavení!$A$12)</f>
        <v>0</v>
      </c>
      <c r="J89" s="22">
        <f>COUNTIFS(Scénáře!$AH$4:$AH$503,$A89,Scénáře!$G$4:$G$503,Nastavení!$A$13)</f>
        <v>0</v>
      </c>
      <c r="K89" s="22">
        <f>COUNTIFS(Scénáře!$AH$4:$AH$503,$A89,Scénáře!$H$4:$H$503,Nastavení!$A$18)</f>
        <v>0</v>
      </c>
      <c r="L89" s="22">
        <f>COUNTIFS(Scénáře!$AH$4:$AH$503,$A89,Scénáře!$H$4:$H$503,Nastavení!$A$19)</f>
        <v>0</v>
      </c>
    </row>
    <row r="90" spans="1:12" x14ac:dyDescent="0.2">
      <c r="A90" s="22" t="str">
        <f>Nastavení!$U$24</f>
        <v>2028-06</v>
      </c>
      <c r="B90" s="22">
        <f>Nastavení!$B$3</f>
        <v>16</v>
      </c>
      <c r="C90" s="22">
        <f>COUNTIFS(Scénáře!$F$4:$F$503,$A90,Scénáře!$W$4:$W$503,"&lt;&gt;Zrušeno",Scénáře!$W$4:$W$503,"&lt;&gt;Odloženo")</f>
        <v>0</v>
      </c>
      <c r="D90" s="22">
        <f>COUNTIFS(Scénáře!$F$4:$F$503,$A90,Scénáře!$W$4:$W$503,"Schváleno")</f>
        <v>0</v>
      </c>
      <c r="E90" s="22">
        <f>COUNTIFS(Scénáře!$AH$4:$AH$503,$A90)</f>
        <v>0</v>
      </c>
      <c r="F90" s="23">
        <f t="shared" si="3"/>
        <v>0</v>
      </c>
      <c r="G90" s="22">
        <f>COUNTIFS(Scénáře!$AH$4:$AH$503,$A90,Scénáře!$G$4:$G$503,Nastavení!$A$10)</f>
        <v>0</v>
      </c>
      <c r="H90" s="22">
        <f>COUNTIFS(Scénáře!$AH$4:$AH$503,$A90,Scénáře!$G$4:$G$503,Nastavení!$A$11)</f>
        <v>0</v>
      </c>
      <c r="I90" s="22">
        <f>COUNTIFS(Scénáře!$AH$4:$AH$503,$A90,Scénáře!$G$4:$G$503,Nastavení!$A$12)</f>
        <v>0</v>
      </c>
      <c r="J90" s="22">
        <f>COUNTIFS(Scénáře!$AH$4:$AH$503,$A90,Scénáře!$G$4:$G$503,Nastavení!$A$13)</f>
        <v>0</v>
      </c>
      <c r="K90" s="22">
        <f>COUNTIFS(Scénáře!$AH$4:$AH$503,$A90,Scénáře!$H$4:$H$503,Nastavení!$A$18)</f>
        <v>0</v>
      </c>
      <c r="L90" s="22">
        <f>COUNTIFS(Scénáře!$AH$4:$AH$503,$A90,Scénáře!$H$4:$H$503,Nastavení!$A$19)</f>
        <v>0</v>
      </c>
    </row>
    <row r="91" spans="1:12" x14ac:dyDescent="0.2">
      <c r="A91" s="22" t="str">
        <f>Nastavení!$U$25</f>
        <v>2028-07</v>
      </c>
      <c r="B91" s="22">
        <f>Nastavení!$B$3</f>
        <v>16</v>
      </c>
      <c r="C91" s="22">
        <f>COUNTIFS(Scénáře!$F$4:$F$503,$A91,Scénáře!$W$4:$W$503,"&lt;&gt;Zrušeno",Scénáře!$W$4:$W$503,"&lt;&gt;Odloženo")</f>
        <v>0</v>
      </c>
      <c r="D91" s="22">
        <f>COUNTIFS(Scénáře!$F$4:$F$503,$A91,Scénáře!$W$4:$W$503,"Schváleno")</f>
        <v>0</v>
      </c>
      <c r="E91" s="22">
        <f>COUNTIFS(Scénáře!$AH$4:$AH$503,$A91)</f>
        <v>0</v>
      </c>
      <c r="F91" s="23">
        <f t="shared" si="3"/>
        <v>0</v>
      </c>
      <c r="G91" s="22">
        <f>COUNTIFS(Scénáře!$AH$4:$AH$503,$A91,Scénáře!$G$4:$G$503,Nastavení!$A$10)</f>
        <v>0</v>
      </c>
      <c r="H91" s="22">
        <f>COUNTIFS(Scénáře!$AH$4:$AH$503,$A91,Scénáře!$G$4:$G$503,Nastavení!$A$11)</f>
        <v>0</v>
      </c>
      <c r="I91" s="22">
        <f>COUNTIFS(Scénáře!$AH$4:$AH$503,$A91,Scénáře!$G$4:$G$503,Nastavení!$A$12)</f>
        <v>0</v>
      </c>
      <c r="J91" s="22">
        <f>COUNTIFS(Scénáře!$AH$4:$AH$503,$A91,Scénáře!$G$4:$G$503,Nastavení!$A$13)</f>
        <v>0</v>
      </c>
      <c r="K91" s="22">
        <f>COUNTIFS(Scénáře!$AH$4:$AH$503,$A91,Scénáře!$H$4:$H$503,Nastavení!$A$18)</f>
        <v>0</v>
      </c>
      <c r="L91" s="22">
        <f>COUNTIFS(Scénáře!$AH$4:$AH$503,$A91,Scénáře!$H$4:$H$503,Nastavení!$A$19)</f>
        <v>0</v>
      </c>
    </row>
    <row r="92" spans="1:12" x14ac:dyDescent="0.2">
      <c r="A92" s="22" t="str">
        <f>Nastavení!$U$26</f>
        <v>2028-08</v>
      </c>
      <c r="B92" s="22">
        <f>Nastavení!$B$3</f>
        <v>16</v>
      </c>
      <c r="C92" s="22">
        <f>COUNTIFS(Scénáře!$F$4:$F$503,$A92,Scénáře!$W$4:$W$503,"&lt;&gt;Zrušeno",Scénáře!$W$4:$W$503,"&lt;&gt;Odloženo")</f>
        <v>0</v>
      </c>
      <c r="D92" s="22">
        <f>COUNTIFS(Scénáře!$F$4:$F$503,$A92,Scénáře!$W$4:$W$503,"Schváleno")</f>
        <v>0</v>
      </c>
      <c r="E92" s="22">
        <f>COUNTIFS(Scénáře!$AH$4:$AH$503,$A92)</f>
        <v>0</v>
      </c>
      <c r="F92" s="23">
        <f t="shared" si="3"/>
        <v>0</v>
      </c>
      <c r="G92" s="22">
        <f>COUNTIFS(Scénáře!$AH$4:$AH$503,$A92,Scénáře!$G$4:$G$503,Nastavení!$A$10)</f>
        <v>0</v>
      </c>
      <c r="H92" s="22">
        <f>COUNTIFS(Scénáře!$AH$4:$AH$503,$A92,Scénáře!$G$4:$G$503,Nastavení!$A$11)</f>
        <v>0</v>
      </c>
      <c r="I92" s="22">
        <f>COUNTIFS(Scénáře!$AH$4:$AH$503,$A92,Scénáře!$G$4:$G$503,Nastavení!$A$12)</f>
        <v>0</v>
      </c>
      <c r="J92" s="22">
        <f>COUNTIFS(Scénáře!$AH$4:$AH$503,$A92,Scénáře!$G$4:$G$503,Nastavení!$A$13)</f>
        <v>0</v>
      </c>
      <c r="K92" s="22">
        <f>COUNTIFS(Scénáře!$AH$4:$AH$503,$A92,Scénáře!$H$4:$H$503,Nastavení!$A$18)</f>
        <v>0</v>
      </c>
      <c r="L92" s="22">
        <f>COUNTIFS(Scénáře!$AH$4:$AH$503,$A92,Scénáře!$H$4:$H$503,Nastavení!$A$19)</f>
        <v>0</v>
      </c>
    </row>
    <row r="93" spans="1:12" x14ac:dyDescent="0.2">
      <c r="A93" s="22" t="str">
        <f>Nastavení!$U$27</f>
        <v>2028-09</v>
      </c>
      <c r="B93" s="22">
        <f>Nastavení!$B$3</f>
        <v>16</v>
      </c>
      <c r="C93" s="22">
        <f>COUNTIFS(Scénáře!$F$4:$F$503,$A93,Scénáře!$W$4:$W$503,"&lt;&gt;Zrušeno",Scénáře!$W$4:$W$503,"&lt;&gt;Odloženo")</f>
        <v>0</v>
      </c>
      <c r="D93" s="22">
        <f>COUNTIFS(Scénáře!$F$4:$F$503,$A93,Scénáře!$W$4:$W$503,"Schváleno")</f>
        <v>0</v>
      </c>
      <c r="E93" s="22">
        <f>COUNTIFS(Scénáře!$AH$4:$AH$503,$A93)</f>
        <v>0</v>
      </c>
      <c r="F93" s="23">
        <f t="shared" si="3"/>
        <v>0</v>
      </c>
      <c r="G93" s="22">
        <f>COUNTIFS(Scénáře!$AH$4:$AH$503,$A93,Scénáře!$G$4:$G$503,Nastavení!$A$10)</f>
        <v>0</v>
      </c>
      <c r="H93" s="22">
        <f>COUNTIFS(Scénáře!$AH$4:$AH$503,$A93,Scénáře!$G$4:$G$503,Nastavení!$A$11)</f>
        <v>0</v>
      </c>
      <c r="I93" s="22">
        <f>COUNTIFS(Scénáře!$AH$4:$AH$503,$A93,Scénáře!$G$4:$G$503,Nastavení!$A$12)</f>
        <v>0</v>
      </c>
      <c r="J93" s="22">
        <f>COUNTIFS(Scénáře!$AH$4:$AH$503,$A93,Scénáře!$G$4:$G$503,Nastavení!$A$13)</f>
        <v>0</v>
      </c>
      <c r="K93" s="22">
        <f>COUNTIFS(Scénáře!$AH$4:$AH$503,$A93,Scénáře!$H$4:$H$503,Nastavení!$A$18)</f>
        <v>0</v>
      </c>
      <c r="L93" s="22">
        <f>COUNTIFS(Scénáře!$AH$4:$AH$503,$A93,Scénáře!$H$4:$H$503,Nastavení!$A$19)</f>
        <v>0</v>
      </c>
    </row>
  </sheetData>
  <sheetProtection sheet="1" formatColumns="0" formatRows="0"/>
  <mergeCells count="13">
    <mergeCell ref="D40:H40"/>
    <mergeCell ref="D41:H41"/>
    <mergeCell ref="D42:H42"/>
    <mergeCell ref="D35:H35"/>
    <mergeCell ref="D36:H36"/>
    <mergeCell ref="D37:H37"/>
    <mergeCell ref="D38:H38"/>
    <mergeCell ref="D39:H39"/>
    <mergeCell ref="D30:H30"/>
    <mergeCell ref="D31:H31"/>
    <mergeCell ref="D32:H32"/>
    <mergeCell ref="D33:H33"/>
    <mergeCell ref="D34:H34"/>
  </mergeCells>
  <conditionalFormatting sqref="A70:L93">
    <cfRule type="expression" dxfId="71" priority="50">
      <formula>$A70=$C$3</formula>
    </cfRule>
  </conditionalFormatting>
  <conditionalFormatting sqref="B33:C34">
    <cfRule type="expression" dxfId="70" priority="36">
      <formula>AND(ISNUMBER($B33),$B33&gt;0)</formula>
    </cfRule>
  </conditionalFormatting>
  <conditionalFormatting sqref="B36:C36">
    <cfRule type="expression" dxfId="69" priority="32">
      <formula>AND(ISNUMBER($B36),$B36&gt;0)</formula>
    </cfRule>
  </conditionalFormatting>
  <conditionalFormatting sqref="B38:C40">
    <cfRule type="expression" dxfId="68" priority="33">
      <formula>AND(ISNUMBER($B38),$B38&gt;0)</formula>
    </cfRule>
  </conditionalFormatting>
  <conditionalFormatting sqref="C54:C65">
    <cfRule type="expression" dxfId="67" priority="46">
      <formula>$C54="Návrh"</formula>
    </cfRule>
    <cfRule type="expression" dxfId="66" priority="45">
      <formula>$C54="Pozastavená"</formula>
    </cfRule>
  </conditionalFormatting>
  <conditionalFormatting sqref="F10:F14">
    <cfRule type="expression" dxfId="65" priority="4">
      <formula>AND(ISNUMBER($F10),$F10&gt;0)</formula>
    </cfRule>
  </conditionalFormatting>
  <conditionalFormatting sqref="F18:F20">
    <cfRule type="expression" dxfId="64" priority="13">
      <formula>AND(ISNUMBER($F18),$F18&gt;0)</formula>
    </cfRule>
  </conditionalFormatting>
  <conditionalFormatting sqref="F24:F27">
    <cfRule type="expression" dxfId="63" priority="26">
      <formula>$F24="OK"</formula>
    </cfRule>
    <cfRule type="expression" dxfId="62" priority="22">
      <formula>LEFT($F24,5)="CHYBÍ"</formula>
    </cfRule>
    <cfRule type="expression" dxfId="61" priority="23">
      <formula>LEFT($F24,4)="Čeká"</formula>
    </cfRule>
    <cfRule type="expression" dxfId="60" priority="24">
      <formula>OR(LEFT($F24,4)="Schv",LEFT($F24,4)="Publ")</formula>
    </cfRule>
    <cfRule type="expression" dxfId="59" priority="25">
      <formula>LEFT($F24,4)="MIMO"</formula>
    </cfRule>
  </conditionalFormatting>
  <conditionalFormatting sqref="F46:F50">
    <cfRule type="expression" dxfId="58" priority="38">
      <formula>AND(ISNUMBER($F46),$F46&gt;0)</formula>
    </cfRule>
  </conditionalFormatting>
  <conditionalFormatting sqref="F70:F93">
    <cfRule type="expression" dxfId="57" priority="49">
      <formula>AND(ISNUMBER($F70),$F70&lt;1,$E70&gt;0)</formula>
    </cfRule>
    <cfRule type="expression" dxfId="56" priority="48">
      <formula>AND(ISNUMBER($F70),$F70&gt;=1)</formula>
    </cfRule>
  </conditionalFormatting>
  <conditionalFormatting sqref="H46:H50">
    <cfRule type="expression" dxfId="55" priority="43">
      <formula>$H46="OK"</formula>
    </cfRule>
    <cfRule type="expression" dxfId="54" priority="42">
      <formula>LEFT($H46,4)="MIMO"</formula>
    </cfRule>
    <cfRule type="expression" dxfId="53" priority="41">
      <formula>OR(LEFT($H46,4)="Schv",LEFT($H46,4)="Publ")</formula>
    </cfRule>
    <cfRule type="expression" dxfId="52" priority="40">
      <formula>LEFT($H46,4)="Čeká"</formula>
    </cfRule>
    <cfRule type="expression" dxfId="51" priority="39">
      <formula>LEFT($H46,5)="CHYBÍ"</formula>
    </cfRule>
  </conditionalFormatting>
  <conditionalFormatting sqref="I10:I14">
    <cfRule type="expression" dxfId="50" priority="6">
      <formula>AND(ISNUMBER($I10),$I10&lt;1,$I10&gt;=0.5)</formula>
    </cfRule>
    <cfRule type="expression" dxfId="49" priority="5">
      <formula>AND(ISNUMBER($I10),$I10&gt;=1)</formula>
    </cfRule>
    <cfRule type="expression" dxfId="48" priority="7">
      <formula>AND(ISNUMBER($I10),$I10&lt;0.5)</formula>
    </cfRule>
  </conditionalFormatting>
  <conditionalFormatting sqref="I18:I20">
    <cfRule type="expression" dxfId="47" priority="14">
      <formula>AND(ISNUMBER($I18),$I18&gt;=1)</formula>
    </cfRule>
    <cfRule type="expression" dxfId="46" priority="15">
      <formula>AND(ISNUMBER($I18),$I18&lt;1,$I18&gt;=0.5)</formula>
    </cfRule>
    <cfRule type="expression" dxfId="45" priority="16">
      <formula>AND(ISNUMBER($I18),$I18&lt;0.5)</formula>
    </cfRule>
  </conditionalFormatting>
  <conditionalFormatting sqref="I24:I27">
    <cfRule type="expression" dxfId="44" priority="27">
      <formula>LEFT($I24,5)="CHYBÍ"</formula>
    </cfRule>
    <cfRule type="expression" dxfId="43" priority="28">
      <formula>LEFT($I24,4)="Čeká"</formula>
    </cfRule>
    <cfRule type="expression" dxfId="42" priority="29">
      <formula>OR(LEFT($I24,4)="Schv",LEFT($I24,4)="Publ")</formula>
    </cfRule>
    <cfRule type="expression" dxfId="41" priority="30">
      <formula>LEFT($I24,4)="MIMO"</formula>
    </cfRule>
    <cfRule type="expression" dxfId="40" priority="31">
      <formula>$I24="OK"</formula>
    </cfRule>
  </conditionalFormatting>
  <conditionalFormatting sqref="J10:J14">
    <cfRule type="expression" dxfId="39" priority="11">
      <formula>LEFT($J10,4)="MIMO"</formula>
    </cfRule>
    <cfRule type="expression" dxfId="38" priority="8">
      <formula>LEFT($J10,5)="CHYBÍ"</formula>
    </cfRule>
    <cfRule type="expression" dxfId="37" priority="9">
      <formula>LEFT($J10,4)="Čeká"</formula>
    </cfRule>
    <cfRule type="expression" dxfId="36" priority="10">
      <formula>OR(LEFT($J10,4)="Schv",LEFT($J10,4)="Publ")</formula>
    </cfRule>
    <cfRule type="expression" dxfId="35" priority="12">
      <formula>$J10="OK"</formula>
    </cfRule>
  </conditionalFormatting>
  <conditionalFormatting sqref="J18:J20">
    <cfRule type="expression" dxfId="34" priority="21">
      <formula>$J18="OK"</formula>
    </cfRule>
    <cfRule type="expression" dxfId="33" priority="20">
      <formula>LEFT($J18,4)="MIMO"</formula>
    </cfRule>
    <cfRule type="expression" dxfId="32" priority="19">
      <formula>OR(LEFT($J18,4)="Schv",LEFT($J18,4)="Publ")</formula>
    </cfRule>
    <cfRule type="expression" dxfId="31" priority="18">
      <formula>LEFT($J18,4)="Čeká"</formula>
    </cfRule>
    <cfRule type="expression" dxfId="30" priority="17">
      <formula>LEFT($J18,5)="CHYBÍ"</formula>
    </cfRule>
  </conditionalFormatting>
  <conditionalFormatting sqref="J54:J65">
    <cfRule type="expression" dxfId="29" priority="44">
      <formula>AND(ISNUMBER($J54),$J54&gt;=1)</formula>
    </cfRule>
  </conditionalFormatting>
  <conditionalFormatting sqref="K5">
    <cfRule type="expression" dxfId="28" priority="3">
      <formula>AND(ISNUMBER($K$5),$K$5&gt;=0,$K$5&lt;=3)</formula>
    </cfRule>
    <cfRule type="expression" dxfId="27" priority="2">
      <formula>AND(ISNUMBER($K$5),$K$5&lt;0)</formula>
    </cfRule>
  </conditionalFormatting>
  <conditionalFormatting sqref="L54:L65">
    <cfRule type="expression" dxfId="26" priority="47">
      <formula>AND(ISNUMBER($L54),$L54&gt;0)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Neplatná hodnota" error="Vyberte hodnotu z rozbalovacího seznamu." xr:uid="{00000000-0002-0000-0100-000000000000}">
          <x14:formula1>
            <xm:f>Nastavení!$U$4:$U$42</xm:f>
          </x14:formula1>
          <x14:formula2>
            <xm:f>0</xm:f>
          </x14:formula2>
          <xm:sqref>C3</xm:sqref>
        </x14:dataValidation>
        <x14:dataValidation type="list" showErrorMessage="1" errorTitle="Neplatná hodnota" error="Vyberte hodnotu z rozbalovacího seznamu." xr:uid="{00000000-0002-0000-0100-000001000000}">
          <x14:formula1>
            <xm:f>Nastavení!$A$30:$A$53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AI50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0" customWidth="1"/>
    <col min="2" max="2" width="32" customWidth="1"/>
    <col min="3" max="3" width="10" customWidth="1"/>
    <col min="4" max="4" width="8" customWidth="1"/>
    <col min="5" max="5" width="12" customWidth="1"/>
    <col min="6" max="6" width="13" customWidth="1"/>
    <col min="7" max="7" width="30" customWidth="1"/>
    <col min="8" max="8" width="16" customWidth="1"/>
    <col min="9" max="10" width="14" customWidth="1"/>
    <col min="11" max="11" width="20" customWidth="1"/>
    <col min="12" max="12" width="14" customWidth="1"/>
    <col min="13" max="14" width="30" customWidth="1"/>
    <col min="15" max="15" width="45" customWidth="1"/>
    <col min="16" max="18" width="25" customWidth="1"/>
    <col min="19" max="19" width="30" customWidth="1"/>
    <col min="20" max="20" width="16" customWidth="1"/>
    <col min="21" max="21" width="13" customWidth="1"/>
    <col min="22" max="22" width="30" customWidth="1"/>
    <col min="23" max="23" width="18" customWidth="1"/>
    <col min="24" max="24" width="11" customWidth="1"/>
    <col min="25" max="25" width="13" customWidth="1"/>
    <col min="26" max="26" width="30" customWidth="1"/>
    <col min="27" max="27" width="16" customWidth="1"/>
    <col min="28" max="28" width="13" customWidth="1"/>
    <col min="29" max="30" width="30" customWidth="1"/>
    <col min="31" max="31" width="12" customWidth="1"/>
    <col min="32" max="32" width="11" customWidth="1"/>
    <col min="33" max="34" width="13" customWidth="1"/>
    <col min="35" max="35" width="45" customWidth="1"/>
  </cols>
  <sheetData>
    <row r="1" spans="1:35" ht="20" x14ac:dyDescent="0.2">
      <c r="A1" s="7" t="s">
        <v>121</v>
      </c>
    </row>
    <row r="2" spans="1:35" ht="15" customHeight="1" x14ac:dyDescent="0.2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3" t="s">
        <v>123</v>
      </c>
      <c r="X2" s="3"/>
      <c r="Y2" s="3"/>
      <c r="Z2" s="3"/>
      <c r="AA2" s="2" t="s">
        <v>124</v>
      </c>
      <c r="AB2" s="2"/>
      <c r="AC2" s="2"/>
      <c r="AD2" s="2"/>
      <c r="AE2" s="1" t="s">
        <v>125</v>
      </c>
      <c r="AF2" s="1"/>
      <c r="AG2" s="1"/>
      <c r="AH2" s="1"/>
      <c r="AI2" s="1"/>
    </row>
    <row r="3" spans="1:35" ht="61.5" customHeight="1" x14ac:dyDescent="0.2">
      <c r="A3" s="31" t="s">
        <v>126</v>
      </c>
      <c r="B3" s="31" t="s">
        <v>127</v>
      </c>
      <c r="C3" s="31" t="s">
        <v>128</v>
      </c>
      <c r="D3" s="31" t="s">
        <v>129</v>
      </c>
      <c r="E3" s="31" t="s">
        <v>47</v>
      </c>
      <c r="F3" s="31" t="s">
        <v>130</v>
      </c>
      <c r="G3" s="31" t="s">
        <v>131</v>
      </c>
      <c r="H3" s="31" t="s">
        <v>66</v>
      </c>
      <c r="I3" s="31" t="s">
        <v>132</v>
      </c>
      <c r="J3" s="31" t="s">
        <v>133</v>
      </c>
      <c r="K3" s="31" t="s">
        <v>134</v>
      </c>
      <c r="L3" s="31" t="s">
        <v>135</v>
      </c>
      <c r="M3" s="31" t="s">
        <v>136</v>
      </c>
      <c r="N3" s="31" t="s">
        <v>137</v>
      </c>
      <c r="O3" s="31" t="s">
        <v>138</v>
      </c>
      <c r="P3" s="31" t="s">
        <v>139</v>
      </c>
      <c r="Q3" s="31" t="s">
        <v>140</v>
      </c>
      <c r="R3" s="31" t="s">
        <v>141</v>
      </c>
      <c r="S3" s="31" t="s">
        <v>142</v>
      </c>
      <c r="T3" s="31" t="s">
        <v>143</v>
      </c>
      <c r="U3" s="31" t="s">
        <v>144</v>
      </c>
      <c r="V3" s="31" t="s">
        <v>145</v>
      </c>
      <c r="W3" s="32" t="s">
        <v>146</v>
      </c>
      <c r="X3" s="32" t="s">
        <v>147</v>
      </c>
      <c r="Y3" s="32" t="s">
        <v>148</v>
      </c>
      <c r="Z3" s="32" t="s">
        <v>149</v>
      </c>
      <c r="AA3" s="33" t="s">
        <v>150</v>
      </c>
      <c r="AB3" s="33" t="s">
        <v>151</v>
      </c>
      <c r="AC3" s="33" t="s">
        <v>152</v>
      </c>
      <c r="AD3" s="33" t="s">
        <v>153</v>
      </c>
      <c r="AE3" s="34" t="s">
        <v>110</v>
      </c>
      <c r="AF3" s="34" t="s">
        <v>154</v>
      </c>
      <c r="AG3" s="34" t="s">
        <v>155</v>
      </c>
      <c r="AH3" s="34" t="s">
        <v>156</v>
      </c>
      <c r="AI3" s="34" t="s">
        <v>157</v>
      </c>
    </row>
    <row r="4" spans="1:35" ht="28" x14ac:dyDescent="0.2">
      <c r="A4" s="35" t="s">
        <v>158</v>
      </c>
      <c r="B4" s="11" t="s">
        <v>159</v>
      </c>
      <c r="C4" s="35"/>
      <c r="D4" s="35"/>
      <c r="E4" s="35" t="s">
        <v>160</v>
      </c>
      <c r="F4" s="35" t="s">
        <v>160</v>
      </c>
      <c r="G4" s="35" t="s">
        <v>161</v>
      </c>
      <c r="H4" s="35" t="s">
        <v>162</v>
      </c>
      <c r="I4" s="35" t="s">
        <v>163</v>
      </c>
      <c r="J4" s="35" t="s">
        <v>164</v>
      </c>
      <c r="K4" s="35" t="s">
        <v>165</v>
      </c>
      <c r="L4" s="35"/>
      <c r="M4" s="11" t="s">
        <v>166</v>
      </c>
      <c r="N4" s="11" t="s">
        <v>167</v>
      </c>
      <c r="O4" s="11" t="s">
        <v>168</v>
      </c>
      <c r="P4" s="11" t="s">
        <v>169</v>
      </c>
      <c r="Q4" s="11" t="s">
        <v>170</v>
      </c>
      <c r="R4" s="11"/>
      <c r="S4" s="11" t="s">
        <v>171</v>
      </c>
      <c r="T4" s="35" t="s">
        <v>172</v>
      </c>
      <c r="U4" s="36">
        <v>46300</v>
      </c>
      <c r="V4" s="11"/>
      <c r="W4" s="35" t="s">
        <v>59</v>
      </c>
      <c r="X4" s="35" t="s">
        <v>75</v>
      </c>
      <c r="Y4" s="36">
        <v>46302</v>
      </c>
      <c r="Z4" s="11"/>
      <c r="AA4" s="35" t="s">
        <v>62</v>
      </c>
      <c r="AB4" s="36">
        <v>46305</v>
      </c>
      <c r="AC4" s="35"/>
      <c r="AD4" s="35" t="s">
        <v>173</v>
      </c>
      <c r="AE4" s="37">
        <f>IF($A4="","",COUNTIFS(Připomínky!$A$4:$A$503,$A4,Připomínky!$J$4:$J$503,"Nevyřešeno"))</f>
        <v>0</v>
      </c>
      <c r="AF4" s="37">
        <f>IF($A4="","",COUNTIFS(Publikace!$A$4:$A$503,$A4))</f>
        <v>2</v>
      </c>
      <c r="AG4" s="38">
        <f>IF($A4="","",IF(AF4=0,"",_xlfn.MINIFS(Publikace!$E$4:$E$503,Publikace!$A$4:$A$503,$A4)))</f>
        <v>46305</v>
      </c>
      <c r="AH4" s="37" t="str">
        <f t="shared" ref="AH4:AH67" si="0">IF(AG4="","",YEAR(AG4)&amp;"-"&amp;TEXT(MONTH(AG4),"00"))</f>
        <v>2026-10</v>
      </c>
      <c r="AI4" s="39" t="str">
        <f ca="1">IF($A4="","",TRIM(IF(AND($U4&lt;&gt;"",$U4&lt;TODAY(),$W4&lt;&gt;"Schváleno",$W4&lt;&gt;"Odloženo",$W4&lt;&gt;"Zrušeno"),"Po termínu odevzdání. ","")&amp;IF(AND($W4="Schváleno",OR($X4="",$Y4="")),"Schváleno bez jména / data. ","")&amp;IF(OR($G4="",$H4="",$I4="",$F4=""),"Chybí zařazení (kategorie, typ, profil nebo měsíc). ","")&amp;IF(AND(OR($I4="Honza",$I4="Radek"),OR($J4="",$J4="Nevztahuje se")),"Doplnit charakter (osobní / pracovní). ","")&amp;IF(AND($W4="Schváleno",$AE4&gt;0),"Schváleno, ale má otevřené připomínky. ","")&amp;IF(AND($AA4="Publikováno",$AF4=0),"Publikováno bez záznamu v listu Publikace. ","")&amp;IF(AND($C4&lt;&gt;"",$D4=""),"Chybí číslo dílu série. ","")&amp;IF(AND($E4&lt;&gt;"",$W4&lt;&gt;"Schváleno",$W4&lt;&gt;"Odloženo",$W4&lt;&gt;"Zrušeno",IFERROR(VLOOKUP($E4,Nastavení!$A$30:$G$53,3,FALSE()),0)&gt;0,IFERROR(VLOOKUP($E4,Nastavení!$A$30:$G$53,3,FALSE()),0)&lt;TODAY()),"Neschváleno po termínu cyklu. ","")))</f>
        <v/>
      </c>
    </row>
    <row r="5" spans="1:35" ht="28" x14ac:dyDescent="0.2">
      <c r="A5" s="35" t="s">
        <v>174</v>
      </c>
      <c r="B5" s="11" t="s">
        <v>175</v>
      </c>
      <c r="C5" s="35"/>
      <c r="D5" s="35"/>
      <c r="E5" s="35" t="s">
        <v>160</v>
      </c>
      <c r="F5" s="35" t="s">
        <v>160</v>
      </c>
      <c r="G5" s="35" t="s">
        <v>176</v>
      </c>
      <c r="H5" s="35" t="s">
        <v>120</v>
      </c>
      <c r="I5" s="35" t="s">
        <v>75</v>
      </c>
      <c r="J5" s="35" t="s">
        <v>76</v>
      </c>
      <c r="K5" s="35" t="s">
        <v>165</v>
      </c>
      <c r="L5" s="35"/>
      <c r="M5" s="11" t="s">
        <v>177</v>
      </c>
      <c r="N5" s="11" t="s">
        <v>178</v>
      </c>
      <c r="O5" s="11" t="s">
        <v>179</v>
      </c>
      <c r="P5" s="11" t="s">
        <v>180</v>
      </c>
      <c r="Q5" s="11"/>
      <c r="R5" s="11"/>
      <c r="S5" s="11" t="s">
        <v>181</v>
      </c>
      <c r="T5" s="35" t="s">
        <v>182</v>
      </c>
      <c r="U5" s="36">
        <v>46300</v>
      </c>
      <c r="V5" s="11"/>
      <c r="W5" s="35" t="s">
        <v>59</v>
      </c>
      <c r="X5" s="35" t="s">
        <v>78</v>
      </c>
      <c r="Y5" s="36">
        <v>46302</v>
      </c>
      <c r="Z5" s="11"/>
      <c r="AA5" s="35" t="s">
        <v>62</v>
      </c>
      <c r="AB5" s="36">
        <v>46305</v>
      </c>
      <c r="AC5" s="35"/>
      <c r="AD5" s="35"/>
      <c r="AE5" s="37">
        <f>IF($A5="","",COUNTIFS(Připomínky!$A$4:$A$503,$A5,Připomínky!$J$4:$J$503,"Nevyřešeno"))</f>
        <v>0</v>
      </c>
      <c r="AF5" s="37">
        <f>IF($A5="","",COUNTIFS(Publikace!$A$4:$A$503,$A5))</f>
        <v>1</v>
      </c>
      <c r="AG5" s="38">
        <f>IF($A5="","",IF(AF5=0,"",_xlfn.MINIFS(Publikace!$E$4:$E$503,Publikace!$A$4:$A$503,$A5)))</f>
        <v>46305</v>
      </c>
      <c r="AH5" s="37" t="str">
        <f t="shared" si="0"/>
        <v>2026-10</v>
      </c>
      <c r="AI5" s="39" t="str">
        <f ca="1">IF($A5="","",TRIM(IF(AND($U5&lt;&gt;"",$U5&lt;TODAY(),$W5&lt;&gt;"Schváleno",$W5&lt;&gt;"Odloženo",$W5&lt;&gt;"Zrušeno"),"Po termínu odevzdání. ","")&amp;IF(AND($W5="Schváleno",OR($X5="",$Y5="")),"Schváleno bez jména / data. ","")&amp;IF(OR($G5="",$H5="",$I5="",$F5=""),"Chybí zařazení (kategorie, typ, profil nebo měsíc). ","")&amp;IF(AND(OR($I5="Honza",$I5="Radek"),OR($J5="",$J5="Nevztahuje se")),"Doplnit charakter (osobní / pracovní). ","")&amp;IF(AND($W5="Schváleno",$AE5&gt;0),"Schváleno, ale má otevřené připomínky. ","")&amp;IF(AND($AA5="Publikováno",$AF5=0),"Publikováno bez záznamu v listu Publikace. ","")&amp;IF(AND($C5&lt;&gt;"",$D5=""),"Chybí číslo dílu série. ","")&amp;IF(AND($E5&lt;&gt;"",$W5&lt;&gt;"Schváleno",$W5&lt;&gt;"Odloženo",$W5&lt;&gt;"Zrušeno",IFERROR(VLOOKUP($E5,Nastavení!$A$30:$G$53,3,FALSE()),0)&gt;0,IFERROR(VLOOKUP($E5,Nastavení!$A$30:$G$53,3,FALSE()),0)&lt;TODAY()),"Neschváleno po termínu cyklu. ","")))</f>
        <v/>
      </c>
    </row>
    <row r="6" spans="1:35" ht="28" x14ac:dyDescent="0.2">
      <c r="A6" s="35" t="s">
        <v>183</v>
      </c>
      <c r="B6" s="11" t="s">
        <v>184</v>
      </c>
      <c r="C6" s="35"/>
      <c r="D6" s="35"/>
      <c r="E6" s="35" t="s">
        <v>45</v>
      </c>
      <c r="F6" s="35" t="s">
        <v>45</v>
      </c>
      <c r="G6" s="35" t="s">
        <v>185</v>
      </c>
      <c r="H6" s="35" t="s">
        <v>162</v>
      </c>
      <c r="I6" s="35" t="s">
        <v>78</v>
      </c>
      <c r="J6" s="35" t="s">
        <v>77</v>
      </c>
      <c r="K6" s="35" t="s">
        <v>165</v>
      </c>
      <c r="L6" s="35"/>
      <c r="M6" s="11" t="s">
        <v>186</v>
      </c>
      <c r="N6" s="11" t="s">
        <v>187</v>
      </c>
      <c r="O6" s="11" t="s">
        <v>179</v>
      </c>
      <c r="P6" s="11" t="s">
        <v>188</v>
      </c>
      <c r="Q6" s="11" t="s">
        <v>189</v>
      </c>
      <c r="R6" s="11"/>
      <c r="S6" s="11" t="s">
        <v>190</v>
      </c>
      <c r="T6" s="35" t="s">
        <v>172</v>
      </c>
      <c r="U6" s="36">
        <v>46329</v>
      </c>
      <c r="V6" s="11"/>
      <c r="W6" s="35" t="s">
        <v>191</v>
      </c>
      <c r="X6" s="35"/>
      <c r="Y6" s="36"/>
      <c r="Z6" s="11"/>
      <c r="AA6" s="35" t="s">
        <v>192</v>
      </c>
      <c r="AB6" s="36"/>
      <c r="AC6" s="35"/>
      <c r="AD6" s="35"/>
      <c r="AE6" s="37">
        <f>IF($A6="","",COUNTIFS(Připomínky!$A$4:$A$503,$A6,Připomínky!$J$4:$J$503,"Nevyřešeno"))</f>
        <v>1</v>
      </c>
      <c r="AF6" s="37">
        <f>IF($A6="","",COUNTIFS(Publikace!$A$4:$A$503,$A6))</f>
        <v>0</v>
      </c>
      <c r="AG6" s="38" t="str">
        <f>IF($A6="","",IF(AF6=0,"",_xlfn.MINIFS(Publikace!$E$4:$E$503,Publikace!$A$4:$A$503,$A6)))</f>
        <v/>
      </c>
      <c r="AH6" s="37" t="str">
        <f t="shared" si="0"/>
        <v/>
      </c>
      <c r="AI6" s="39" t="str">
        <f ca="1">IF($A6="","",TRIM(IF(AND($U6&lt;&gt;"",$U6&lt;TODAY(),$W6&lt;&gt;"Schváleno",$W6&lt;&gt;"Odloženo",$W6&lt;&gt;"Zrušeno"),"Po termínu odevzdání. ","")&amp;IF(AND($W6="Schváleno",OR($X6="",$Y6="")),"Schváleno bez jména / data. ","")&amp;IF(OR($G6="",$H6="",$I6="",$F6=""),"Chybí zařazení (kategorie, typ, profil nebo měsíc). ","")&amp;IF(AND(OR($I6="Honza",$I6="Radek"),OR($J6="",$J6="Nevztahuje se")),"Doplnit charakter (osobní / pracovní). ","")&amp;IF(AND($W6="Schváleno",$AE6&gt;0),"Schváleno, ale má otevřené připomínky. ","")&amp;IF(AND($AA6="Publikováno",$AF6=0),"Publikováno bez záznamu v listu Publikace. ","")&amp;IF(AND($C6&lt;&gt;"",$D6=""),"Chybí číslo dílu série. ","")&amp;IF(AND($E6&lt;&gt;"",$W6&lt;&gt;"Schváleno",$W6&lt;&gt;"Odloženo",$W6&lt;&gt;"Zrušeno",IFERROR(VLOOKUP($E6,Nastavení!$A$30:$G$53,3,FALSE()),0)&gt;0,IFERROR(VLOOKUP($E6,Nastavení!$A$30:$G$53,3,FALSE()),0)&lt;TODAY()),"Neschváleno po termínu cyklu. ","")))</f>
        <v/>
      </c>
    </row>
    <row r="7" spans="1:35" ht="28" x14ac:dyDescent="0.2">
      <c r="A7" s="35" t="s">
        <v>193</v>
      </c>
      <c r="B7" s="11" t="s">
        <v>194</v>
      </c>
      <c r="C7" s="35" t="s">
        <v>195</v>
      </c>
      <c r="D7" s="35">
        <v>1</v>
      </c>
      <c r="E7" s="35" t="s">
        <v>45</v>
      </c>
      <c r="F7" s="35" t="s">
        <v>45</v>
      </c>
      <c r="G7" s="35" t="s">
        <v>196</v>
      </c>
      <c r="H7" s="35" t="s">
        <v>162</v>
      </c>
      <c r="I7" s="35" t="s">
        <v>78</v>
      </c>
      <c r="J7" s="35" t="s">
        <v>77</v>
      </c>
      <c r="K7" s="35" t="s">
        <v>165</v>
      </c>
      <c r="L7" s="35"/>
      <c r="M7" s="11" t="s">
        <v>197</v>
      </c>
      <c r="N7" s="11" t="s">
        <v>198</v>
      </c>
      <c r="O7" s="11" t="s">
        <v>179</v>
      </c>
      <c r="P7" s="11" t="s">
        <v>199</v>
      </c>
      <c r="Q7" s="11"/>
      <c r="R7" s="11"/>
      <c r="S7" s="11" t="s">
        <v>200</v>
      </c>
      <c r="T7" s="35" t="s">
        <v>172</v>
      </c>
      <c r="U7" s="36">
        <v>46329</v>
      </c>
      <c r="V7" s="11"/>
      <c r="W7" s="35" t="s">
        <v>59</v>
      </c>
      <c r="X7" s="35" t="s">
        <v>78</v>
      </c>
      <c r="Y7" s="36">
        <v>46331</v>
      </c>
      <c r="Z7" s="11"/>
      <c r="AA7" s="35" t="s">
        <v>192</v>
      </c>
      <c r="AB7" s="36"/>
      <c r="AC7" s="35"/>
      <c r="AD7" s="35"/>
      <c r="AE7" s="37">
        <f>IF($A7="","",COUNTIFS(Připomínky!$A$4:$A$503,$A7,Připomínky!$J$4:$J$503,"Nevyřešeno"))</f>
        <v>0</v>
      </c>
      <c r="AF7" s="37">
        <f>IF($A7="","",COUNTIFS(Publikace!$A$4:$A$503,$A7))</f>
        <v>0</v>
      </c>
      <c r="AG7" s="38" t="str">
        <f>IF($A7="","",IF(AF7=0,"",_xlfn.MINIFS(Publikace!$E$4:$E$503,Publikace!$A$4:$A$503,$A7)))</f>
        <v/>
      </c>
      <c r="AH7" s="37" t="str">
        <f t="shared" si="0"/>
        <v/>
      </c>
      <c r="AI7" s="39" t="str">
        <f ca="1">IF($A7="","",TRIM(IF(AND($U7&lt;&gt;"",$U7&lt;TODAY(),$W7&lt;&gt;"Schváleno",$W7&lt;&gt;"Odloženo",$W7&lt;&gt;"Zrušeno"),"Po termínu odevzdání. ","")&amp;IF(AND($W7="Schváleno",OR($X7="",$Y7="")),"Schváleno bez jména / data. ","")&amp;IF(OR($G7="",$H7="",$I7="",$F7=""),"Chybí zařazení (kategorie, typ, profil nebo měsíc). ","")&amp;IF(AND(OR($I7="Honza",$I7="Radek"),OR($J7="",$J7="Nevztahuje se")),"Doplnit charakter (osobní / pracovní). ","")&amp;IF(AND($W7="Schváleno",$AE7&gt;0),"Schváleno, ale má otevřené připomínky. ","")&amp;IF(AND($AA7="Publikováno",$AF7=0),"Publikováno bez záznamu v listu Publikace. ","")&amp;IF(AND($C7&lt;&gt;"",$D7=""),"Chybí číslo dílu série. ","")&amp;IF(AND($E7&lt;&gt;"",$W7&lt;&gt;"Schváleno",$W7&lt;&gt;"Odloženo",$W7&lt;&gt;"Zrušeno",IFERROR(VLOOKUP($E7,Nastavení!$A$30:$G$53,3,FALSE()),0)&gt;0,IFERROR(VLOOKUP($E7,Nastavení!$A$30:$G$53,3,FALSE()),0)&lt;TODAY()),"Neschváleno po termínu cyklu. ","")))</f>
        <v/>
      </c>
    </row>
    <row r="8" spans="1:35" ht="28" x14ac:dyDescent="0.2">
      <c r="A8" s="35" t="s">
        <v>201</v>
      </c>
      <c r="B8" s="11" t="s">
        <v>202</v>
      </c>
      <c r="C8" s="35" t="s">
        <v>195</v>
      </c>
      <c r="D8" s="35">
        <v>2</v>
      </c>
      <c r="E8" s="35" t="s">
        <v>45</v>
      </c>
      <c r="F8" s="35" t="s">
        <v>45</v>
      </c>
      <c r="G8" s="35" t="s">
        <v>196</v>
      </c>
      <c r="H8" s="35" t="s">
        <v>120</v>
      </c>
      <c r="I8" s="35" t="s">
        <v>78</v>
      </c>
      <c r="J8" s="35" t="s">
        <v>77</v>
      </c>
      <c r="K8" s="35" t="s">
        <v>165</v>
      </c>
      <c r="L8" s="35"/>
      <c r="M8" s="11" t="s">
        <v>203</v>
      </c>
      <c r="N8" s="11" t="s">
        <v>204</v>
      </c>
      <c r="O8" s="11" t="s">
        <v>179</v>
      </c>
      <c r="P8" s="11" t="s">
        <v>205</v>
      </c>
      <c r="Q8" s="11"/>
      <c r="R8" s="11"/>
      <c r="S8" s="11" t="s">
        <v>206</v>
      </c>
      <c r="T8" s="35" t="s">
        <v>172</v>
      </c>
      <c r="U8" s="36">
        <v>46329</v>
      </c>
      <c r="V8" s="11"/>
      <c r="W8" s="35" t="s">
        <v>207</v>
      </c>
      <c r="X8" s="35"/>
      <c r="Y8" s="36"/>
      <c r="Z8" s="11" t="s">
        <v>208</v>
      </c>
      <c r="AA8" s="35" t="s">
        <v>192</v>
      </c>
      <c r="AB8" s="36"/>
      <c r="AC8" s="35"/>
      <c r="AD8" s="35"/>
      <c r="AE8" s="37">
        <f>IF($A8="","",COUNTIFS(Připomínky!$A$4:$A$503,$A8,Připomínky!$J$4:$J$503,"Nevyřešeno"))</f>
        <v>0</v>
      </c>
      <c r="AF8" s="37">
        <f>IF($A8="","",COUNTIFS(Publikace!$A$4:$A$503,$A8))</f>
        <v>0</v>
      </c>
      <c r="AG8" s="38" t="str">
        <f>IF($A8="","",IF(AF8=0,"",_xlfn.MINIFS(Publikace!$E$4:$E$503,Publikace!$A$4:$A$503,$A8)))</f>
        <v/>
      </c>
      <c r="AH8" s="37" t="str">
        <f t="shared" si="0"/>
        <v/>
      </c>
      <c r="AI8" s="39" t="str">
        <f ca="1">IF($A8="","",TRIM(IF(AND($U8&lt;&gt;"",$U8&lt;TODAY(),$W8&lt;&gt;"Schváleno",$W8&lt;&gt;"Odloženo",$W8&lt;&gt;"Zrušeno"),"Po termínu odevzdání. ","")&amp;IF(AND($W8="Schváleno",OR($X8="",$Y8="")),"Schváleno bez jména / data. ","")&amp;IF(OR($G8="",$H8="",$I8="",$F8=""),"Chybí zařazení (kategorie, typ, profil nebo měsíc). ","")&amp;IF(AND(OR($I8="Honza",$I8="Radek"),OR($J8="",$J8="Nevztahuje se")),"Doplnit charakter (osobní / pracovní). ","")&amp;IF(AND($W8="Schváleno",$AE8&gt;0),"Schváleno, ale má otevřené připomínky. ","")&amp;IF(AND($AA8="Publikováno",$AF8=0),"Publikováno bez záznamu v listu Publikace. ","")&amp;IF(AND($C8&lt;&gt;"",$D8=""),"Chybí číslo dílu série. ","")&amp;IF(AND($E8&lt;&gt;"",$W8&lt;&gt;"Schváleno",$W8&lt;&gt;"Odloženo",$W8&lt;&gt;"Zrušeno",IFERROR(VLOOKUP($E8,Nastavení!$A$30:$G$53,3,FALSE()),0)&gt;0,IFERROR(VLOOKUP($E8,Nastavení!$A$30:$G$53,3,FALSE()),0)&lt;TODAY()),"Neschváleno po termínu cyklu. ","")))</f>
        <v/>
      </c>
    </row>
    <row r="9" spans="1:35" ht="28" x14ac:dyDescent="0.2">
      <c r="A9" s="35" t="s">
        <v>209</v>
      </c>
      <c r="B9" s="11" t="s">
        <v>210</v>
      </c>
      <c r="C9" s="35" t="s">
        <v>195</v>
      </c>
      <c r="D9" s="35">
        <v>3</v>
      </c>
      <c r="E9" s="35" t="s">
        <v>211</v>
      </c>
      <c r="F9" s="35" t="s">
        <v>211</v>
      </c>
      <c r="G9" s="35" t="s">
        <v>196</v>
      </c>
      <c r="H9" s="35" t="s">
        <v>162</v>
      </c>
      <c r="I9" s="35" t="s">
        <v>78</v>
      </c>
      <c r="J9" s="35" t="s">
        <v>77</v>
      </c>
      <c r="K9" s="35" t="s">
        <v>165</v>
      </c>
      <c r="L9" s="35"/>
      <c r="M9" s="11" t="s">
        <v>212</v>
      </c>
      <c r="N9" s="11" t="s">
        <v>213</v>
      </c>
      <c r="O9" s="11" t="s">
        <v>179</v>
      </c>
      <c r="P9" s="11" t="s">
        <v>214</v>
      </c>
      <c r="Q9" s="11"/>
      <c r="R9" s="11"/>
      <c r="S9" s="11" t="s">
        <v>200</v>
      </c>
      <c r="T9" s="35" t="s">
        <v>172</v>
      </c>
      <c r="U9" s="36">
        <v>46351</v>
      </c>
      <c r="V9" s="11"/>
      <c r="W9" s="35" t="s">
        <v>215</v>
      </c>
      <c r="X9" s="35"/>
      <c r="Y9" s="36"/>
      <c r="Z9" s="11"/>
      <c r="AA9" s="35"/>
      <c r="AB9" s="36"/>
      <c r="AC9" s="35"/>
      <c r="AD9" s="35"/>
      <c r="AE9" s="37">
        <f>IF($A9="","",COUNTIFS(Připomínky!$A$4:$A$503,$A9,Připomínky!$J$4:$J$503,"Nevyřešeno"))</f>
        <v>0</v>
      </c>
      <c r="AF9" s="37">
        <f>IF($A9="","",COUNTIFS(Publikace!$A$4:$A$503,$A9))</f>
        <v>0</v>
      </c>
      <c r="AG9" s="38" t="str">
        <f>IF($A9="","",IF(AF9=0,"",_xlfn.MINIFS(Publikace!$E$4:$E$503,Publikace!$A$4:$A$503,$A9)))</f>
        <v/>
      </c>
      <c r="AH9" s="37" t="str">
        <f t="shared" si="0"/>
        <v/>
      </c>
      <c r="AI9" s="39" t="str">
        <f ca="1">IF($A9="","",TRIM(IF(AND($U9&lt;&gt;"",$U9&lt;TODAY(),$W9&lt;&gt;"Schváleno",$W9&lt;&gt;"Odloženo",$W9&lt;&gt;"Zrušeno"),"Po termínu odevzdání. ","")&amp;IF(AND($W9="Schváleno",OR($X9="",$Y9="")),"Schváleno bez jména / data. ","")&amp;IF(OR($G9="",$H9="",$I9="",$F9=""),"Chybí zařazení (kategorie, typ, profil nebo měsíc). ","")&amp;IF(AND(OR($I9="Honza",$I9="Radek"),OR($J9="",$J9="Nevztahuje se")),"Doplnit charakter (osobní / pracovní). ","")&amp;IF(AND($W9="Schváleno",$AE9&gt;0),"Schváleno, ale má otevřené připomínky. ","")&amp;IF(AND($AA9="Publikováno",$AF9=0),"Publikováno bez záznamu v listu Publikace. ","")&amp;IF(AND($C9&lt;&gt;"",$D9=""),"Chybí číslo dílu série. ","")&amp;IF(AND($E9&lt;&gt;"",$W9&lt;&gt;"Schváleno",$W9&lt;&gt;"Odloženo",$W9&lt;&gt;"Zrušeno",IFERROR(VLOOKUP($E9,Nastavení!$A$30:$G$53,3,FALSE()),0)&gt;0,IFERROR(VLOOKUP($E9,Nastavení!$A$30:$G$53,3,FALSE()),0)&lt;TODAY()),"Neschváleno po termínu cyklu. ","")))</f>
        <v/>
      </c>
    </row>
    <row r="10" spans="1:35" ht="28" x14ac:dyDescent="0.2">
      <c r="A10" s="35" t="s">
        <v>216</v>
      </c>
      <c r="B10" s="11" t="s">
        <v>217</v>
      </c>
      <c r="C10" s="35"/>
      <c r="D10" s="35"/>
      <c r="E10" s="35" t="s">
        <v>45</v>
      </c>
      <c r="F10" s="35" t="s">
        <v>45</v>
      </c>
      <c r="G10" s="35" t="s">
        <v>176</v>
      </c>
      <c r="H10" s="35" t="s">
        <v>120</v>
      </c>
      <c r="I10" s="35" t="s">
        <v>78</v>
      </c>
      <c r="J10" s="35" t="s">
        <v>76</v>
      </c>
      <c r="K10" s="35" t="s">
        <v>165</v>
      </c>
      <c r="L10" s="35"/>
      <c r="M10" s="11" t="s">
        <v>218</v>
      </c>
      <c r="N10" s="11" t="s">
        <v>219</v>
      </c>
      <c r="O10" s="11" t="s">
        <v>179</v>
      </c>
      <c r="P10" s="11" t="s">
        <v>220</v>
      </c>
      <c r="Q10" s="11"/>
      <c r="R10" s="11"/>
      <c r="S10" s="11" t="s">
        <v>221</v>
      </c>
      <c r="T10" s="35" t="s">
        <v>182</v>
      </c>
      <c r="U10" s="36">
        <v>46315</v>
      </c>
      <c r="V10" s="11"/>
      <c r="W10" s="35" t="s">
        <v>207</v>
      </c>
      <c r="X10" s="35"/>
      <c r="Y10" s="36"/>
      <c r="Z10" s="11" t="s">
        <v>222</v>
      </c>
      <c r="AA10" s="35" t="s">
        <v>192</v>
      </c>
      <c r="AB10" s="36"/>
      <c r="AC10" s="35"/>
      <c r="AD10" s="35"/>
      <c r="AE10" s="37">
        <f>IF($A10="","",COUNTIFS(Připomínky!$A$4:$A$503,$A10,Připomínky!$J$4:$J$503,"Nevyřešeno"))</f>
        <v>1</v>
      </c>
      <c r="AF10" s="37">
        <f>IF($A10="","",COUNTIFS(Publikace!$A$4:$A$503,$A10))</f>
        <v>0</v>
      </c>
      <c r="AG10" s="38" t="str">
        <f>IF($A10="","",IF(AF10=0,"",_xlfn.MINIFS(Publikace!$E$4:$E$503,Publikace!$A$4:$A$503,$A10)))</f>
        <v/>
      </c>
      <c r="AH10" s="37" t="str">
        <f t="shared" si="0"/>
        <v/>
      </c>
      <c r="AI10" s="39" t="str">
        <f ca="1">IF($A10="","",TRIM(IF(AND($U10&lt;&gt;"",$U10&lt;TODAY(),$W10&lt;&gt;"Schváleno",$W10&lt;&gt;"Odloženo",$W10&lt;&gt;"Zrušeno"),"Po termínu odevzdání. ","")&amp;IF(AND($W10="Schváleno",OR($X10="",$Y10="")),"Schváleno bez jména / data. ","")&amp;IF(OR($G10="",$H10="",$I10="",$F10=""),"Chybí zařazení (kategorie, typ, profil nebo měsíc). ","")&amp;IF(AND(OR($I10="Honza",$I10="Radek"),OR($J10="",$J10="Nevztahuje se")),"Doplnit charakter (osobní / pracovní). ","")&amp;IF(AND($W10="Schváleno",$AE10&gt;0),"Schváleno, ale má otevřené připomínky. ","")&amp;IF(AND($AA10="Publikováno",$AF10=0),"Publikováno bez záznamu v listu Publikace. ","")&amp;IF(AND($C10&lt;&gt;"",$D10=""),"Chybí číslo dílu série. ","")&amp;IF(AND($E10&lt;&gt;"",$W10&lt;&gt;"Schváleno",$W10&lt;&gt;"Odloženo",$W10&lt;&gt;"Zrušeno",IFERROR(VLOOKUP($E10,Nastavení!$A$30:$G$53,3,FALSE()),0)&gt;0,IFERROR(VLOOKUP($E10,Nastavení!$A$30:$G$53,3,FALSE()),0)&lt;TODAY()),"Neschváleno po termínu cyklu. ","")))</f>
        <v>Po termínu odevzdání.</v>
      </c>
    </row>
    <row r="11" spans="1:35" ht="28" x14ac:dyDescent="0.2">
      <c r="A11" s="35" t="s">
        <v>223</v>
      </c>
      <c r="B11" s="11" t="s">
        <v>224</v>
      </c>
      <c r="C11" s="35"/>
      <c r="D11" s="35"/>
      <c r="E11" s="35" t="s">
        <v>45</v>
      </c>
      <c r="F11" s="35" t="s">
        <v>45</v>
      </c>
      <c r="G11" s="35" t="s">
        <v>161</v>
      </c>
      <c r="H11" s="35" t="s">
        <v>120</v>
      </c>
      <c r="I11" s="35" t="s">
        <v>163</v>
      </c>
      <c r="J11" s="35" t="s">
        <v>164</v>
      </c>
      <c r="K11" s="35" t="s">
        <v>165</v>
      </c>
      <c r="L11" s="35"/>
      <c r="M11" s="11" t="s">
        <v>225</v>
      </c>
      <c r="N11" s="11" t="s">
        <v>226</v>
      </c>
      <c r="O11" s="11" t="s">
        <v>179</v>
      </c>
      <c r="P11" s="11" t="s">
        <v>227</v>
      </c>
      <c r="Q11" s="11"/>
      <c r="R11" s="11"/>
      <c r="S11" s="11" t="s">
        <v>228</v>
      </c>
      <c r="T11" s="35" t="s">
        <v>182</v>
      </c>
      <c r="U11" s="36">
        <v>46329</v>
      </c>
      <c r="V11" s="11"/>
      <c r="W11" s="35" t="s">
        <v>229</v>
      </c>
      <c r="X11" s="35"/>
      <c r="Y11" s="36"/>
      <c r="Z11" s="11"/>
      <c r="AA11" s="35" t="s">
        <v>192</v>
      </c>
      <c r="AB11" s="36"/>
      <c r="AC11" s="35"/>
      <c r="AD11" s="35"/>
      <c r="AE11" s="37">
        <f>IF($A11="","",COUNTIFS(Připomínky!$A$4:$A$503,$A11,Připomínky!$J$4:$J$503,"Nevyřešeno"))</f>
        <v>0</v>
      </c>
      <c r="AF11" s="37">
        <f>IF($A11="","",COUNTIFS(Publikace!$A$4:$A$503,$A11))</f>
        <v>0</v>
      </c>
      <c r="AG11" s="38" t="str">
        <f>IF($A11="","",IF(AF11=0,"",_xlfn.MINIFS(Publikace!$E$4:$E$503,Publikace!$A$4:$A$503,$A11)))</f>
        <v/>
      </c>
      <c r="AH11" s="37" t="str">
        <f t="shared" si="0"/>
        <v/>
      </c>
      <c r="AI11" s="39" t="str">
        <f ca="1">IF($A11="","",TRIM(IF(AND($U11&lt;&gt;"",$U11&lt;TODAY(),$W11&lt;&gt;"Schváleno",$W11&lt;&gt;"Odloženo",$W11&lt;&gt;"Zrušeno"),"Po termínu odevzdání. ","")&amp;IF(AND($W11="Schváleno",OR($X11="",$Y11="")),"Schváleno bez jména / data. ","")&amp;IF(OR($G11="",$H11="",$I11="",$F11=""),"Chybí zařazení (kategorie, typ, profil nebo měsíc). ","")&amp;IF(AND(OR($I11="Honza",$I11="Radek"),OR($J11="",$J11="Nevztahuje se")),"Doplnit charakter (osobní / pracovní). ","")&amp;IF(AND($W11="Schváleno",$AE11&gt;0),"Schváleno, ale má otevřené připomínky. ","")&amp;IF(AND($AA11="Publikováno",$AF11=0),"Publikováno bez záznamu v listu Publikace. ","")&amp;IF(AND($C11&lt;&gt;"",$D11=""),"Chybí číslo dílu série. ","")&amp;IF(AND($E11&lt;&gt;"",$W11&lt;&gt;"Schváleno",$W11&lt;&gt;"Odloženo",$W11&lt;&gt;"Zrušeno",IFERROR(VLOOKUP($E11,Nastavení!$A$30:$G$53,3,FALSE()),0)&gt;0,IFERROR(VLOOKUP($E11,Nastavení!$A$30:$G$53,3,FALSE()),0)&lt;TODAY()),"Neschváleno po termínu cyklu. ","")))</f>
        <v/>
      </c>
    </row>
    <row r="12" spans="1:35" ht="28" x14ac:dyDescent="0.2">
      <c r="A12" s="35" t="s">
        <v>230</v>
      </c>
      <c r="B12" s="11" t="s">
        <v>231</v>
      </c>
      <c r="C12" s="35"/>
      <c r="D12" s="35"/>
      <c r="E12" s="35" t="s">
        <v>45</v>
      </c>
      <c r="F12" s="35" t="s">
        <v>45</v>
      </c>
      <c r="G12" s="35" t="s">
        <v>176</v>
      </c>
      <c r="H12" s="35" t="s">
        <v>120</v>
      </c>
      <c r="I12" s="35" t="s">
        <v>75</v>
      </c>
      <c r="J12" s="35" t="s">
        <v>76</v>
      </c>
      <c r="K12" s="35" t="s">
        <v>165</v>
      </c>
      <c r="L12" s="35"/>
      <c r="M12" s="11" t="s">
        <v>232</v>
      </c>
      <c r="N12" s="11" t="s">
        <v>233</v>
      </c>
      <c r="O12" s="11" t="s">
        <v>179</v>
      </c>
      <c r="P12" s="11" t="s">
        <v>234</v>
      </c>
      <c r="Q12" s="11"/>
      <c r="R12" s="11"/>
      <c r="S12" s="11" t="s">
        <v>235</v>
      </c>
      <c r="T12" s="35" t="s">
        <v>182</v>
      </c>
      <c r="U12" s="36">
        <v>46329</v>
      </c>
      <c r="V12" s="11"/>
      <c r="W12" s="35" t="s">
        <v>59</v>
      </c>
      <c r="X12" s="35" t="s">
        <v>75</v>
      </c>
      <c r="Y12" s="36">
        <v>46330</v>
      </c>
      <c r="Z12" s="11"/>
      <c r="AA12" s="35" t="s">
        <v>192</v>
      </c>
      <c r="AB12" s="36"/>
      <c r="AC12" s="35"/>
      <c r="AD12" s="35"/>
      <c r="AE12" s="37">
        <f>IF($A12="","",COUNTIFS(Připomínky!$A$4:$A$503,$A12,Připomínky!$J$4:$J$503,"Nevyřešeno"))</f>
        <v>0</v>
      </c>
      <c r="AF12" s="37">
        <f>IF($A12="","",COUNTIFS(Publikace!$A$4:$A$503,$A12))</f>
        <v>0</v>
      </c>
      <c r="AG12" s="38" t="str">
        <f>IF($A12="","",IF(AF12=0,"",_xlfn.MINIFS(Publikace!$E$4:$E$503,Publikace!$A$4:$A$503,$A12)))</f>
        <v/>
      </c>
      <c r="AH12" s="37" t="str">
        <f t="shared" si="0"/>
        <v/>
      </c>
      <c r="AI12" s="39" t="str">
        <f ca="1">IF($A12="","",TRIM(IF(AND($U12&lt;&gt;"",$U12&lt;TODAY(),$W12&lt;&gt;"Schváleno",$W12&lt;&gt;"Odloženo",$W12&lt;&gt;"Zrušeno"),"Po termínu odevzdání. ","")&amp;IF(AND($W12="Schváleno",OR($X12="",$Y12="")),"Schváleno bez jména / data. ","")&amp;IF(OR($G12="",$H12="",$I12="",$F12=""),"Chybí zařazení (kategorie, typ, profil nebo měsíc). ","")&amp;IF(AND(OR($I12="Honza",$I12="Radek"),OR($J12="",$J12="Nevztahuje se")),"Doplnit charakter (osobní / pracovní). ","")&amp;IF(AND($W12="Schváleno",$AE12&gt;0),"Schváleno, ale má otevřené připomínky. ","")&amp;IF(AND($AA12="Publikováno",$AF12=0),"Publikováno bez záznamu v listu Publikace. ","")&amp;IF(AND($C12&lt;&gt;"",$D12=""),"Chybí číslo dílu série. ","")&amp;IF(AND($E12&lt;&gt;"",$W12&lt;&gt;"Schváleno",$W12&lt;&gt;"Odloženo",$W12&lt;&gt;"Zrušeno",IFERROR(VLOOKUP($E12,Nastavení!$A$30:$G$53,3,FALSE()),0)&gt;0,IFERROR(VLOOKUP($E12,Nastavení!$A$30:$G$53,3,FALSE()),0)&lt;TODAY()),"Neschváleno po termínu cyklu. ","")))</f>
        <v/>
      </c>
    </row>
    <row r="13" spans="1:35" ht="28" x14ac:dyDescent="0.2">
      <c r="A13" s="35" t="s">
        <v>236</v>
      </c>
      <c r="B13" s="11" t="s">
        <v>237</v>
      </c>
      <c r="C13" s="35"/>
      <c r="D13" s="35"/>
      <c r="E13" s="35" t="s">
        <v>45</v>
      </c>
      <c r="F13" s="35" t="s">
        <v>45</v>
      </c>
      <c r="G13" s="35" t="s">
        <v>161</v>
      </c>
      <c r="H13" s="35" t="s">
        <v>120</v>
      </c>
      <c r="I13" s="35" t="s">
        <v>75</v>
      </c>
      <c r="J13" s="35" t="s">
        <v>77</v>
      </c>
      <c r="K13" s="35" t="s">
        <v>238</v>
      </c>
      <c r="L13" s="35" t="s">
        <v>158</v>
      </c>
      <c r="M13" s="11" t="s">
        <v>239</v>
      </c>
      <c r="N13" s="11" t="s">
        <v>240</v>
      </c>
      <c r="O13" s="11" t="s">
        <v>241</v>
      </c>
      <c r="P13" s="11" t="s">
        <v>242</v>
      </c>
      <c r="Q13" s="11"/>
      <c r="R13" s="11"/>
      <c r="S13" s="11" t="s">
        <v>243</v>
      </c>
      <c r="T13" s="35" t="s">
        <v>172</v>
      </c>
      <c r="U13" s="36">
        <v>46329</v>
      </c>
      <c r="V13" s="11"/>
      <c r="W13" s="35" t="s">
        <v>59</v>
      </c>
      <c r="X13" s="35" t="s">
        <v>75</v>
      </c>
      <c r="Y13" s="36">
        <v>46331</v>
      </c>
      <c r="Z13" s="11"/>
      <c r="AA13" s="35" t="s">
        <v>244</v>
      </c>
      <c r="AB13" s="36"/>
      <c r="AC13" s="35"/>
      <c r="AD13" s="35"/>
      <c r="AE13" s="37">
        <f>IF($A13="","",COUNTIFS(Připomínky!$A$4:$A$503,$A13,Připomínky!$J$4:$J$503,"Nevyřešeno"))</f>
        <v>0</v>
      </c>
      <c r="AF13" s="37">
        <f>IF($A13="","",COUNTIFS(Publikace!$A$4:$A$503,$A13))</f>
        <v>0</v>
      </c>
      <c r="AG13" s="38" t="str">
        <f>IF($A13="","",IF(AF13=0,"",_xlfn.MINIFS(Publikace!$E$4:$E$503,Publikace!$A$4:$A$503,$A13)))</f>
        <v/>
      </c>
      <c r="AH13" s="37" t="str">
        <f t="shared" si="0"/>
        <v/>
      </c>
      <c r="AI13" s="39" t="str">
        <f ca="1">IF($A13="","",TRIM(IF(AND($U13&lt;&gt;"",$U13&lt;TODAY(),$W13&lt;&gt;"Schváleno",$W13&lt;&gt;"Odloženo",$W13&lt;&gt;"Zrušeno"),"Po termínu odevzdání. ","")&amp;IF(AND($W13="Schváleno",OR($X13="",$Y13="")),"Schváleno bez jména / data. ","")&amp;IF(OR($G13="",$H13="",$I13="",$F13=""),"Chybí zařazení (kategorie, typ, profil nebo měsíc). ","")&amp;IF(AND(OR($I13="Honza",$I13="Radek"),OR($J13="",$J13="Nevztahuje se")),"Doplnit charakter (osobní / pracovní). ","")&amp;IF(AND($W13="Schváleno",$AE13&gt;0),"Schváleno, ale má otevřené připomínky. ","")&amp;IF(AND($AA13="Publikováno",$AF13=0),"Publikováno bez záznamu v listu Publikace. ","")&amp;IF(AND($C13&lt;&gt;"",$D13=""),"Chybí číslo dílu série. ","")&amp;IF(AND($E13&lt;&gt;"",$W13&lt;&gt;"Schváleno",$W13&lt;&gt;"Odloženo",$W13&lt;&gt;"Zrušeno",IFERROR(VLOOKUP($E13,Nastavení!$A$30:$G$53,3,FALSE()),0)&gt;0,IFERROR(VLOOKUP($E13,Nastavení!$A$30:$G$53,3,FALSE()),0)&lt;TODAY()),"Neschváleno po termínu cyklu. ","")))</f>
        <v/>
      </c>
    </row>
    <row r="14" spans="1:35" x14ac:dyDescent="0.2">
      <c r="A14" s="35"/>
      <c r="B14" s="11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11"/>
      <c r="N14" s="11"/>
      <c r="O14" s="11"/>
      <c r="P14" s="11"/>
      <c r="Q14" s="11"/>
      <c r="R14" s="11"/>
      <c r="S14" s="11"/>
      <c r="T14" s="35"/>
      <c r="U14" s="36"/>
      <c r="V14" s="11"/>
      <c r="W14" s="35"/>
      <c r="X14" s="35"/>
      <c r="Y14" s="36"/>
      <c r="Z14" s="11"/>
      <c r="AA14" s="35"/>
      <c r="AB14" s="36"/>
      <c r="AC14" s="35"/>
      <c r="AD14" s="35"/>
      <c r="AE14" s="37" t="str">
        <f>IF($A14="","",COUNTIFS(Připomínky!$A$4:$A$503,$A14,Připomínky!$J$4:$J$503,"Nevyřešeno"))</f>
        <v/>
      </c>
      <c r="AF14" s="37" t="str">
        <f>IF($A14="","",COUNTIFS(Publikace!$A$4:$A$503,$A14))</f>
        <v/>
      </c>
      <c r="AG14" s="38" t="str">
        <f>IF($A14="","",IF(AF14=0,"",_xlfn.MINIFS(Publikace!$E$4:$E$503,Publikace!$A$4:$A$503,$A14)))</f>
        <v/>
      </c>
      <c r="AH14" s="37" t="str">
        <f t="shared" si="0"/>
        <v/>
      </c>
      <c r="AI14" s="39" t="str">
        <f ca="1">IF($A14="","",TRIM(IF(AND($U14&lt;&gt;"",$U14&lt;TODAY(),$W14&lt;&gt;"Schváleno",$W14&lt;&gt;"Odloženo",$W14&lt;&gt;"Zrušeno"),"Po termínu odevzdání. ","")&amp;IF(AND($W14="Schváleno",OR($X14="",$Y14="")),"Schváleno bez jména / data. ","")&amp;IF(OR($G14="",$H14="",$I14="",$F14=""),"Chybí zařazení (kategorie, typ, profil nebo měsíc). ","")&amp;IF(AND(OR($I14="Honza",$I14="Radek"),OR($J14="",$J14="Nevztahuje se")),"Doplnit charakter (osobní / pracovní). ","")&amp;IF(AND($W14="Schváleno",$AE14&gt;0),"Schváleno, ale má otevřené připomínky. ","")&amp;IF(AND($AA14="Publikováno",$AF14=0),"Publikováno bez záznamu v listu Publikace. ","")&amp;IF(AND($C14&lt;&gt;"",$D14=""),"Chybí číslo dílu série. ","")&amp;IF(AND($E14&lt;&gt;"",$W14&lt;&gt;"Schváleno",$W14&lt;&gt;"Odloženo",$W14&lt;&gt;"Zrušeno",IFERROR(VLOOKUP($E14,Nastavení!$A$30:$G$53,3,FALSE()),0)&gt;0,IFERROR(VLOOKUP($E14,Nastavení!$A$30:$G$53,3,FALSE()),0)&lt;TODAY()),"Neschváleno po termínu cyklu. ","")))</f>
        <v/>
      </c>
    </row>
    <row r="15" spans="1:35" x14ac:dyDescent="0.2">
      <c r="A15" s="35"/>
      <c r="B15" s="11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11"/>
      <c r="N15" s="11"/>
      <c r="O15" s="11"/>
      <c r="P15" s="11"/>
      <c r="Q15" s="11"/>
      <c r="R15" s="11"/>
      <c r="S15" s="11"/>
      <c r="T15" s="35"/>
      <c r="U15" s="36"/>
      <c r="V15" s="11"/>
      <c r="W15" s="35"/>
      <c r="X15" s="35"/>
      <c r="Y15" s="36"/>
      <c r="Z15" s="11"/>
      <c r="AA15" s="35"/>
      <c r="AB15" s="36"/>
      <c r="AC15" s="35"/>
      <c r="AD15" s="35"/>
      <c r="AE15" s="37" t="str">
        <f>IF($A15="","",COUNTIFS(Připomínky!$A$4:$A$503,$A15,Připomínky!$J$4:$J$503,"Nevyřešeno"))</f>
        <v/>
      </c>
      <c r="AF15" s="37" t="str">
        <f>IF($A15="","",COUNTIFS(Publikace!$A$4:$A$503,$A15))</f>
        <v/>
      </c>
      <c r="AG15" s="38" t="str">
        <f>IF($A15="","",IF(AF15=0,"",_xlfn.MINIFS(Publikace!$E$4:$E$503,Publikace!$A$4:$A$503,$A15)))</f>
        <v/>
      </c>
      <c r="AH15" s="37" t="str">
        <f t="shared" si="0"/>
        <v/>
      </c>
      <c r="AI15" s="39" t="str">
        <f ca="1">IF($A15="","",TRIM(IF(AND($U15&lt;&gt;"",$U15&lt;TODAY(),$W15&lt;&gt;"Schváleno",$W15&lt;&gt;"Odloženo",$W15&lt;&gt;"Zrušeno"),"Po termínu odevzdání. ","")&amp;IF(AND($W15="Schváleno",OR($X15="",$Y15="")),"Schváleno bez jména / data. ","")&amp;IF(OR($G15="",$H15="",$I15="",$F15=""),"Chybí zařazení (kategorie, typ, profil nebo měsíc). ","")&amp;IF(AND(OR($I15="Honza",$I15="Radek"),OR($J15="",$J15="Nevztahuje se")),"Doplnit charakter (osobní / pracovní). ","")&amp;IF(AND($W15="Schváleno",$AE15&gt;0),"Schváleno, ale má otevřené připomínky. ","")&amp;IF(AND($AA15="Publikováno",$AF15=0),"Publikováno bez záznamu v listu Publikace. ","")&amp;IF(AND($C15&lt;&gt;"",$D15=""),"Chybí číslo dílu série. ","")&amp;IF(AND($E15&lt;&gt;"",$W15&lt;&gt;"Schváleno",$W15&lt;&gt;"Odloženo",$W15&lt;&gt;"Zrušeno",IFERROR(VLOOKUP($E15,Nastavení!$A$30:$G$53,3,FALSE()),0)&gt;0,IFERROR(VLOOKUP($E15,Nastavení!$A$30:$G$53,3,FALSE()),0)&lt;TODAY()),"Neschváleno po termínu cyklu. ","")))</f>
        <v/>
      </c>
    </row>
    <row r="16" spans="1:35" x14ac:dyDescent="0.2">
      <c r="A16" s="35"/>
      <c r="B16" s="11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11"/>
      <c r="N16" s="11"/>
      <c r="O16" s="11"/>
      <c r="P16" s="11"/>
      <c r="Q16" s="11"/>
      <c r="R16" s="11"/>
      <c r="S16" s="11"/>
      <c r="T16" s="35"/>
      <c r="U16" s="36"/>
      <c r="V16" s="11"/>
      <c r="W16" s="35"/>
      <c r="X16" s="35"/>
      <c r="Y16" s="36"/>
      <c r="Z16" s="11"/>
      <c r="AA16" s="35"/>
      <c r="AB16" s="36"/>
      <c r="AC16" s="35"/>
      <c r="AD16" s="35"/>
      <c r="AE16" s="37" t="str">
        <f>IF($A16="","",COUNTIFS(Připomínky!$A$4:$A$503,$A16,Připomínky!$J$4:$J$503,"Nevyřešeno"))</f>
        <v/>
      </c>
      <c r="AF16" s="37" t="str">
        <f>IF($A16="","",COUNTIFS(Publikace!$A$4:$A$503,$A16))</f>
        <v/>
      </c>
      <c r="AG16" s="38" t="str">
        <f>IF($A16="","",IF(AF16=0,"",_xlfn.MINIFS(Publikace!$E$4:$E$503,Publikace!$A$4:$A$503,$A16)))</f>
        <v/>
      </c>
      <c r="AH16" s="37" t="str">
        <f t="shared" si="0"/>
        <v/>
      </c>
      <c r="AI16" s="39" t="str">
        <f ca="1">IF($A16="","",TRIM(IF(AND($U16&lt;&gt;"",$U16&lt;TODAY(),$W16&lt;&gt;"Schváleno",$W16&lt;&gt;"Odloženo",$W16&lt;&gt;"Zrušeno"),"Po termínu odevzdání. ","")&amp;IF(AND($W16="Schváleno",OR($X16="",$Y16="")),"Schváleno bez jména / data. ","")&amp;IF(OR($G16="",$H16="",$I16="",$F16=""),"Chybí zařazení (kategorie, typ, profil nebo měsíc). ","")&amp;IF(AND(OR($I16="Honza",$I16="Radek"),OR($J16="",$J16="Nevztahuje se")),"Doplnit charakter (osobní / pracovní). ","")&amp;IF(AND($W16="Schváleno",$AE16&gt;0),"Schváleno, ale má otevřené připomínky. ","")&amp;IF(AND($AA16="Publikováno",$AF16=0),"Publikováno bez záznamu v listu Publikace. ","")&amp;IF(AND($C16&lt;&gt;"",$D16=""),"Chybí číslo dílu série. ","")&amp;IF(AND($E16&lt;&gt;"",$W16&lt;&gt;"Schváleno",$W16&lt;&gt;"Odloženo",$W16&lt;&gt;"Zrušeno",IFERROR(VLOOKUP($E16,Nastavení!$A$30:$G$53,3,FALSE()),0)&gt;0,IFERROR(VLOOKUP($E16,Nastavení!$A$30:$G$53,3,FALSE()),0)&lt;TODAY()),"Neschváleno po termínu cyklu. ","")))</f>
        <v/>
      </c>
    </row>
    <row r="17" spans="1:35" x14ac:dyDescent="0.2">
      <c r="A17" s="35"/>
      <c r="B17" s="11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11"/>
      <c r="N17" s="11"/>
      <c r="O17" s="11"/>
      <c r="P17" s="11"/>
      <c r="Q17" s="11"/>
      <c r="R17" s="11"/>
      <c r="S17" s="11"/>
      <c r="T17" s="35"/>
      <c r="U17" s="36"/>
      <c r="V17" s="11"/>
      <c r="W17" s="35"/>
      <c r="X17" s="35"/>
      <c r="Y17" s="36"/>
      <c r="Z17" s="11"/>
      <c r="AA17" s="35"/>
      <c r="AB17" s="36"/>
      <c r="AC17" s="35"/>
      <c r="AD17" s="35"/>
      <c r="AE17" s="37" t="str">
        <f>IF($A17="","",COUNTIFS(Připomínky!$A$4:$A$503,$A17,Připomínky!$J$4:$J$503,"Nevyřešeno"))</f>
        <v/>
      </c>
      <c r="AF17" s="37" t="str">
        <f>IF($A17="","",COUNTIFS(Publikace!$A$4:$A$503,$A17))</f>
        <v/>
      </c>
      <c r="AG17" s="38" t="str">
        <f>IF($A17="","",IF(AF17=0,"",_xlfn.MINIFS(Publikace!$E$4:$E$503,Publikace!$A$4:$A$503,$A17)))</f>
        <v/>
      </c>
      <c r="AH17" s="37" t="str">
        <f t="shared" si="0"/>
        <v/>
      </c>
      <c r="AI17" s="39" t="str">
        <f ca="1">IF($A17="","",TRIM(IF(AND($U17&lt;&gt;"",$U17&lt;TODAY(),$W17&lt;&gt;"Schváleno",$W17&lt;&gt;"Odloženo",$W17&lt;&gt;"Zrušeno"),"Po termínu odevzdání. ","")&amp;IF(AND($W17="Schváleno",OR($X17="",$Y17="")),"Schváleno bez jména / data. ","")&amp;IF(OR($G17="",$H17="",$I17="",$F17=""),"Chybí zařazení (kategorie, typ, profil nebo měsíc). ","")&amp;IF(AND(OR($I17="Honza",$I17="Radek"),OR($J17="",$J17="Nevztahuje se")),"Doplnit charakter (osobní / pracovní). ","")&amp;IF(AND($W17="Schváleno",$AE17&gt;0),"Schváleno, ale má otevřené připomínky. ","")&amp;IF(AND($AA17="Publikováno",$AF17=0),"Publikováno bez záznamu v listu Publikace. ","")&amp;IF(AND($C17&lt;&gt;"",$D17=""),"Chybí číslo dílu série. ","")&amp;IF(AND($E17&lt;&gt;"",$W17&lt;&gt;"Schváleno",$W17&lt;&gt;"Odloženo",$W17&lt;&gt;"Zrušeno",IFERROR(VLOOKUP($E17,Nastavení!$A$30:$G$53,3,FALSE()),0)&gt;0,IFERROR(VLOOKUP($E17,Nastavení!$A$30:$G$53,3,FALSE()),0)&lt;TODAY()),"Neschváleno po termínu cyklu. ","")))</f>
        <v/>
      </c>
    </row>
    <row r="18" spans="1:35" x14ac:dyDescent="0.2">
      <c r="A18" s="35"/>
      <c r="B18" s="11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11"/>
      <c r="N18" s="11"/>
      <c r="O18" s="11"/>
      <c r="P18" s="11"/>
      <c r="Q18" s="11"/>
      <c r="R18" s="11"/>
      <c r="S18" s="11"/>
      <c r="T18" s="35"/>
      <c r="U18" s="36"/>
      <c r="V18" s="11"/>
      <c r="W18" s="35"/>
      <c r="X18" s="35"/>
      <c r="Y18" s="36"/>
      <c r="Z18" s="11"/>
      <c r="AA18" s="35"/>
      <c r="AB18" s="36"/>
      <c r="AC18" s="35"/>
      <c r="AD18" s="35"/>
      <c r="AE18" s="37" t="str">
        <f>IF($A18="","",COUNTIFS(Připomínky!$A$4:$A$503,$A18,Připomínky!$J$4:$J$503,"Nevyřešeno"))</f>
        <v/>
      </c>
      <c r="AF18" s="37" t="str">
        <f>IF($A18="","",COUNTIFS(Publikace!$A$4:$A$503,$A18))</f>
        <v/>
      </c>
      <c r="AG18" s="38" t="str">
        <f>IF($A18="","",IF(AF18=0,"",_xlfn.MINIFS(Publikace!$E$4:$E$503,Publikace!$A$4:$A$503,$A18)))</f>
        <v/>
      </c>
      <c r="AH18" s="37" t="str">
        <f t="shared" si="0"/>
        <v/>
      </c>
      <c r="AI18" s="39" t="str">
        <f ca="1">IF($A18="","",TRIM(IF(AND($U18&lt;&gt;"",$U18&lt;TODAY(),$W18&lt;&gt;"Schváleno",$W18&lt;&gt;"Odloženo",$W18&lt;&gt;"Zrušeno"),"Po termínu odevzdání. ","")&amp;IF(AND($W18="Schváleno",OR($X18="",$Y18="")),"Schváleno bez jména / data. ","")&amp;IF(OR($G18="",$H18="",$I18="",$F18=""),"Chybí zařazení (kategorie, typ, profil nebo měsíc). ","")&amp;IF(AND(OR($I18="Honza",$I18="Radek"),OR($J18="",$J18="Nevztahuje se")),"Doplnit charakter (osobní / pracovní). ","")&amp;IF(AND($W18="Schváleno",$AE18&gt;0),"Schváleno, ale má otevřené připomínky. ","")&amp;IF(AND($AA18="Publikováno",$AF18=0),"Publikováno bez záznamu v listu Publikace. ","")&amp;IF(AND($C18&lt;&gt;"",$D18=""),"Chybí číslo dílu série. ","")&amp;IF(AND($E18&lt;&gt;"",$W18&lt;&gt;"Schváleno",$W18&lt;&gt;"Odloženo",$W18&lt;&gt;"Zrušeno",IFERROR(VLOOKUP($E18,Nastavení!$A$30:$G$53,3,FALSE()),0)&gt;0,IFERROR(VLOOKUP($E18,Nastavení!$A$30:$G$53,3,FALSE()),0)&lt;TODAY()),"Neschváleno po termínu cyklu. ","")))</f>
        <v/>
      </c>
    </row>
    <row r="19" spans="1:35" x14ac:dyDescent="0.2">
      <c r="A19" s="35"/>
      <c r="B19" s="11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11"/>
      <c r="N19" s="11"/>
      <c r="O19" s="11"/>
      <c r="P19" s="11"/>
      <c r="Q19" s="11"/>
      <c r="R19" s="11"/>
      <c r="S19" s="11"/>
      <c r="T19" s="35"/>
      <c r="U19" s="36"/>
      <c r="V19" s="11"/>
      <c r="W19" s="35"/>
      <c r="X19" s="35"/>
      <c r="Y19" s="36"/>
      <c r="Z19" s="11"/>
      <c r="AA19" s="35"/>
      <c r="AB19" s="36"/>
      <c r="AC19" s="35"/>
      <c r="AD19" s="35"/>
      <c r="AE19" s="37" t="str">
        <f>IF($A19="","",COUNTIFS(Připomínky!$A$4:$A$503,$A19,Připomínky!$J$4:$J$503,"Nevyřešeno"))</f>
        <v/>
      </c>
      <c r="AF19" s="37" t="str">
        <f>IF($A19="","",COUNTIFS(Publikace!$A$4:$A$503,$A19))</f>
        <v/>
      </c>
      <c r="AG19" s="38" t="str">
        <f>IF($A19="","",IF(AF19=0,"",_xlfn.MINIFS(Publikace!$E$4:$E$503,Publikace!$A$4:$A$503,$A19)))</f>
        <v/>
      </c>
      <c r="AH19" s="37" t="str">
        <f t="shared" si="0"/>
        <v/>
      </c>
      <c r="AI19" s="39" t="str">
        <f ca="1">IF($A19="","",TRIM(IF(AND($U19&lt;&gt;"",$U19&lt;TODAY(),$W19&lt;&gt;"Schváleno",$W19&lt;&gt;"Odloženo",$W19&lt;&gt;"Zrušeno"),"Po termínu odevzdání. ","")&amp;IF(AND($W19="Schváleno",OR($X19="",$Y19="")),"Schváleno bez jména / data. ","")&amp;IF(OR($G19="",$H19="",$I19="",$F19=""),"Chybí zařazení (kategorie, typ, profil nebo měsíc). ","")&amp;IF(AND(OR($I19="Honza",$I19="Radek"),OR($J19="",$J19="Nevztahuje se")),"Doplnit charakter (osobní / pracovní). ","")&amp;IF(AND($W19="Schváleno",$AE19&gt;0),"Schváleno, ale má otevřené připomínky. ","")&amp;IF(AND($AA19="Publikováno",$AF19=0),"Publikováno bez záznamu v listu Publikace. ","")&amp;IF(AND($C19&lt;&gt;"",$D19=""),"Chybí číslo dílu série. ","")&amp;IF(AND($E19&lt;&gt;"",$W19&lt;&gt;"Schváleno",$W19&lt;&gt;"Odloženo",$W19&lt;&gt;"Zrušeno",IFERROR(VLOOKUP($E19,Nastavení!$A$30:$G$53,3,FALSE()),0)&gt;0,IFERROR(VLOOKUP($E19,Nastavení!$A$30:$G$53,3,FALSE()),0)&lt;TODAY()),"Neschváleno po termínu cyklu. ","")))</f>
        <v/>
      </c>
    </row>
    <row r="20" spans="1:35" x14ac:dyDescent="0.2">
      <c r="A20" s="35"/>
      <c r="B20" s="11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11"/>
      <c r="N20" s="11"/>
      <c r="O20" s="11"/>
      <c r="P20" s="11"/>
      <c r="Q20" s="11"/>
      <c r="R20" s="11"/>
      <c r="S20" s="11"/>
      <c r="T20" s="35"/>
      <c r="U20" s="36"/>
      <c r="V20" s="11"/>
      <c r="W20" s="35"/>
      <c r="X20" s="35"/>
      <c r="Y20" s="36"/>
      <c r="Z20" s="11"/>
      <c r="AA20" s="35"/>
      <c r="AB20" s="36"/>
      <c r="AC20" s="35"/>
      <c r="AD20" s="35"/>
      <c r="AE20" s="37" t="str">
        <f>IF($A20="","",COUNTIFS(Připomínky!$A$4:$A$503,$A20,Připomínky!$J$4:$J$503,"Nevyřešeno"))</f>
        <v/>
      </c>
      <c r="AF20" s="37" t="str">
        <f>IF($A20="","",COUNTIFS(Publikace!$A$4:$A$503,$A20))</f>
        <v/>
      </c>
      <c r="AG20" s="38" t="str">
        <f>IF($A20="","",IF(AF20=0,"",_xlfn.MINIFS(Publikace!$E$4:$E$503,Publikace!$A$4:$A$503,$A20)))</f>
        <v/>
      </c>
      <c r="AH20" s="37" t="str">
        <f t="shared" si="0"/>
        <v/>
      </c>
      <c r="AI20" s="39" t="str">
        <f ca="1">IF($A20="","",TRIM(IF(AND($U20&lt;&gt;"",$U20&lt;TODAY(),$W20&lt;&gt;"Schváleno",$W20&lt;&gt;"Odloženo",$W20&lt;&gt;"Zrušeno"),"Po termínu odevzdání. ","")&amp;IF(AND($W20="Schváleno",OR($X20="",$Y20="")),"Schváleno bez jména / data. ","")&amp;IF(OR($G20="",$H20="",$I20="",$F20=""),"Chybí zařazení (kategorie, typ, profil nebo měsíc). ","")&amp;IF(AND(OR($I20="Honza",$I20="Radek"),OR($J20="",$J20="Nevztahuje se")),"Doplnit charakter (osobní / pracovní). ","")&amp;IF(AND($W20="Schváleno",$AE20&gt;0),"Schváleno, ale má otevřené připomínky. ","")&amp;IF(AND($AA20="Publikováno",$AF20=0),"Publikováno bez záznamu v listu Publikace. ","")&amp;IF(AND($C20&lt;&gt;"",$D20=""),"Chybí číslo dílu série. ","")&amp;IF(AND($E20&lt;&gt;"",$W20&lt;&gt;"Schváleno",$W20&lt;&gt;"Odloženo",$W20&lt;&gt;"Zrušeno",IFERROR(VLOOKUP($E20,Nastavení!$A$30:$G$53,3,FALSE()),0)&gt;0,IFERROR(VLOOKUP($E20,Nastavení!$A$30:$G$53,3,FALSE()),0)&lt;TODAY()),"Neschváleno po termínu cyklu. ","")))</f>
        <v/>
      </c>
    </row>
    <row r="21" spans="1:35" x14ac:dyDescent="0.2">
      <c r="A21" s="35"/>
      <c r="B21" s="11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11"/>
      <c r="N21" s="11"/>
      <c r="O21" s="11"/>
      <c r="P21" s="11"/>
      <c r="Q21" s="11"/>
      <c r="R21" s="11"/>
      <c r="S21" s="11"/>
      <c r="T21" s="35"/>
      <c r="U21" s="36"/>
      <c r="V21" s="11"/>
      <c r="W21" s="35"/>
      <c r="X21" s="35"/>
      <c r="Y21" s="36"/>
      <c r="Z21" s="11"/>
      <c r="AA21" s="35"/>
      <c r="AB21" s="36"/>
      <c r="AC21" s="35"/>
      <c r="AD21" s="35"/>
      <c r="AE21" s="37" t="str">
        <f>IF($A21="","",COUNTIFS(Připomínky!$A$4:$A$503,$A21,Připomínky!$J$4:$J$503,"Nevyřešeno"))</f>
        <v/>
      </c>
      <c r="AF21" s="37" t="str">
        <f>IF($A21="","",COUNTIFS(Publikace!$A$4:$A$503,$A21))</f>
        <v/>
      </c>
      <c r="AG21" s="38" t="str">
        <f>IF($A21="","",IF(AF21=0,"",_xlfn.MINIFS(Publikace!$E$4:$E$503,Publikace!$A$4:$A$503,$A21)))</f>
        <v/>
      </c>
      <c r="AH21" s="37" t="str">
        <f t="shared" si="0"/>
        <v/>
      </c>
      <c r="AI21" s="39" t="str">
        <f ca="1">IF($A21="","",TRIM(IF(AND($U21&lt;&gt;"",$U21&lt;TODAY(),$W21&lt;&gt;"Schváleno",$W21&lt;&gt;"Odloženo",$W21&lt;&gt;"Zrušeno"),"Po termínu odevzdání. ","")&amp;IF(AND($W21="Schváleno",OR($X21="",$Y21="")),"Schváleno bez jména / data. ","")&amp;IF(OR($G21="",$H21="",$I21="",$F21=""),"Chybí zařazení (kategorie, typ, profil nebo měsíc). ","")&amp;IF(AND(OR($I21="Honza",$I21="Radek"),OR($J21="",$J21="Nevztahuje se")),"Doplnit charakter (osobní / pracovní). ","")&amp;IF(AND($W21="Schváleno",$AE21&gt;0),"Schváleno, ale má otevřené připomínky. ","")&amp;IF(AND($AA21="Publikováno",$AF21=0),"Publikováno bez záznamu v listu Publikace. ","")&amp;IF(AND($C21&lt;&gt;"",$D21=""),"Chybí číslo dílu série. ","")&amp;IF(AND($E21&lt;&gt;"",$W21&lt;&gt;"Schváleno",$W21&lt;&gt;"Odloženo",$W21&lt;&gt;"Zrušeno",IFERROR(VLOOKUP($E21,Nastavení!$A$30:$G$53,3,FALSE()),0)&gt;0,IFERROR(VLOOKUP($E21,Nastavení!$A$30:$G$53,3,FALSE()),0)&lt;TODAY()),"Neschváleno po termínu cyklu. ","")))</f>
        <v/>
      </c>
    </row>
    <row r="22" spans="1:35" x14ac:dyDescent="0.2">
      <c r="A22" s="35"/>
      <c r="B22" s="11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11"/>
      <c r="N22" s="11"/>
      <c r="O22" s="11"/>
      <c r="P22" s="11"/>
      <c r="Q22" s="11"/>
      <c r="R22" s="11"/>
      <c r="S22" s="11"/>
      <c r="T22" s="35"/>
      <c r="U22" s="36"/>
      <c r="V22" s="11"/>
      <c r="W22" s="35"/>
      <c r="X22" s="35"/>
      <c r="Y22" s="36"/>
      <c r="Z22" s="11"/>
      <c r="AA22" s="35"/>
      <c r="AB22" s="36"/>
      <c r="AC22" s="35"/>
      <c r="AD22" s="35"/>
      <c r="AE22" s="37" t="str">
        <f>IF($A22="","",COUNTIFS(Připomínky!$A$4:$A$503,$A22,Připomínky!$J$4:$J$503,"Nevyřešeno"))</f>
        <v/>
      </c>
      <c r="AF22" s="37" t="str">
        <f>IF($A22="","",COUNTIFS(Publikace!$A$4:$A$503,$A22))</f>
        <v/>
      </c>
      <c r="AG22" s="38" t="str">
        <f>IF($A22="","",IF(AF22=0,"",_xlfn.MINIFS(Publikace!$E$4:$E$503,Publikace!$A$4:$A$503,$A22)))</f>
        <v/>
      </c>
      <c r="AH22" s="37" t="str">
        <f t="shared" si="0"/>
        <v/>
      </c>
      <c r="AI22" s="39" t="str">
        <f ca="1">IF($A22="","",TRIM(IF(AND($U22&lt;&gt;"",$U22&lt;TODAY(),$W22&lt;&gt;"Schváleno",$W22&lt;&gt;"Odloženo",$W22&lt;&gt;"Zrušeno"),"Po termínu odevzdání. ","")&amp;IF(AND($W22="Schváleno",OR($X22="",$Y22="")),"Schváleno bez jména / data. ","")&amp;IF(OR($G22="",$H22="",$I22="",$F22=""),"Chybí zařazení (kategorie, typ, profil nebo měsíc). ","")&amp;IF(AND(OR($I22="Honza",$I22="Radek"),OR($J22="",$J22="Nevztahuje se")),"Doplnit charakter (osobní / pracovní). ","")&amp;IF(AND($W22="Schváleno",$AE22&gt;0),"Schváleno, ale má otevřené připomínky. ","")&amp;IF(AND($AA22="Publikováno",$AF22=0),"Publikováno bez záznamu v listu Publikace. ","")&amp;IF(AND($C22&lt;&gt;"",$D22=""),"Chybí číslo dílu série. ","")&amp;IF(AND($E22&lt;&gt;"",$W22&lt;&gt;"Schváleno",$W22&lt;&gt;"Odloženo",$W22&lt;&gt;"Zrušeno",IFERROR(VLOOKUP($E22,Nastavení!$A$30:$G$53,3,FALSE()),0)&gt;0,IFERROR(VLOOKUP($E22,Nastavení!$A$30:$G$53,3,FALSE()),0)&lt;TODAY()),"Neschváleno po termínu cyklu. ","")))</f>
        <v/>
      </c>
    </row>
    <row r="23" spans="1:35" x14ac:dyDescent="0.2">
      <c r="A23" s="35"/>
      <c r="B23" s="11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11"/>
      <c r="N23" s="11"/>
      <c r="O23" s="11"/>
      <c r="P23" s="11"/>
      <c r="Q23" s="11"/>
      <c r="R23" s="11"/>
      <c r="S23" s="11"/>
      <c r="T23" s="35"/>
      <c r="U23" s="36"/>
      <c r="V23" s="11"/>
      <c r="W23" s="35"/>
      <c r="X23" s="35"/>
      <c r="Y23" s="36"/>
      <c r="Z23" s="11"/>
      <c r="AA23" s="35"/>
      <c r="AB23" s="36"/>
      <c r="AC23" s="35"/>
      <c r="AD23" s="35"/>
      <c r="AE23" s="37" t="str">
        <f>IF($A23="","",COUNTIFS(Připomínky!$A$4:$A$503,$A23,Připomínky!$J$4:$J$503,"Nevyřešeno"))</f>
        <v/>
      </c>
      <c r="AF23" s="37" t="str">
        <f>IF($A23="","",COUNTIFS(Publikace!$A$4:$A$503,$A23))</f>
        <v/>
      </c>
      <c r="AG23" s="38" t="str">
        <f>IF($A23="","",IF(AF23=0,"",_xlfn.MINIFS(Publikace!$E$4:$E$503,Publikace!$A$4:$A$503,$A23)))</f>
        <v/>
      </c>
      <c r="AH23" s="37" t="str">
        <f t="shared" si="0"/>
        <v/>
      </c>
      <c r="AI23" s="39" t="str">
        <f ca="1">IF($A23="","",TRIM(IF(AND($U23&lt;&gt;"",$U23&lt;TODAY(),$W23&lt;&gt;"Schváleno",$W23&lt;&gt;"Odloženo",$W23&lt;&gt;"Zrušeno"),"Po termínu odevzdání. ","")&amp;IF(AND($W23="Schváleno",OR($X23="",$Y23="")),"Schváleno bez jména / data. ","")&amp;IF(OR($G23="",$H23="",$I23="",$F23=""),"Chybí zařazení (kategorie, typ, profil nebo měsíc). ","")&amp;IF(AND(OR($I23="Honza",$I23="Radek"),OR($J23="",$J23="Nevztahuje se")),"Doplnit charakter (osobní / pracovní). ","")&amp;IF(AND($W23="Schváleno",$AE23&gt;0),"Schváleno, ale má otevřené připomínky. ","")&amp;IF(AND($AA23="Publikováno",$AF23=0),"Publikováno bez záznamu v listu Publikace. ","")&amp;IF(AND($C23&lt;&gt;"",$D23=""),"Chybí číslo dílu série. ","")&amp;IF(AND($E23&lt;&gt;"",$W23&lt;&gt;"Schváleno",$W23&lt;&gt;"Odloženo",$W23&lt;&gt;"Zrušeno",IFERROR(VLOOKUP($E23,Nastavení!$A$30:$G$53,3,FALSE()),0)&gt;0,IFERROR(VLOOKUP($E23,Nastavení!$A$30:$G$53,3,FALSE()),0)&lt;TODAY()),"Neschváleno po termínu cyklu. ","")))</f>
        <v/>
      </c>
    </row>
    <row r="24" spans="1:35" x14ac:dyDescent="0.2">
      <c r="A24" s="35"/>
      <c r="B24" s="11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11"/>
      <c r="N24" s="11"/>
      <c r="O24" s="11"/>
      <c r="P24" s="11"/>
      <c r="Q24" s="11"/>
      <c r="R24" s="11"/>
      <c r="S24" s="11"/>
      <c r="T24" s="35"/>
      <c r="U24" s="36"/>
      <c r="V24" s="11"/>
      <c r="W24" s="35"/>
      <c r="X24" s="35"/>
      <c r="Y24" s="36"/>
      <c r="Z24" s="11"/>
      <c r="AA24" s="35"/>
      <c r="AB24" s="36"/>
      <c r="AC24" s="35"/>
      <c r="AD24" s="35"/>
      <c r="AE24" s="37" t="str">
        <f>IF($A24="","",COUNTIFS(Připomínky!$A$4:$A$503,$A24,Připomínky!$J$4:$J$503,"Nevyřešeno"))</f>
        <v/>
      </c>
      <c r="AF24" s="37" t="str">
        <f>IF($A24="","",COUNTIFS(Publikace!$A$4:$A$503,$A24))</f>
        <v/>
      </c>
      <c r="AG24" s="38" t="str">
        <f>IF($A24="","",IF(AF24=0,"",_xlfn.MINIFS(Publikace!$E$4:$E$503,Publikace!$A$4:$A$503,$A24)))</f>
        <v/>
      </c>
      <c r="AH24" s="37" t="str">
        <f t="shared" si="0"/>
        <v/>
      </c>
      <c r="AI24" s="39" t="str">
        <f ca="1">IF($A24="","",TRIM(IF(AND($U24&lt;&gt;"",$U24&lt;TODAY(),$W24&lt;&gt;"Schváleno",$W24&lt;&gt;"Odloženo",$W24&lt;&gt;"Zrušeno"),"Po termínu odevzdání. ","")&amp;IF(AND($W24="Schváleno",OR($X24="",$Y24="")),"Schváleno bez jména / data. ","")&amp;IF(OR($G24="",$H24="",$I24="",$F24=""),"Chybí zařazení (kategorie, typ, profil nebo měsíc). ","")&amp;IF(AND(OR($I24="Honza",$I24="Radek"),OR($J24="",$J24="Nevztahuje se")),"Doplnit charakter (osobní / pracovní). ","")&amp;IF(AND($W24="Schváleno",$AE24&gt;0),"Schváleno, ale má otevřené připomínky. ","")&amp;IF(AND($AA24="Publikováno",$AF24=0),"Publikováno bez záznamu v listu Publikace. ","")&amp;IF(AND($C24&lt;&gt;"",$D24=""),"Chybí číslo dílu série. ","")&amp;IF(AND($E24&lt;&gt;"",$W24&lt;&gt;"Schváleno",$W24&lt;&gt;"Odloženo",$W24&lt;&gt;"Zrušeno",IFERROR(VLOOKUP($E24,Nastavení!$A$30:$G$53,3,FALSE()),0)&gt;0,IFERROR(VLOOKUP($E24,Nastavení!$A$30:$G$53,3,FALSE()),0)&lt;TODAY()),"Neschváleno po termínu cyklu. ","")))</f>
        <v/>
      </c>
    </row>
    <row r="25" spans="1:35" x14ac:dyDescent="0.2">
      <c r="A25" s="35"/>
      <c r="B25" s="11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11"/>
      <c r="N25" s="11"/>
      <c r="O25" s="11"/>
      <c r="P25" s="11"/>
      <c r="Q25" s="11"/>
      <c r="R25" s="11"/>
      <c r="S25" s="11"/>
      <c r="T25" s="35"/>
      <c r="U25" s="36"/>
      <c r="V25" s="11"/>
      <c r="W25" s="35"/>
      <c r="X25" s="35"/>
      <c r="Y25" s="36"/>
      <c r="Z25" s="11"/>
      <c r="AA25" s="35"/>
      <c r="AB25" s="36"/>
      <c r="AC25" s="35"/>
      <c r="AD25" s="35"/>
      <c r="AE25" s="37" t="str">
        <f>IF($A25="","",COUNTIFS(Připomínky!$A$4:$A$503,$A25,Připomínky!$J$4:$J$503,"Nevyřešeno"))</f>
        <v/>
      </c>
      <c r="AF25" s="37" t="str">
        <f>IF($A25="","",COUNTIFS(Publikace!$A$4:$A$503,$A25))</f>
        <v/>
      </c>
      <c r="AG25" s="38" t="str">
        <f>IF($A25="","",IF(AF25=0,"",_xlfn.MINIFS(Publikace!$E$4:$E$503,Publikace!$A$4:$A$503,$A25)))</f>
        <v/>
      </c>
      <c r="AH25" s="37" t="str">
        <f t="shared" si="0"/>
        <v/>
      </c>
      <c r="AI25" s="39" t="str">
        <f ca="1">IF($A25="","",TRIM(IF(AND($U25&lt;&gt;"",$U25&lt;TODAY(),$W25&lt;&gt;"Schváleno",$W25&lt;&gt;"Odloženo",$W25&lt;&gt;"Zrušeno"),"Po termínu odevzdání. ","")&amp;IF(AND($W25="Schváleno",OR($X25="",$Y25="")),"Schváleno bez jména / data. ","")&amp;IF(OR($G25="",$H25="",$I25="",$F25=""),"Chybí zařazení (kategorie, typ, profil nebo měsíc). ","")&amp;IF(AND(OR($I25="Honza",$I25="Radek"),OR($J25="",$J25="Nevztahuje se")),"Doplnit charakter (osobní / pracovní). ","")&amp;IF(AND($W25="Schváleno",$AE25&gt;0),"Schváleno, ale má otevřené připomínky. ","")&amp;IF(AND($AA25="Publikováno",$AF25=0),"Publikováno bez záznamu v listu Publikace. ","")&amp;IF(AND($C25&lt;&gt;"",$D25=""),"Chybí číslo dílu série. ","")&amp;IF(AND($E25&lt;&gt;"",$W25&lt;&gt;"Schváleno",$W25&lt;&gt;"Odloženo",$W25&lt;&gt;"Zrušeno",IFERROR(VLOOKUP($E25,Nastavení!$A$30:$G$53,3,FALSE()),0)&gt;0,IFERROR(VLOOKUP($E25,Nastavení!$A$30:$G$53,3,FALSE()),0)&lt;TODAY()),"Neschváleno po termínu cyklu. ","")))</f>
        <v/>
      </c>
    </row>
    <row r="26" spans="1:35" x14ac:dyDescent="0.2">
      <c r="A26" s="35"/>
      <c r="B26" s="11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11"/>
      <c r="N26" s="11"/>
      <c r="O26" s="11"/>
      <c r="P26" s="11"/>
      <c r="Q26" s="11"/>
      <c r="R26" s="11"/>
      <c r="S26" s="11"/>
      <c r="T26" s="35"/>
      <c r="U26" s="36"/>
      <c r="V26" s="11"/>
      <c r="W26" s="35"/>
      <c r="X26" s="35"/>
      <c r="Y26" s="36"/>
      <c r="Z26" s="11"/>
      <c r="AA26" s="35"/>
      <c r="AB26" s="36"/>
      <c r="AC26" s="35"/>
      <c r="AD26" s="35"/>
      <c r="AE26" s="37" t="str">
        <f>IF($A26="","",COUNTIFS(Připomínky!$A$4:$A$503,$A26,Připomínky!$J$4:$J$503,"Nevyřešeno"))</f>
        <v/>
      </c>
      <c r="AF26" s="37" t="str">
        <f>IF($A26="","",COUNTIFS(Publikace!$A$4:$A$503,$A26))</f>
        <v/>
      </c>
      <c r="AG26" s="38" t="str">
        <f>IF($A26="","",IF(AF26=0,"",_xlfn.MINIFS(Publikace!$E$4:$E$503,Publikace!$A$4:$A$503,$A26)))</f>
        <v/>
      </c>
      <c r="AH26" s="37" t="str">
        <f t="shared" si="0"/>
        <v/>
      </c>
      <c r="AI26" s="39" t="str">
        <f ca="1">IF($A26="","",TRIM(IF(AND($U26&lt;&gt;"",$U26&lt;TODAY(),$W26&lt;&gt;"Schváleno",$W26&lt;&gt;"Odloženo",$W26&lt;&gt;"Zrušeno"),"Po termínu odevzdání. ","")&amp;IF(AND($W26="Schváleno",OR($X26="",$Y26="")),"Schváleno bez jména / data. ","")&amp;IF(OR($G26="",$H26="",$I26="",$F26=""),"Chybí zařazení (kategorie, typ, profil nebo měsíc). ","")&amp;IF(AND(OR($I26="Honza",$I26="Radek"),OR($J26="",$J26="Nevztahuje se")),"Doplnit charakter (osobní / pracovní). ","")&amp;IF(AND($W26="Schváleno",$AE26&gt;0),"Schváleno, ale má otevřené připomínky. ","")&amp;IF(AND($AA26="Publikováno",$AF26=0),"Publikováno bez záznamu v listu Publikace. ","")&amp;IF(AND($C26&lt;&gt;"",$D26=""),"Chybí číslo dílu série. ","")&amp;IF(AND($E26&lt;&gt;"",$W26&lt;&gt;"Schváleno",$W26&lt;&gt;"Odloženo",$W26&lt;&gt;"Zrušeno",IFERROR(VLOOKUP($E26,Nastavení!$A$30:$G$53,3,FALSE()),0)&gt;0,IFERROR(VLOOKUP($E26,Nastavení!$A$30:$G$53,3,FALSE()),0)&lt;TODAY()),"Neschváleno po termínu cyklu. ","")))</f>
        <v/>
      </c>
    </row>
    <row r="27" spans="1:35" x14ac:dyDescent="0.2">
      <c r="A27" s="35"/>
      <c r="B27" s="11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11"/>
      <c r="N27" s="11"/>
      <c r="O27" s="11"/>
      <c r="P27" s="11"/>
      <c r="Q27" s="11"/>
      <c r="R27" s="11"/>
      <c r="S27" s="11"/>
      <c r="T27" s="35"/>
      <c r="U27" s="36"/>
      <c r="V27" s="11"/>
      <c r="W27" s="35"/>
      <c r="X27" s="35"/>
      <c r="Y27" s="36"/>
      <c r="Z27" s="11"/>
      <c r="AA27" s="35"/>
      <c r="AB27" s="36"/>
      <c r="AC27" s="35"/>
      <c r="AD27" s="35"/>
      <c r="AE27" s="37" t="str">
        <f>IF($A27="","",COUNTIFS(Připomínky!$A$4:$A$503,$A27,Připomínky!$J$4:$J$503,"Nevyřešeno"))</f>
        <v/>
      </c>
      <c r="AF27" s="37" t="str">
        <f>IF($A27="","",COUNTIFS(Publikace!$A$4:$A$503,$A27))</f>
        <v/>
      </c>
      <c r="AG27" s="38" t="str">
        <f>IF($A27="","",IF(AF27=0,"",_xlfn.MINIFS(Publikace!$E$4:$E$503,Publikace!$A$4:$A$503,$A27)))</f>
        <v/>
      </c>
      <c r="AH27" s="37" t="str">
        <f t="shared" si="0"/>
        <v/>
      </c>
      <c r="AI27" s="39" t="str">
        <f ca="1">IF($A27="","",TRIM(IF(AND($U27&lt;&gt;"",$U27&lt;TODAY(),$W27&lt;&gt;"Schváleno",$W27&lt;&gt;"Odloženo",$W27&lt;&gt;"Zrušeno"),"Po termínu odevzdání. ","")&amp;IF(AND($W27="Schváleno",OR($X27="",$Y27="")),"Schváleno bez jména / data. ","")&amp;IF(OR($G27="",$H27="",$I27="",$F27=""),"Chybí zařazení (kategorie, typ, profil nebo měsíc). ","")&amp;IF(AND(OR($I27="Honza",$I27="Radek"),OR($J27="",$J27="Nevztahuje se")),"Doplnit charakter (osobní / pracovní). ","")&amp;IF(AND($W27="Schváleno",$AE27&gt;0),"Schváleno, ale má otevřené připomínky. ","")&amp;IF(AND($AA27="Publikováno",$AF27=0),"Publikováno bez záznamu v listu Publikace. ","")&amp;IF(AND($C27&lt;&gt;"",$D27=""),"Chybí číslo dílu série. ","")&amp;IF(AND($E27&lt;&gt;"",$W27&lt;&gt;"Schváleno",$W27&lt;&gt;"Odloženo",$W27&lt;&gt;"Zrušeno",IFERROR(VLOOKUP($E27,Nastavení!$A$30:$G$53,3,FALSE()),0)&gt;0,IFERROR(VLOOKUP($E27,Nastavení!$A$30:$G$53,3,FALSE()),0)&lt;TODAY()),"Neschváleno po termínu cyklu. ","")))</f>
        <v/>
      </c>
    </row>
    <row r="28" spans="1:35" x14ac:dyDescent="0.2">
      <c r="A28" s="35"/>
      <c r="B28" s="11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11"/>
      <c r="N28" s="11"/>
      <c r="O28" s="11"/>
      <c r="P28" s="11"/>
      <c r="Q28" s="11"/>
      <c r="R28" s="11"/>
      <c r="S28" s="11"/>
      <c r="T28" s="35"/>
      <c r="U28" s="36"/>
      <c r="V28" s="11"/>
      <c r="W28" s="35"/>
      <c r="X28" s="35"/>
      <c r="Y28" s="36"/>
      <c r="Z28" s="11"/>
      <c r="AA28" s="35"/>
      <c r="AB28" s="36"/>
      <c r="AC28" s="35"/>
      <c r="AD28" s="35"/>
      <c r="AE28" s="37" t="str">
        <f>IF($A28="","",COUNTIFS(Připomínky!$A$4:$A$503,$A28,Připomínky!$J$4:$J$503,"Nevyřešeno"))</f>
        <v/>
      </c>
      <c r="AF28" s="37" t="str">
        <f>IF($A28="","",COUNTIFS(Publikace!$A$4:$A$503,$A28))</f>
        <v/>
      </c>
      <c r="AG28" s="38" t="str">
        <f>IF($A28="","",IF(AF28=0,"",_xlfn.MINIFS(Publikace!$E$4:$E$503,Publikace!$A$4:$A$503,$A28)))</f>
        <v/>
      </c>
      <c r="AH28" s="37" t="str">
        <f t="shared" si="0"/>
        <v/>
      </c>
      <c r="AI28" s="39" t="str">
        <f ca="1">IF($A28="","",TRIM(IF(AND($U28&lt;&gt;"",$U28&lt;TODAY(),$W28&lt;&gt;"Schváleno",$W28&lt;&gt;"Odloženo",$W28&lt;&gt;"Zrušeno"),"Po termínu odevzdání. ","")&amp;IF(AND($W28="Schváleno",OR($X28="",$Y28="")),"Schváleno bez jména / data. ","")&amp;IF(OR($G28="",$H28="",$I28="",$F28=""),"Chybí zařazení (kategorie, typ, profil nebo měsíc). ","")&amp;IF(AND(OR($I28="Honza",$I28="Radek"),OR($J28="",$J28="Nevztahuje se")),"Doplnit charakter (osobní / pracovní). ","")&amp;IF(AND($W28="Schváleno",$AE28&gt;0),"Schváleno, ale má otevřené připomínky. ","")&amp;IF(AND($AA28="Publikováno",$AF28=0),"Publikováno bez záznamu v listu Publikace. ","")&amp;IF(AND($C28&lt;&gt;"",$D28=""),"Chybí číslo dílu série. ","")&amp;IF(AND($E28&lt;&gt;"",$W28&lt;&gt;"Schváleno",$W28&lt;&gt;"Odloženo",$W28&lt;&gt;"Zrušeno",IFERROR(VLOOKUP($E28,Nastavení!$A$30:$G$53,3,FALSE()),0)&gt;0,IFERROR(VLOOKUP($E28,Nastavení!$A$30:$G$53,3,FALSE()),0)&lt;TODAY()),"Neschváleno po termínu cyklu. ","")))</f>
        <v/>
      </c>
    </row>
    <row r="29" spans="1:35" x14ac:dyDescent="0.2">
      <c r="A29" s="35"/>
      <c r="B29" s="11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11"/>
      <c r="N29" s="11"/>
      <c r="O29" s="11"/>
      <c r="P29" s="11"/>
      <c r="Q29" s="11"/>
      <c r="R29" s="11"/>
      <c r="S29" s="11"/>
      <c r="T29" s="35"/>
      <c r="U29" s="36"/>
      <c r="V29" s="11"/>
      <c r="W29" s="35"/>
      <c r="X29" s="35"/>
      <c r="Y29" s="36"/>
      <c r="Z29" s="11"/>
      <c r="AA29" s="35"/>
      <c r="AB29" s="36"/>
      <c r="AC29" s="35"/>
      <c r="AD29" s="35"/>
      <c r="AE29" s="37" t="str">
        <f>IF($A29="","",COUNTIFS(Připomínky!$A$4:$A$503,$A29,Připomínky!$J$4:$J$503,"Nevyřešeno"))</f>
        <v/>
      </c>
      <c r="AF29" s="37" t="str">
        <f>IF($A29="","",COUNTIFS(Publikace!$A$4:$A$503,$A29))</f>
        <v/>
      </c>
      <c r="AG29" s="38" t="str">
        <f>IF($A29="","",IF(AF29=0,"",_xlfn.MINIFS(Publikace!$E$4:$E$503,Publikace!$A$4:$A$503,$A29)))</f>
        <v/>
      </c>
      <c r="AH29" s="37" t="str">
        <f t="shared" si="0"/>
        <v/>
      </c>
      <c r="AI29" s="39" t="str">
        <f ca="1">IF($A29="","",TRIM(IF(AND($U29&lt;&gt;"",$U29&lt;TODAY(),$W29&lt;&gt;"Schváleno",$W29&lt;&gt;"Odloženo",$W29&lt;&gt;"Zrušeno"),"Po termínu odevzdání. ","")&amp;IF(AND($W29="Schváleno",OR($X29="",$Y29="")),"Schváleno bez jména / data. ","")&amp;IF(OR($G29="",$H29="",$I29="",$F29=""),"Chybí zařazení (kategorie, typ, profil nebo měsíc). ","")&amp;IF(AND(OR($I29="Honza",$I29="Radek"),OR($J29="",$J29="Nevztahuje se")),"Doplnit charakter (osobní / pracovní). ","")&amp;IF(AND($W29="Schváleno",$AE29&gt;0),"Schváleno, ale má otevřené připomínky. ","")&amp;IF(AND($AA29="Publikováno",$AF29=0),"Publikováno bez záznamu v listu Publikace. ","")&amp;IF(AND($C29&lt;&gt;"",$D29=""),"Chybí číslo dílu série. ","")&amp;IF(AND($E29&lt;&gt;"",$W29&lt;&gt;"Schváleno",$W29&lt;&gt;"Odloženo",$W29&lt;&gt;"Zrušeno",IFERROR(VLOOKUP($E29,Nastavení!$A$30:$G$53,3,FALSE()),0)&gt;0,IFERROR(VLOOKUP($E29,Nastavení!$A$30:$G$53,3,FALSE()),0)&lt;TODAY()),"Neschváleno po termínu cyklu. ","")))</f>
        <v/>
      </c>
    </row>
    <row r="30" spans="1:35" x14ac:dyDescent="0.2">
      <c r="A30" s="35"/>
      <c r="B30" s="11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11"/>
      <c r="N30" s="11"/>
      <c r="O30" s="11"/>
      <c r="P30" s="11"/>
      <c r="Q30" s="11"/>
      <c r="R30" s="11"/>
      <c r="S30" s="11"/>
      <c r="T30" s="35"/>
      <c r="U30" s="36"/>
      <c r="V30" s="11"/>
      <c r="W30" s="35"/>
      <c r="X30" s="35"/>
      <c r="Y30" s="36"/>
      <c r="Z30" s="11"/>
      <c r="AA30" s="35"/>
      <c r="AB30" s="36"/>
      <c r="AC30" s="35"/>
      <c r="AD30" s="35"/>
      <c r="AE30" s="37" t="str">
        <f>IF($A30="","",COUNTIFS(Připomínky!$A$4:$A$503,$A30,Připomínky!$J$4:$J$503,"Nevyřešeno"))</f>
        <v/>
      </c>
      <c r="AF30" s="37" t="str">
        <f>IF($A30="","",COUNTIFS(Publikace!$A$4:$A$503,$A30))</f>
        <v/>
      </c>
      <c r="AG30" s="38" t="str">
        <f>IF($A30="","",IF(AF30=0,"",_xlfn.MINIFS(Publikace!$E$4:$E$503,Publikace!$A$4:$A$503,$A30)))</f>
        <v/>
      </c>
      <c r="AH30" s="37" t="str">
        <f t="shared" si="0"/>
        <v/>
      </c>
      <c r="AI30" s="39" t="str">
        <f ca="1">IF($A30="","",TRIM(IF(AND($U30&lt;&gt;"",$U30&lt;TODAY(),$W30&lt;&gt;"Schváleno",$W30&lt;&gt;"Odloženo",$W30&lt;&gt;"Zrušeno"),"Po termínu odevzdání. ","")&amp;IF(AND($W30="Schváleno",OR($X30="",$Y30="")),"Schváleno bez jména / data. ","")&amp;IF(OR($G30="",$H30="",$I30="",$F30=""),"Chybí zařazení (kategorie, typ, profil nebo měsíc). ","")&amp;IF(AND(OR($I30="Honza",$I30="Radek"),OR($J30="",$J30="Nevztahuje se")),"Doplnit charakter (osobní / pracovní). ","")&amp;IF(AND($W30="Schváleno",$AE30&gt;0),"Schváleno, ale má otevřené připomínky. ","")&amp;IF(AND($AA30="Publikováno",$AF30=0),"Publikováno bez záznamu v listu Publikace. ","")&amp;IF(AND($C30&lt;&gt;"",$D30=""),"Chybí číslo dílu série. ","")&amp;IF(AND($E30&lt;&gt;"",$W30&lt;&gt;"Schváleno",$W30&lt;&gt;"Odloženo",$W30&lt;&gt;"Zrušeno",IFERROR(VLOOKUP($E30,Nastavení!$A$30:$G$53,3,FALSE()),0)&gt;0,IFERROR(VLOOKUP($E30,Nastavení!$A$30:$G$53,3,FALSE()),0)&lt;TODAY()),"Neschváleno po termínu cyklu. ","")))</f>
        <v/>
      </c>
    </row>
    <row r="31" spans="1:35" x14ac:dyDescent="0.2">
      <c r="A31" s="35"/>
      <c r="B31" s="11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11"/>
      <c r="N31" s="11"/>
      <c r="O31" s="11"/>
      <c r="P31" s="11"/>
      <c r="Q31" s="11"/>
      <c r="R31" s="11"/>
      <c r="S31" s="11"/>
      <c r="T31" s="35"/>
      <c r="U31" s="36"/>
      <c r="V31" s="11"/>
      <c r="W31" s="35"/>
      <c r="X31" s="35"/>
      <c r="Y31" s="36"/>
      <c r="Z31" s="11"/>
      <c r="AA31" s="35"/>
      <c r="AB31" s="36"/>
      <c r="AC31" s="35"/>
      <c r="AD31" s="35"/>
      <c r="AE31" s="37" t="str">
        <f>IF($A31="","",COUNTIFS(Připomínky!$A$4:$A$503,$A31,Připomínky!$J$4:$J$503,"Nevyřešeno"))</f>
        <v/>
      </c>
      <c r="AF31" s="37" t="str">
        <f>IF($A31="","",COUNTIFS(Publikace!$A$4:$A$503,$A31))</f>
        <v/>
      </c>
      <c r="AG31" s="38" t="str">
        <f>IF($A31="","",IF(AF31=0,"",_xlfn.MINIFS(Publikace!$E$4:$E$503,Publikace!$A$4:$A$503,$A31)))</f>
        <v/>
      </c>
      <c r="AH31" s="37" t="str">
        <f t="shared" si="0"/>
        <v/>
      </c>
      <c r="AI31" s="39" t="str">
        <f ca="1">IF($A31="","",TRIM(IF(AND($U31&lt;&gt;"",$U31&lt;TODAY(),$W31&lt;&gt;"Schváleno",$W31&lt;&gt;"Odloženo",$W31&lt;&gt;"Zrušeno"),"Po termínu odevzdání. ","")&amp;IF(AND($W31="Schváleno",OR($X31="",$Y31="")),"Schváleno bez jména / data. ","")&amp;IF(OR($G31="",$H31="",$I31="",$F31=""),"Chybí zařazení (kategorie, typ, profil nebo měsíc). ","")&amp;IF(AND(OR($I31="Honza",$I31="Radek"),OR($J31="",$J31="Nevztahuje se")),"Doplnit charakter (osobní / pracovní). ","")&amp;IF(AND($W31="Schváleno",$AE31&gt;0),"Schváleno, ale má otevřené připomínky. ","")&amp;IF(AND($AA31="Publikováno",$AF31=0),"Publikováno bez záznamu v listu Publikace. ","")&amp;IF(AND($C31&lt;&gt;"",$D31=""),"Chybí číslo dílu série. ","")&amp;IF(AND($E31&lt;&gt;"",$W31&lt;&gt;"Schváleno",$W31&lt;&gt;"Odloženo",$W31&lt;&gt;"Zrušeno",IFERROR(VLOOKUP($E31,Nastavení!$A$30:$G$53,3,FALSE()),0)&gt;0,IFERROR(VLOOKUP($E31,Nastavení!$A$30:$G$53,3,FALSE()),0)&lt;TODAY()),"Neschváleno po termínu cyklu. ","")))</f>
        <v/>
      </c>
    </row>
    <row r="32" spans="1:35" x14ac:dyDescent="0.2">
      <c r="A32" s="35"/>
      <c r="B32" s="11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11"/>
      <c r="N32" s="11"/>
      <c r="O32" s="11"/>
      <c r="P32" s="11"/>
      <c r="Q32" s="11"/>
      <c r="R32" s="11"/>
      <c r="S32" s="11"/>
      <c r="T32" s="35"/>
      <c r="U32" s="36"/>
      <c r="V32" s="11"/>
      <c r="W32" s="35"/>
      <c r="X32" s="35"/>
      <c r="Y32" s="36"/>
      <c r="Z32" s="11"/>
      <c r="AA32" s="35"/>
      <c r="AB32" s="36"/>
      <c r="AC32" s="35"/>
      <c r="AD32" s="35"/>
      <c r="AE32" s="37" t="str">
        <f>IF($A32="","",COUNTIFS(Připomínky!$A$4:$A$503,$A32,Připomínky!$J$4:$J$503,"Nevyřešeno"))</f>
        <v/>
      </c>
      <c r="AF32" s="37" t="str">
        <f>IF($A32="","",COUNTIFS(Publikace!$A$4:$A$503,$A32))</f>
        <v/>
      </c>
      <c r="AG32" s="38" t="str">
        <f>IF($A32="","",IF(AF32=0,"",_xlfn.MINIFS(Publikace!$E$4:$E$503,Publikace!$A$4:$A$503,$A32)))</f>
        <v/>
      </c>
      <c r="AH32" s="37" t="str">
        <f t="shared" si="0"/>
        <v/>
      </c>
      <c r="AI32" s="39" t="str">
        <f ca="1">IF($A32="","",TRIM(IF(AND($U32&lt;&gt;"",$U32&lt;TODAY(),$W32&lt;&gt;"Schváleno",$W32&lt;&gt;"Odloženo",$W32&lt;&gt;"Zrušeno"),"Po termínu odevzdání. ","")&amp;IF(AND($W32="Schváleno",OR($X32="",$Y32="")),"Schváleno bez jména / data. ","")&amp;IF(OR($G32="",$H32="",$I32="",$F32=""),"Chybí zařazení (kategorie, typ, profil nebo měsíc). ","")&amp;IF(AND(OR($I32="Honza",$I32="Radek"),OR($J32="",$J32="Nevztahuje se")),"Doplnit charakter (osobní / pracovní). ","")&amp;IF(AND($W32="Schváleno",$AE32&gt;0),"Schváleno, ale má otevřené připomínky. ","")&amp;IF(AND($AA32="Publikováno",$AF32=0),"Publikováno bez záznamu v listu Publikace. ","")&amp;IF(AND($C32&lt;&gt;"",$D32=""),"Chybí číslo dílu série. ","")&amp;IF(AND($E32&lt;&gt;"",$W32&lt;&gt;"Schváleno",$W32&lt;&gt;"Odloženo",$W32&lt;&gt;"Zrušeno",IFERROR(VLOOKUP($E32,Nastavení!$A$30:$G$53,3,FALSE()),0)&gt;0,IFERROR(VLOOKUP($E32,Nastavení!$A$30:$G$53,3,FALSE()),0)&lt;TODAY()),"Neschváleno po termínu cyklu. ","")))</f>
        <v/>
      </c>
    </row>
    <row r="33" spans="1:35" x14ac:dyDescent="0.2">
      <c r="A33" s="35"/>
      <c r="B33" s="11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11"/>
      <c r="N33" s="11"/>
      <c r="O33" s="11"/>
      <c r="P33" s="11"/>
      <c r="Q33" s="11"/>
      <c r="R33" s="11"/>
      <c r="S33" s="11"/>
      <c r="T33" s="35"/>
      <c r="U33" s="36"/>
      <c r="V33" s="11"/>
      <c r="W33" s="35"/>
      <c r="X33" s="35"/>
      <c r="Y33" s="36"/>
      <c r="Z33" s="11"/>
      <c r="AA33" s="35"/>
      <c r="AB33" s="36"/>
      <c r="AC33" s="35"/>
      <c r="AD33" s="35"/>
      <c r="AE33" s="37" t="str">
        <f>IF($A33="","",COUNTIFS(Připomínky!$A$4:$A$503,$A33,Připomínky!$J$4:$J$503,"Nevyřešeno"))</f>
        <v/>
      </c>
      <c r="AF33" s="37" t="str">
        <f>IF($A33="","",COUNTIFS(Publikace!$A$4:$A$503,$A33))</f>
        <v/>
      </c>
      <c r="AG33" s="38" t="str">
        <f>IF($A33="","",IF(AF33=0,"",_xlfn.MINIFS(Publikace!$E$4:$E$503,Publikace!$A$4:$A$503,$A33)))</f>
        <v/>
      </c>
      <c r="AH33" s="37" t="str">
        <f t="shared" si="0"/>
        <v/>
      </c>
      <c r="AI33" s="39" t="str">
        <f ca="1">IF($A33="","",TRIM(IF(AND($U33&lt;&gt;"",$U33&lt;TODAY(),$W33&lt;&gt;"Schváleno",$W33&lt;&gt;"Odloženo",$W33&lt;&gt;"Zrušeno"),"Po termínu odevzdání. ","")&amp;IF(AND($W33="Schváleno",OR($X33="",$Y33="")),"Schváleno bez jména / data. ","")&amp;IF(OR($G33="",$H33="",$I33="",$F33=""),"Chybí zařazení (kategorie, typ, profil nebo měsíc). ","")&amp;IF(AND(OR($I33="Honza",$I33="Radek"),OR($J33="",$J33="Nevztahuje se")),"Doplnit charakter (osobní / pracovní). ","")&amp;IF(AND($W33="Schváleno",$AE33&gt;0),"Schváleno, ale má otevřené připomínky. ","")&amp;IF(AND($AA33="Publikováno",$AF33=0),"Publikováno bez záznamu v listu Publikace. ","")&amp;IF(AND($C33&lt;&gt;"",$D33=""),"Chybí číslo dílu série. ","")&amp;IF(AND($E33&lt;&gt;"",$W33&lt;&gt;"Schváleno",$W33&lt;&gt;"Odloženo",$W33&lt;&gt;"Zrušeno",IFERROR(VLOOKUP($E33,Nastavení!$A$30:$G$53,3,FALSE()),0)&gt;0,IFERROR(VLOOKUP($E33,Nastavení!$A$30:$G$53,3,FALSE()),0)&lt;TODAY()),"Neschváleno po termínu cyklu. ","")))</f>
        <v/>
      </c>
    </row>
    <row r="34" spans="1:35" x14ac:dyDescent="0.2">
      <c r="A34" s="35"/>
      <c r="B34" s="11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11"/>
      <c r="N34" s="11"/>
      <c r="O34" s="11"/>
      <c r="P34" s="11"/>
      <c r="Q34" s="11"/>
      <c r="R34" s="11"/>
      <c r="S34" s="11"/>
      <c r="T34" s="35"/>
      <c r="U34" s="36"/>
      <c r="V34" s="11"/>
      <c r="W34" s="35"/>
      <c r="X34" s="35"/>
      <c r="Y34" s="36"/>
      <c r="Z34" s="11"/>
      <c r="AA34" s="35"/>
      <c r="AB34" s="36"/>
      <c r="AC34" s="35"/>
      <c r="AD34" s="35"/>
      <c r="AE34" s="37" t="str">
        <f>IF($A34="","",COUNTIFS(Připomínky!$A$4:$A$503,$A34,Připomínky!$J$4:$J$503,"Nevyřešeno"))</f>
        <v/>
      </c>
      <c r="AF34" s="37" t="str">
        <f>IF($A34="","",COUNTIFS(Publikace!$A$4:$A$503,$A34))</f>
        <v/>
      </c>
      <c r="AG34" s="38" t="str">
        <f>IF($A34="","",IF(AF34=0,"",_xlfn.MINIFS(Publikace!$E$4:$E$503,Publikace!$A$4:$A$503,$A34)))</f>
        <v/>
      </c>
      <c r="AH34" s="37" t="str">
        <f t="shared" si="0"/>
        <v/>
      </c>
      <c r="AI34" s="39" t="str">
        <f ca="1">IF($A34="","",TRIM(IF(AND($U34&lt;&gt;"",$U34&lt;TODAY(),$W34&lt;&gt;"Schváleno",$W34&lt;&gt;"Odloženo",$W34&lt;&gt;"Zrušeno"),"Po termínu odevzdání. ","")&amp;IF(AND($W34="Schváleno",OR($X34="",$Y34="")),"Schváleno bez jména / data. ","")&amp;IF(OR($G34="",$H34="",$I34="",$F34=""),"Chybí zařazení (kategorie, typ, profil nebo měsíc). ","")&amp;IF(AND(OR($I34="Honza",$I34="Radek"),OR($J34="",$J34="Nevztahuje se")),"Doplnit charakter (osobní / pracovní). ","")&amp;IF(AND($W34="Schváleno",$AE34&gt;0),"Schváleno, ale má otevřené připomínky. ","")&amp;IF(AND($AA34="Publikováno",$AF34=0),"Publikováno bez záznamu v listu Publikace. ","")&amp;IF(AND($C34&lt;&gt;"",$D34=""),"Chybí číslo dílu série. ","")&amp;IF(AND($E34&lt;&gt;"",$W34&lt;&gt;"Schváleno",$W34&lt;&gt;"Odloženo",$W34&lt;&gt;"Zrušeno",IFERROR(VLOOKUP($E34,Nastavení!$A$30:$G$53,3,FALSE()),0)&gt;0,IFERROR(VLOOKUP($E34,Nastavení!$A$30:$G$53,3,FALSE()),0)&lt;TODAY()),"Neschváleno po termínu cyklu. ","")))</f>
        <v/>
      </c>
    </row>
    <row r="35" spans="1:35" x14ac:dyDescent="0.2">
      <c r="A35" s="35"/>
      <c r="B35" s="11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11"/>
      <c r="N35" s="11"/>
      <c r="O35" s="11"/>
      <c r="P35" s="11"/>
      <c r="Q35" s="11"/>
      <c r="R35" s="11"/>
      <c r="S35" s="11"/>
      <c r="T35" s="35"/>
      <c r="U35" s="36"/>
      <c r="V35" s="11"/>
      <c r="W35" s="35"/>
      <c r="X35" s="35"/>
      <c r="Y35" s="36"/>
      <c r="Z35" s="11"/>
      <c r="AA35" s="35"/>
      <c r="AB35" s="36"/>
      <c r="AC35" s="35"/>
      <c r="AD35" s="35"/>
      <c r="AE35" s="37" t="str">
        <f>IF($A35="","",COUNTIFS(Připomínky!$A$4:$A$503,$A35,Připomínky!$J$4:$J$503,"Nevyřešeno"))</f>
        <v/>
      </c>
      <c r="AF35" s="37" t="str">
        <f>IF($A35="","",COUNTIFS(Publikace!$A$4:$A$503,$A35))</f>
        <v/>
      </c>
      <c r="AG35" s="38" t="str">
        <f>IF($A35="","",IF(AF35=0,"",_xlfn.MINIFS(Publikace!$E$4:$E$503,Publikace!$A$4:$A$503,$A35)))</f>
        <v/>
      </c>
      <c r="AH35" s="37" t="str">
        <f t="shared" si="0"/>
        <v/>
      </c>
      <c r="AI35" s="39" t="str">
        <f ca="1">IF($A35="","",TRIM(IF(AND($U35&lt;&gt;"",$U35&lt;TODAY(),$W35&lt;&gt;"Schváleno",$W35&lt;&gt;"Odloženo",$W35&lt;&gt;"Zrušeno"),"Po termínu odevzdání. ","")&amp;IF(AND($W35="Schváleno",OR($X35="",$Y35="")),"Schváleno bez jména / data. ","")&amp;IF(OR($G35="",$H35="",$I35="",$F35=""),"Chybí zařazení (kategorie, typ, profil nebo měsíc). ","")&amp;IF(AND(OR($I35="Honza",$I35="Radek"),OR($J35="",$J35="Nevztahuje se")),"Doplnit charakter (osobní / pracovní). ","")&amp;IF(AND($W35="Schváleno",$AE35&gt;0),"Schváleno, ale má otevřené připomínky. ","")&amp;IF(AND($AA35="Publikováno",$AF35=0),"Publikováno bez záznamu v listu Publikace. ","")&amp;IF(AND($C35&lt;&gt;"",$D35=""),"Chybí číslo dílu série. ","")&amp;IF(AND($E35&lt;&gt;"",$W35&lt;&gt;"Schváleno",$W35&lt;&gt;"Odloženo",$W35&lt;&gt;"Zrušeno",IFERROR(VLOOKUP($E35,Nastavení!$A$30:$G$53,3,FALSE()),0)&gt;0,IFERROR(VLOOKUP($E35,Nastavení!$A$30:$G$53,3,FALSE()),0)&lt;TODAY()),"Neschváleno po termínu cyklu. ","")))</f>
        <v/>
      </c>
    </row>
    <row r="36" spans="1:35" x14ac:dyDescent="0.2">
      <c r="A36" s="35"/>
      <c r="B36" s="11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11"/>
      <c r="N36" s="11"/>
      <c r="O36" s="11"/>
      <c r="P36" s="11"/>
      <c r="Q36" s="11"/>
      <c r="R36" s="11"/>
      <c r="S36" s="11"/>
      <c r="T36" s="35"/>
      <c r="U36" s="36"/>
      <c r="V36" s="11"/>
      <c r="W36" s="35"/>
      <c r="X36" s="35"/>
      <c r="Y36" s="36"/>
      <c r="Z36" s="11"/>
      <c r="AA36" s="35"/>
      <c r="AB36" s="36"/>
      <c r="AC36" s="35"/>
      <c r="AD36" s="35"/>
      <c r="AE36" s="37" t="str">
        <f>IF($A36="","",COUNTIFS(Připomínky!$A$4:$A$503,$A36,Připomínky!$J$4:$J$503,"Nevyřešeno"))</f>
        <v/>
      </c>
      <c r="AF36" s="37" t="str">
        <f>IF($A36="","",COUNTIFS(Publikace!$A$4:$A$503,$A36))</f>
        <v/>
      </c>
      <c r="AG36" s="38" t="str">
        <f>IF($A36="","",IF(AF36=0,"",_xlfn.MINIFS(Publikace!$E$4:$E$503,Publikace!$A$4:$A$503,$A36)))</f>
        <v/>
      </c>
      <c r="AH36" s="37" t="str">
        <f t="shared" si="0"/>
        <v/>
      </c>
      <c r="AI36" s="39" t="str">
        <f ca="1">IF($A36="","",TRIM(IF(AND($U36&lt;&gt;"",$U36&lt;TODAY(),$W36&lt;&gt;"Schváleno",$W36&lt;&gt;"Odloženo",$W36&lt;&gt;"Zrušeno"),"Po termínu odevzdání. ","")&amp;IF(AND($W36="Schváleno",OR($X36="",$Y36="")),"Schváleno bez jména / data. ","")&amp;IF(OR($G36="",$H36="",$I36="",$F36=""),"Chybí zařazení (kategorie, typ, profil nebo měsíc). ","")&amp;IF(AND(OR($I36="Honza",$I36="Radek"),OR($J36="",$J36="Nevztahuje se")),"Doplnit charakter (osobní / pracovní). ","")&amp;IF(AND($W36="Schváleno",$AE36&gt;0),"Schváleno, ale má otevřené připomínky. ","")&amp;IF(AND($AA36="Publikováno",$AF36=0),"Publikováno bez záznamu v listu Publikace. ","")&amp;IF(AND($C36&lt;&gt;"",$D36=""),"Chybí číslo dílu série. ","")&amp;IF(AND($E36&lt;&gt;"",$W36&lt;&gt;"Schváleno",$W36&lt;&gt;"Odloženo",$W36&lt;&gt;"Zrušeno",IFERROR(VLOOKUP($E36,Nastavení!$A$30:$G$53,3,FALSE()),0)&gt;0,IFERROR(VLOOKUP($E36,Nastavení!$A$30:$G$53,3,FALSE()),0)&lt;TODAY()),"Neschváleno po termínu cyklu. ","")))</f>
        <v/>
      </c>
    </row>
    <row r="37" spans="1:35" x14ac:dyDescent="0.2">
      <c r="A37" s="35"/>
      <c r="B37" s="11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11"/>
      <c r="N37" s="11"/>
      <c r="O37" s="11"/>
      <c r="P37" s="11"/>
      <c r="Q37" s="11"/>
      <c r="R37" s="11"/>
      <c r="S37" s="11"/>
      <c r="T37" s="35"/>
      <c r="U37" s="36"/>
      <c r="V37" s="11"/>
      <c r="W37" s="35"/>
      <c r="X37" s="35"/>
      <c r="Y37" s="36"/>
      <c r="Z37" s="11"/>
      <c r="AA37" s="35"/>
      <c r="AB37" s="36"/>
      <c r="AC37" s="35"/>
      <c r="AD37" s="35"/>
      <c r="AE37" s="37" t="str">
        <f>IF($A37="","",COUNTIFS(Připomínky!$A$4:$A$503,$A37,Připomínky!$J$4:$J$503,"Nevyřešeno"))</f>
        <v/>
      </c>
      <c r="AF37" s="37" t="str">
        <f>IF($A37="","",COUNTIFS(Publikace!$A$4:$A$503,$A37))</f>
        <v/>
      </c>
      <c r="AG37" s="38" t="str">
        <f>IF($A37="","",IF(AF37=0,"",_xlfn.MINIFS(Publikace!$E$4:$E$503,Publikace!$A$4:$A$503,$A37)))</f>
        <v/>
      </c>
      <c r="AH37" s="37" t="str">
        <f t="shared" si="0"/>
        <v/>
      </c>
      <c r="AI37" s="39" t="str">
        <f ca="1">IF($A37="","",TRIM(IF(AND($U37&lt;&gt;"",$U37&lt;TODAY(),$W37&lt;&gt;"Schváleno",$W37&lt;&gt;"Odloženo",$W37&lt;&gt;"Zrušeno"),"Po termínu odevzdání. ","")&amp;IF(AND($W37="Schváleno",OR($X37="",$Y37="")),"Schváleno bez jména / data. ","")&amp;IF(OR($G37="",$H37="",$I37="",$F37=""),"Chybí zařazení (kategorie, typ, profil nebo měsíc). ","")&amp;IF(AND(OR($I37="Honza",$I37="Radek"),OR($J37="",$J37="Nevztahuje se")),"Doplnit charakter (osobní / pracovní). ","")&amp;IF(AND($W37="Schváleno",$AE37&gt;0),"Schváleno, ale má otevřené připomínky. ","")&amp;IF(AND($AA37="Publikováno",$AF37=0),"Publikováno bez záznamu v listu Publikace. ","")&amp;IF(AND($C37&lt;&gt;"",$D37=""),"Chybí číslo dílu série. ","")&amp;IF(AND($E37&lt;&gt;"",$W37&lt;&gt;"Schváleno",$W37&lt;&gt;"Odloženo",$W37&lt;&gt;"Zrušeno",IFERROR(VLOOKUP($E37,Nastavení!$A$30:$G$53,3,FALSE()),0)&gt;0,IFERROR(VLOOKUP($E37,Nastavení!$A$30:$G$53,3,FALSE()),0)&lt;TODAY()),"Neschváleno po termínu cyklu. ","")))</f>
        <v/>
      </c>
    </row>
    <row r="38" spans="1:35" x14ac:dyDescent="0.2">
      <c r="A38" s="35"/>
      <c r="B38" s="11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11"/>
      <c r="N38" s="11"/>
      <c r="O38" s="11"/>
      <c r="P38" s="11"/>
      <c r="Q38" s="11"/>
      <c r="R38" s="11"/>
      <c r="S38" s="11"/>
      <c r="T38" s="35"/>
      <c r="U38" s="36"/>
      <c r="V38" s="11"/>
      <c r="W38" s="35"/>
      <c r="X38" s="35"/>
      <c r="Y38" s="36"/>
      <c r="Z38" s="11"/>
      <c r="AA38" s="35"/>
      <c r="AB38" s="36"/>
      <c r="AC38" s="35"/>
      <c r="AD38" s="35"/>
      <c r="AE38" s="37" t="str">
        <f>IF($A38="","",COUNTIFS(Připomínky!$A$4:$A$503,$A38,Připomínky!$J$4:$J$503,"Nevyřešeno"))</f>
        <v/>
      </c>
      <c r="AF38" s="37" t="str">
        <f>IF($A38="","",COUNTIFS(Publikace!$A$4:$A$503,$A38))</f>
        <v/>
      </c>
      <c r="AG38" s="38" t="str">
        <f>IF($A38="","",IF(AF38=0,"",_xlfn.MINIFS(Publikace!$E$4:$E$503,Publikace!$A$4:$A$503,$A38)))</f>
        <v/>
      </c>
      <c r="AH38" s="37" t="str">
        <f t="shared" si="0"/>
        <v/>
      </c>
      <c r="AI38" s="39" t="str">
        <f ca="1">IF($A38="","",TRIM(IF(AND($U38&lt;&gt;"",$U38&lt;TODAY(),$W38&lt;&gt;"Schváleno",$W38&lt;&gt;"Odloženo",$W38&lt;&gt;"Zrušeno"),"Po termínu odevzdání. ","")&amp;IF(AND($W38="Schváleno",OR($X38="",$Y38="")),"Schváleno bez jména / data. ","")&amp;IF(OR($G38="",$H38="",$I38="",$F38=""),"Chybí zařazení (kategorie, typ, profil nebo měsíc). ","")&amp;IF(AND(OR($I38="Honza",$I38="Radek"),OR($J38="",$J38="Nevztahuje se")),"Doplnit charakter (osobní / pracovní). ","")&amp;IF(AND($W38="Schváleno",$AE38&gt;0),"Schváleno, ale má otevřené připomínky. ","")&amp;IF(AND($AA38="Publikováno",$AF38=0),"Publikováno bez záznamu v listu Publikace. ","")&amp;IF(AND($C38&lt;&gt;"",$D38=""),"Chybí číslo dílu série. ","")&amp;IF(AND($E38&lt;&gt;"",$W38&lt;&gt;"Schváleno",$W38&lt;&gt;"Odloženo",$W38&lt;&gt;"Zrušeno",IFERROR(VLOOKUP($E38,Nastavení!$A$30:$G$53,3,FALSE()),0)&gt;0,IFERROR(VLOOKUP($E38,Nastavení!$A$30:$G$53,3,FALSE()),0)&lt;TODAY()),"Neschváleno po termínu cyklu. ","")))</f>
        <v/>
      </c>
    </row>
    <row r="39" spans="1:35" x14ac:dyDescent="0.2">
      <c r="A39" s="35"/>
      <c r="B39" s="11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11"/>
      <c r="N39" s="11"/>
      <c r="O39" s="11"/>
      <c r="P39" s="11"/>
      <c r="Q39" s="11"/>
      <c r="R39" s="11"/>
      <c r="S39" s="11"/>
      <c r="T39" s="35"/>
      <c r="U39" s="36"/>
      <c r="V39" s="11"/>
      <c r="W39" s="35"/>
      <c r="X39" s="35"/>
      <c r="Y39" s="36"/>
      <c r="Z39" s="11"/>
      <c r="AA39" s="35"/>
      <c r="AB39" s="36"/>
      <c r="AC39" s="35"/>
      <c r="AD39" s="35"/>
      <c r="AE39" s="37" t="str">
        <f>IF($A39="","",COUNTIFS(Připomínky!$A$4:$A$503,$A39,Připomínky!$J$4:$J$503,"Nevyřešeno"))</f>
        <v/>
      </c>
      <c r="AF39" s="37" t="str">
        <f>IF($A39="","",COUNTIFS(Publikace!$A$4:$A$503,$A39))</f>
        <v/>
      </c>
      <c r="AG39" s="38" t="str">
        <f>IF($A39="","",IF(AF39=0,"",_xlfn.MINIFS(Publikace!$E$4:$E$503,Publikace!$A$4:$A$503,$A39)))</f>
        <v/>
      </c>
      <c r="AH39" s="37" t="str">
        <f t="shared" si="0"/>
        <v/>
      </c>
      <c r="AI39" s="39" t="str">
        <f ca="1">IF($A39="","",TRIM(IF(AND($U39&lt;&gt;"",$U39&lt;TODAY(),$W39&lt;&gt;"Schváleno",$W39&lt;&gt;"Odloženo",$W39&lt;&gt;"Zrušeno"),"Po termínu odevzdání. ","")&amp;IF(AND($W39="Schváleno",OR($X39="",$Y39="")),"Schváleno bez jména / data. ","")&amp;IF(OR($G39="",$H39="",$I39="",$F39=""),"Chybí zařazení (kategorie, typ, profil nebo měsíc). ","")&amp;IF(AND(OR($I39="Honza",$I39="Radek"),OR($J39="",$J39="Nevztahuje se")),"Doplnit charakter (osobní / pracovní). ","")&amp;IF(AND($W39="Schváleno",$AE39&gt;0),"Schváleno, ale má otevřené připomínky. ","")&amp;IF(AND($AA39="Publikováno",$AF39=0),"Publikováno bez záznamu v listu Publikace. ","")&amp;IF(AND($C39&lt;&gt;"",$D39=""),"Chybí číslo dílu série. ","")&amp;IF(AND($E39&lt;&gt;"",$W39&lt;&gt;"Schváleno",$W39&lt;&gt;"Odloženo",$W39&lt;&gt;"Zrušeno",IFERROR(VLOOKUP($E39,Nastavení!$A$30:$G$53,3,FALSE()),0)&gt;0,IFERROR(VLOOKUP($E39,Nastavení!$A$30:$G$53,3,FALSE()),0)&lt;TODAY()),"Neschváleno po termínu cyklu. ","")))</f>
        <v/>
      </c>
    </row>
    <row r="40" spans="1:35" x14ac:dyDescent="0.2">
      <c r="A40" s="35"/>
      <c r="B40" s="11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11"/>
      <c r="N40" s="11"/>
      <c r="O40" s="11"/>
      <c r="P40" s="11"/>
      <c r="Q40" s="11"/>
      <c r="R40" s="11"/>
      <c r="S40" s="11"/>
      <c r="T40" s="35"/>
      <c r="U40" s="36"/>
      <c r="V40" s="11"/>
      <c r="W40" s="35"/>
      <c r="X40" s="35"/>
      <c r="Y40" s="36"/>
      <c r="Z40" s="11"/>
      <c r="AA40" s="35"/>
      <c r="AB40" s="36"/>
      <c r="AC40" s="35"/>
      <c r="AD40" s="35"/>
      <c r="AE40" s="37" t="str">
        <f>IF($A40="","",COUNTIFS(Připomínky!$A$4:$A$503,$A40,Připomínky!$J$4:$J$503,"Nevyřešeno"))</f>
        <v/>
      </c>
      <c r="AF40" s="37" t="str">
        <f>IF($A40="","",COUNTIFS(Publikace!$A$4:$A$503,$A40))</f>
        <v/>
      </c>
      <c r="AG40" s="38" t="str">
        <f>IF($A40="","",IF(AF40=0,"",_xlfn.MINIFS(Publikace!$E$4:$E$503,Publikace!$A$4:$A$503,$A40)))</f>
        <v/>
      </c>
      <c r="AH40" s="37" t="str">
        <f t="shared" si="0"/>
        <v/>
      </c>
      <c r="AI40" s="39" t="str">
        <f ca="1">IF($A40="","",TRIM(IF(AND($U40&lt;&gt;"",$U40&lt;TODAY(),$W40&lt;&gt;"Schváleno",$W40&lt;&gt;"Odloženo",$W40&lt;&gt;"Zrušeno"),"Po termínu odevzdání. ","")&amp;IF(AND($W40="Schváleno",OR($X40="",$Y40="")),"Schváleno bez jména / data. ","")&amp;IF(OR($G40="",$H40="",$I40="",$F40=""),"Chybí zařazení (kategorie, typ, profil nebo měsíc). ","")&amp;IF(AND(OR($I40="Honza",$I40="Radek"),OR($J40="",$J40="Nevztahuje se")),"Doplnit charakter (osobní / pracovní). ","")&amp;IF(AND($W40="Schváleno",$AE40&gt;0),"Schváleno, ale má otevřené připomínky. ","")&amp;IF(AND($AA40="Publikováno",$AF40=0),"Publikováno bez záznamu v listu Publikace. ","")&amp;IF(AND($C40&lt;&gt;"",$D40=""),"Chybí číslo dílu série. ","")&amp;IF(AND($E40&lt;&gt;"",$W40&lt;&gt;"Schváleno",$W40&lt;&gt;"Odloženo",$W40&lt;&gt;"Zrušeno",IFERROR(VLOOKUP($E40,Nastavení!$A$30:$G$53,3,FALSE()),0)&gt;0,IFERROR(VLOOKUP($E40,Nastavení!$A$30:$G$53,3,FALSE()),0)&lt;TODAY()),"Neschváleno po termínu cyklu. ","")))</f>
        <v/>
      </c>
    </row>
    <row r="41" spans="1:35" x14ac:dyDescent="0.2">
      <c r="A41" s="35"/>
      <c r="B41" s="11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11"/>
      <c r="N41" s="11"/>
      <c r="O41" s="11"/>
      <c r="P41" s="11"/>
      <c r="Q41" s="11"/>
      <c r="R41" s="11"/>
      <c r="S41" s="11"/>
      <c r="T41" s="35"/>
      <c r="U41" s="36"/>
      <c r="V41" s="11"/>
      <c r="W41" s="35"/>
      <c r="X41" s="35"/>
      <c r="Y41" s="36"/>
      <c r="Z41" s="11"/>
      <c r="AA41" s="35"/>
      <c r="AB41" s="36"/>
      <c r="AC41" s="35"/>
      <c r="AD41" s="35"/>
      <c r="AE41" s="37" t="str">
        <f>IF($A41="","",COUNTIFS(Připomínky!$A$4:$A$503,$A41,Připomínky!$J$4:$J$503,"Nevyřešeno"))</f>
        <v/>
      </c>
      <c r="AF41" s="37" t="str">
        <f>IF($A41="","",COUNTIFS(Publikace!$A$4:$A$503,$A41))</f>
        <v/>
      </c>
      <c r="AG41" s="38" t="str">
        <f>IF($A41="","",IF(AF41=0,"",_xlfn.MINIFS(Publikace!$E$4:$E$503,Publikace!$A$4:$A$503,$A41)))</f>
        <v/>
      </c>
      <c r="AH41" s="37" t="str">
        <f t="shared" si="0"/>
        <v/>
      </c>
      <c r="AI41" s="39" t="str">
        <f ca="1">IF($A41="","",TRIM(IF(AND($U41&lt;&gt;"",$U41&lt;TODAY(),$W41&lt;&gt;"Schváleno",$W41&lt;&gt;"Odloženo",$W41&lt;&gt;"Zrušeno"),"Po termínu odevzdání. ","")&amp;IF(AND($W41="Schváleno",OR($X41="",$Y41="")),"Schváleno bez jména / data. ","")&amp;IF(OR($G41="",$H41="",$I41="",$F41=""),"Chybí zařazení (kategorie, typ, profil nebo měsíc). ","")&amp;IF(AND(OR($I41="Honza",$I41="Radek"),OR($J41="",$J41="Nevztahuje se")),"Doplnit charakter (osobní / pracovní). ","")&amp;IF(AND($W41="Schváleno",$AE41&gt;0),"Schváleno, ale má otevřené připomínky. ","")&amp;IF(AND($AA41="Publikováno",$AF41=0),"Publikováno bez záznamu v listu Publikace. ","")&amp;IF(AND($C41&lt;&gt;"",$D41=""),"Chybí číslo dílu série. ","")&amp;IF(AND($E41&lt;&gt;"",$W41&lt;&gt;"Schváleno",$W41&lt;&gt;"Odloženo",$W41&lt;&gt;"Zrušeno",IFERROR(VLOOKUP($E41,Nastavení!$A$30:$G$53,3,FALSE()),0)&gt;0,IFERROR(VLOOKUP($E41,Nastavení!$A$30:$G$53,3,FALSE()),0)&lt;TODAY()),"Neschváleno po termínu cyklu. ","")))</f>
        <v/>
      </c>
    </row>
    <row r="42" spans="1:35" x14ac:dyDescent="0.2">
      <c r="A42" s="35"/>
      <c r="B42" s="11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11"/>
      <c r="N42" s="11"/>
      <c r="O42" s="11"/>
      <c r="P42" s="11"/>
      <c r="Q42" s="11"/>
      <c r="R42" s="11"/>
      <c r="S42" s="11"/>
      <c r="T42" s="35"/>
      <c r="U42" s="36"/>
      <c r="V42" s="11"/>
      <c r="W42" s="35"/>
      <c r="X42" s="35"/>
      <c r="Y42" s="36"/>
      <c r="Z42" s="11"/>
      <c r="AA42" s="35"/>
      <c r="AB42" s="36"/>
      <c r="AC42" s="35"/>
      <c r="AD42" s="35"/>
      <c r="AE42" s="37" t="str">
        <f>IF($A42="","",COUNTIFS(Připomínky!$A$4:$A$503,$A42,Připomínky!$J$4:$J$503,"Nevyřešeno"))</f>
        <v/>
      </c>
      <c r="AF42" s="37" t="str">
        <f>IF($A42="","",COUNTIFS(Publikace!$A$4:$A$503,$A42))</f>
        <v/>
      </c>
      <c r="AG42" s="38" t="str">
        <f>IF($A42="","",IF(AF42=0,"",_xlfn.MINIFS(Publikace!$E$4:$E$503,Publikace!$A$4:$A$503,$A42)))</f>
        <v/>
      </c>
      <c r="AH42" s="37" t="str">
        <f t="shared" si="0"/>
        <v/>
      </c>
      <c r="AI42" s="39" t="str">
        <f ca="1">IF($A42="","",TRIM(IF(AND($U42&lt;&gt;"",$U42&lt;TODAY(),$W42&lt;&gt;"Schváleno",$W42&lt;&gt;"Odloženo",$W42&lt;&gt;"Zrušeno"),"Po termínu odevzdání. ","")&amp;IF(AND($W42="Schváleno",OR($X42="",$Y42="")),"Schváleno bez jména / data. ","")&amp;IF(OR($G42="",$H42="",$I42="",$F42=""),"Chybí zařazení (kategorie, typ, profil nebo měsíc). ","")&amp;IF(AND(OR($I42="Honza",$I42="Radek"),OR($J42="",$J42="Nevztahuje se")),"Doplnit charakter (osobní / pracovní). ","")&amp;IF(AND($W42="Schváleno",$AE42&gt;0),"Schváleno, ale má otevřené připomínky. ","")&amp;IF(AND($AA42="Publikováno",$AF42=0),"Publikováno bez záznamu v listu Publikace. ","")&amp;IF(AND($C42&lt;&gt;"",$D42=""),"Chybí číslo dílu série. ","")&amp;IF(AND($E42&lt;&gt;"",$W42&lt;&gt;"Schváleno",$W42&lt;&gt;"Odloženo",$W42&lt;&gt;"Zrušeno",IFERROR(VLOOKUP($E42,Nastavení!$A$30:$G$53,3,FALSE()),0)&gt;0,IFERROR(VLOOKUP($E42,Nastavení!$A$30:$G$53,3,FALSE()),0)&lt;TODAY()),"Neschváleno po termínu cyklu. ","")))</f>
        <v/>
      </c>
    </row>
    <row r="43" spans="1:35" x14ac:dyDescent="0.2">
      <c r="A43" s="35"/>
      <c r="B43" s="11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11"/>
      <c r="N43" s="11"/>
      <c r="O43" s="11"/>
      <c r="P43" s="11"/>
      <c r="Q43" s="11"/>
      <c r="R43" s="11"/>
      <c r="S43" s="11"/>
      <c r="T43" s="35"/>
      <c r="U43" s="36"/>
      <c r="V43" s="11"/>
      <c r="W43" s="35"/>
      <c r="X43" s="35"/>
      <c r="Y43" s="36"/>
      <c r="Z43" s="11"/>
      <c r="AA43" s="35"/>
      <c r="AB43" s="36"/>
      <c r="AC43" s="35"/>
      <c r="AD43" s="35"/>
      <c r="AE43" s="37" t="str">
        <f>IF($A43="","",COUNTIFS(Připomínky!$A$4:$A$503,$A43,Připomínky!$J$4:$J$503,"Nevyřešeno"))</f>
        <v/>
      </c>
      <c r="AF43" s="37" t="str">
        <f>IF($A43="","",COUNTIFS(Publikace!$A$4:$A$503,$A43))</f>
        <v/>
      </c>
      <c r="AG43" s="38" t="str">
        <f>IF($A43="","",IF(AF43=0,"",_xlfn.MINIFS(Publikace!$E$4:$E$503,Publikace!$A$4:$A$503,$A43)))</f>
        <v/>
      </c>
      <c r="AH43" s="37" t="str">
        <f t="shared" si="0"/>
        <v/>
      </c>
      <c r="AI43" s="39" t="str">
        <f ca="1">IF($A43="","",TRIM(IF(AND($U43&lt;&gt;"",$U43&lt;TODAY(),$W43&lt;&gt;"Schváleno",$W43&lt;&gt;"Odloženo",$W43&lt;&gt;"Zrušeno"),"Po termínu odevzdání. ","")&amp;IF(AND($W43="Schváleno",OR($X43="",$Y43="")),"Schváleno bez jména / data. ","")&amp;IF(OR($G43="",$H43="",$I43="",$F43=""),"Chybí zařazení (kategorie, typ, profil nebo měsíc). ","")&amp;IF(AND(OR($I43="Honza",$I43="Radek"),OR($J43="",$J43="Nevztahuje se")),"Doplnit charakter (osobní / pracovní). ","")&amp;IF(AND($W43="Schváleno",$AE43&gt;0),"Schváleno, ale má otevřené připomínky. ","")&amp;IF(AND($AA43="Publikováno",$AF43=0),"Publikováno bez záznamu v listu Publikace. ","")&amp;IF(AND($C43&lt;&gt;"",$D43=""),"Chybí číslo dílu série. ","")&amp;IF(AND($E43&lt;&gt;"",$W43&lt;&gt;"Schváleno",$W43&lt;&gt;"Odloženo",$W43&lt;&gt;"Zrušeno",IFERROR(VLOOKUP($E43,Nastavení!$A$30:$G$53,3,FALSE()),0)&gt;0,IFERROR(VLOOKUP($E43,Nastavení!$A$30:$G$53,3,FALSE()),0)&lt;TODAY()),"Neschváleno po termínu cyklu. ","")))</f>
        <v/>
      </c>
    </row>
    <row r="44" spans="1:35" x14ac:dyDescent="0.2">
      <c r="A44" s="35"/>
      <c r="B44" s="11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11"/>
      <c r="N44" s="11"/>
      <c r="O44" s="11"/>
      <c r="P44" s="11"/>
      <c r="Q44" s="11"/>
      <c r="R44" s="11"/>
      <c r="S44" s="11"/>
      <c r="T44" s="35"/>
      <c r="U44" s="36"/>
      <c r="V44" s="11"/>
      <c r="W44" s="35"/>
      <c r="X44" s="35"/>
      <c r="Y44" s="36"/>
      <c r="Z44" s="11"/>
      <c r="AA44" s="35"/>
      <c r="AB44" s="36"/>
      <c r="AC44" s="35"/>
      <c r="AD44" s="35"/>
      <c r="AE44" s="37" t="str">
        <f>IF($A44="","",COUNTIFS(Připomínky!$A$4:$A$503,$A44,Připomínky!$J$4:$J$503,"Nevyřešeno"))</f>
        <v/>
      </c>
      <c r="AF44" s="37" t="str">
        <f>IF($A44="","",COUNTIFS(Publikace!$A$4:$A$503,$A44))</f>
        <v/>
      </c>
      <c r="AG44" s="38" t="str">
        <f>IF($A44="","",IF(AF44=0,"",_xlfn.MINIFS(Publikace!$E$4:$E$503,Publikace!$A$4:$A$503,$A44)))</f>
        <v/>
      </c>
      <c r="AH44" s="37" t="str">
        <f t="shared" si="0"/>
        <v/>
      </c>
      <c r="AI44" s="39" t="str">
        <f ca="1">IF($A44="","",TRIM(IF(AND($U44&lt;&gt;"",$U44&lt;TODAY(),$W44&lt;&gt;"Schváleno",$W44&lt;&gt;"Odloženo",$W44&lt;&gt;"Zrušeno"),"Po termínu odevzdání. ","")&amp;IF(AND($W44="Schváleno",OR($X44="",$Y44="")),"Schváleno bez jména / data. ","")&amp;IF(OR($G44="",$H44="",$I44="",$F44=""),"Chybí zařazení (kategorie, typ, profil nebo měsíc). ","")&amp;IF(AND(OR($I44="Honza",$I44="Radek"),OR($J44="",$J44="Nevztahuje se")),"Doplnit charakter (osobní / pracovní). ","")&amp;IF(AND($W44="Schváleno",$AE44&gt;0),"Schváleno, ale má otevřené připomínky. ","")&amp;IF(AND($AA44="Publikováno",$AF44=0),"Publikováno bez záznamu v listu Publikace. ","")&amp;IF(AND($C44&lt;&gt;"",$D44=""),"Chybí číslo dílu série. ","")&amp;IF(AND($E44&lt;&gt;"",$W44&lt;&gt;"Schváleno",$W44&lt;&gt;"Odloženo",$W44&lt;&gt;"Zrušeno",IFERROR(VLOOKUP($E44,Nastavení!$A$30:$G$53,3,FALSE()),0)&gt;0,IFERROR(VLOOKUP($E44,Nastavení!$A$30:$G$53,3,FALSE()),0)&lt;TODAY()),"Neschváleno po termínu cyklu. ","")))</f>
        <v/>
      </c>
    </row>
    <row r="45" spans="1:35" x14ac:dyDescent="0.2">
      <c r="A45" s="35"/>
      <c r="B45" s="11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11"/>
      <c r="N45" s="11"/>
      <c r="O45" s="11"/>
      <c r="P45" s="11"/>
      <c r="Q45" s="11"/>
      <c r="R45" s="11"/>
      <c r="S45" s="11"/>
      <c r="T45" s="35"/>
      <c r="U45" s="36"/>
      <c r="V45" s="11"/>
      <c r="W45" s="35"/>
      <c r="X45" s="35"/>
      <c r="Y45" s="36"/>
      <c r="Z45" s="11"/>
      <c r="AA45" s="35"/>
      <c r="AB45" s="36"/>
      <c r="AC45" s="35"/>
      <c r="AD45" s="35"/>
      <c r="AE45" s="37" t="str">
        <f>IF($A45="","",COUNTIFS(Připomínky!$A$4:$A$503,$A45,Připomínky!$J$4:$J$503,"Nevyřešeno"))</f>
        <v/>
      </c>
      <c r="AF45" s="37" t="str">
        <f>IF($A45="","",COUNTIFS(Publikace!$A$4:$A$503,$A45))</f>
        <v/>
      </c>
      <c r="AG45" s="38" t="str">
        <f>IF($A45="","",IF(AF45=0,"",_xlfn.MINIFS(Publikace!$E$4:$E$503,Publikace!$A$4:$A$503,$A45)))</f>
        <v/>
      </c>
      <c r="AH45" s="37" t="str">
        <f t="shared" si="0"/>
        <v/>
      </c>
      <c r="AI45" s="39" t="str">
        <f ca="1">IF($A45="","",TRIM(IF(AND($U45&lt;&gt;"",$U45&lt;TODAY(),$W45&lt;&gt;"Schváleno",$W45&lt;&gt;"Odloženo",$W45&lt;&gt;"Zrušeno"),"Po termínu odevzdání. ","")&amp;IF(AND($W45="Schváleno",OR($X45="",$Y45="")),"Schváleno bez jména / data. ","")&amp;IF(OR($G45="",$H45="",$I45="",$F45=""),"Chybí zařazení (kategorie, typ, profil nebo měsíc). ","")&amp;IF(AND(OR($I45="Honza",$I45="Radek"),OR($J45="",$J45="Nevztahuje se")),"Doplnit charakter (osobní / pracovní). ","")&amp;IF(AND($W45="Schváleno",$AE45&gt;0),"Schváleno, ale má otevřené připomínky. ","")&amp;IF(AND($AA45="Publikováno",$AF45=0),"Publikováno bez záznamu v listu Publikace. ","")&amp;IF(AND($C45&lt;&gt;"",$D45=""),"Chybí číslo dílu série. ","")&amp;IF(AND($E45&lt;&gt;"",$W45&lt;&gt;"Schváleno",$W45&lt;&gt;"Odloženo",$W45&lt;&gt;"Zrušeno",IFERROR(VLOOKUP($E45,Nastavení!$A$30:$G$53,3,FALSE()),0)&gt;0,IFERROR(VLOOKUP($E45,Nastavení!$A$30:$G$53,3,FALSE()),0)&lt;TODAY()),"Neschváleno po termínu cyklu. ","")))</f>
        <v/>
      </c>
    </row>
    <row r="46" spans="1:35" x14ac:dyDescent="0.2">
      <c r="A46" s="35"/>
      <c r="B46" s="11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11"/>
      <c r="N46" s="11"/>
      <c r="O46" s="11"/>
      <c r="P46" s="11"/>
      <c r="Q46" s="11"/>
      <c r="R46" s="11"/>
      <c r="S46" s="11"/>
      <c r="T46" s="35"/>
      <c r="U46" s="36"/>
      <c r="V46" s="11"/>
      <c r="W46" s="35"/>
      <c r="X46" s="35"/>
      <c r="Y46" s="36"/>
      <c r="Z46" s="11"/>
      <c r="AA46" s="35"/>
      <c r="AB46" s="36"/>
      <c r="AC46" s="35"/>
      <c r="AD46" s="35"/>
      <c r="AE46" s="37" t="str">
        <f>IF($A46="","",COUNTIFS(Připomínky!$A$4:$A$503,$A46,Připomínky!$J$4:$J$503,"Nevyřešeno"))</f>
        <v/>
      </c>
      <c r="AF46" s="37" t="str">
        <f>IF($A46="","",COUNTIFS(Publikace!$A$4:$A$503,$A46))</f>
        <v/>
      </c>
      <c r="AG46" s="38" t="str">
        <f>IF($A46="","",IF(AF46=0,"",_xlfn.MINIFS(Publikace!$E$4:$E$503,Publikace!$A$4:$A$503,$A46)))</f>
        <v/>
      </c>
      <c r="AH46" s="37" t="str">
        <f t="shared" si="0"/>
        <v/>
      </c>
      <c r="AI46" s="39" t="str">
        <f ca="1">IF($A46="","",TRIM(IF(AND($U46&lt;&gt;"",$U46&lt;TODAY(),$W46&lt;&gt;"Schváleno",$W46&lt;&gt;"Odloženo",$W46&lt;&gt;"Zrušeno"),"Po termínu odevzdání. ","")&amp;IF(AND($W46="Schváleno",OR($X46="",$Y46="")),"Schváleno bez jména / data. ","")&amp;IF(OR($G46="",$H46="",$I46="",$F46=""),"Chybí zařazení (kategorie, typ, profil nebo měsíc). ","")&amp;IF(AND(OR($I46="Honza",$I46="Radek"),OR($J46="",$J46="Nevztahuje se")),"Doplnit charakter (osobní / pracovní). ","")&amp;IF(AND($W46="Schváleno",$AE46&gt;0),"Schváleno, ale má otevřené připomínky. ","")&amp;IF(AND($AA46="Publikováno",$AF46=0),"Publikováno bez záznamu v listu Publikace. ","")&amp;IF(AND($C46&lt;&gt;"",$D46=""),"Chybí číslo dílu série. ","")&amp;IF(AND($E46&lt;&gt;"",$W46&lt;&gt;"Schváleno",$W46&lt;&gt;"Odloženo",$W46&lt;&gt;"Zrušeno",IFERROR(VLOOKUP($E46,Nastavení!$A$30:$G$53,3,FALSE()),0)&gt;0,IFERROR(VLOOKUP($E46,Nastavení!$A$30:$G$53,3,FALSE()),0)&lt;TODAY()),"Neschváleno po termínu cyklu. ","")))</f>
        <v/>
      </c>
    </row>
    <row r="47" spans="1:35" x14ac:dyDescent="0.2">
      <c r="A47" s="35"/>
      <c r="B47" s="11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11"/>
      <c r="N47" s="11"/>
      <c r="O47" s="11"/>
      <c r="P47" s="11"/>
      <c r="Q47" s="11"/>
      <c r="R47" s="11"/>
      <c r="S47" s="11"/>
      <c r="T47" s="35"/>
      <c r="U47" s="36"/>
      <c r="V47" s="11"/>
      <c r="W47" s="35"/>
      <c r="X47" s="35"/>
      <c r="Y47" s="36"/>
      <c r="Z47" s="11"/>
      <c r="AA47" s="35"/>
      <c r="AB47" s="36"/>
      <c r="AC47" s="35"/>
      <c r="AD47" s="35"/>
      <c r="AE47" s="37" t="str">
        <f>IF($A47="","",COUNTIFS(Připomínky!$A$4:$A$503,$A47,Připomínky!$J$4:$J$503,"Nevyřešeno"))</f>
        <v/>
      </c>
      <c r="AF47" s="37" t="str">
        <f>IF($A47="","",COUNTIFS(Publikace!$A$4:$A$503,$A47))</f>
        <v/>
      </c>
      <c r="AG47" s="38" t="str">
        <f>IF($A47="","",IF(AF47=0,"",_xlfn.MINIFS(Publikace!$E$4:$E$503,Publikace!$A$4:$A$503,$A47)))</f>
        <v/>
      </c>
      <c r="AH47" s="37" t="str">
        <f t="shared" si="0"/>
        <v/>
      </c>
      <c r="AI47" s="39" t="str">
        <f ca="1">IF($A47="","",TRIM(IF(AND($U47&lt;&gt;"",$U47&lt;TODAY(),$W47&lt;&gt;"Schváleno",$W47&lt;&gt;"Odloženo",$W47&lt;&gt;"Zrušeno"),"Po termínu odevzdání. ","")&amp;IF(AND($W47="Schváleno",OR($X47="",$Y47="")),"Schváleno bez jména / data. ","")&amp;IF(OR($G47="",$H47="",$I47="",$F47=""),"Chybí zařazení (kategorie, typ, profil nebo měsíc). ","")&amp;IF(AND(OR($I47="Honza",$I47="Radek"),OR($J47="",$J47="Nevztahuje se")),"Doplnit charakter (osobní / pracovní). ","")&amp;IF(AND($W47="Schváleno",$AE47&gt;0),"Schváleno, ale má otevřené připomínky. ","")&amp;IF(AND($AA47="Publikováno",$AF47=0),"Publikováno bez záznamu v listu Publikace. ","")&amp;IF(AND($C47&lt;&gt;"",$D47=""),"Chybí číslo dílu série. ","")&amp;IF(AND($E47&lt;&gt;"",$W47&lt;&gt;"Schváleno",$W47&lt;&gt;"Odloženo",$W47&lt;&gt;"Zrušeno",IFERROR(VLOOKUP($E47,Nastavení!$A$30:$G$53,3,FALSE()),0)&gt;0,IFERROR(VLOOKUP($E47,Nastavení!$A$30:$G$53,3,FALSE()),0)&lt;TODAY()),"Neschváleno po termínu cyklu. ","")))</f>
        <v/>
      </c>
    </row>
    <row r="48" spans="1:35" x14ac:dyDescent="0.2">
      <c r="A48" s="35"/>
      <c r="B48" s="11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11"/>
      <c r="N48" s="11"/>
      <c r="O48" s="11"/>
      <c r="P48" s="11"/>
      <c r="Q48" s="11"/>
      <c r="R48" s="11"/>
      <c r="S48" s="11"/>
      <c r="T48" s="35"/>
      <c r="U48" s="36"/>
      <c r="V48" s="11"/>
      <c r="W48" s="35"/>
      <c r="X48" s="35"/>
      <c r="Y48" s="36"/>
      <c r="Z48" s="11"/>
      <c r="AA48" s="35"/>
      <c r="AB48" s="36"/>
      <c r="AC48" s="35"/>
      <c r="AD48" s="35"/>
      <c r="AE48" s="37" t="str">
        <f>IF($A48="","",COUNTIFS(Připomínky!$A$4:$A$503,$A48,Připomínky!$J$4:$J$503,"Nevyřešeno"))</f>
        <v/>
      </c>
      <c r="AF48" s="37" t="str">
        <f>IF($A48="","",COUNTIFS(Publikace!$A$4:$A$503,$A48))</f>
        <v/>
      </c>
      <c r="AG48" s="38" t="str">
        <f>IF($A48="","",IF(AF48=0,"",_xlfn.MINIFS(Publikace!$E$4:$E$503,Publikace!$A$4:$A$503,$A48)))</f>
        <v/>
      </c>
      <c r="AH48" s="37" t="str">
        <f t="shared" si="0"/>
        <v/>
      </c>
      <c r="AI48" s="39" t="str">
        <f ca="1">IF($A48="","",TRIM(IF(AND($U48&lt;&gt;"",$U48&lt;TODAY(),$W48&lt;&gt;"Schváleno",$W48&lt;&gt;"Odloženo",$W48&lt;&gt;"Zrušeno"),"Po termínu odevzdání. ","")&amp;IF(AND($W48="Schváleno",OR($X48="",$Y48="")),"Schváleno bez jména / data. ","")&amp;IF(OR($G48="",$H48="",$I48="",$F48=""),"Chybí zařazení (kategorie, typ, profil nebo měsíc). ","")&amp;IF(AND(OR($I48="Honza",$I48="Radek"),OR($J48="",$J48="Nevztahuje se")),"Doplnit charakter (osobní / pracovní). ","")&amp;IF(AND($W48="Schváleno",$AE48&gt;0),"Schváleno, ale má otevřené připomínky. ","")&amp;IF(AND($AA48="Publikováno",$AF48=0),"Publikováno bez záznamu v listu Publikace. ","")&amp;IF(AND($C48&lt;&gt;"",$D48=""),"Chybí číslo dílu série. ","")&amp;IF(AND($E48&lt;&gt;"",$W48&lt;&gt;"Schváleno",$W48&lt;&gt;"Odloženo",$W48&lt;&gt;"Zrušeno",IFERROR(VLOOKUP($E48,Nastavení!$A$30:$G$53,3,FALSE()),0)&gt;0,IFERROR(VLOOKUP($E48,Nastavení!$A$30:$G$53,3,FALSE()),0)&lt;TODAY()),"Neschváleno po termínu cyklu. ","")))</f>
        <v/>
      </c>
    </row>
    <row r="49" spans="1:35" x14ac:dyDescent="0.2">
      <c r="A49" s="35"/>
      <c r="B49" s="11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11"/>
      <c r="N49" s="11"/>
      <c r="O49" s="11"/>
      <c r="P49" s="11"/>
      <c r="Q49" s="11"/>
      <c r="R49" s="11"/>
      <c r="S49" s="11"/>
      <c r="T49" s="35"/>
      <c r="U49" s="36"/>
      <c r="V49" s="11"/>
      <c r="W49" s="35"/>
      <c r="X49" s="35"/>
      <c r="Y49" s="36"/>
      <c r="Z49" s="11"/>
      <c r="AA49" s="35"/>
      <c r="AB49" s="36"/>
      <c r="AC49" s="35"/>
      <c r="AD49" s="35"/>
      <c r="AE49" s="37" t="str">
        <f>IF($A49="","",COUNTIFS(Připomínky!$A$4:$A$503,$A49,Připomínky!$J$4:$J$503,"Nevyřešeno"))</f>
        <v/>
      </c>
      <c r="AF49" s="37" t="str">
        <f>IF($A49="","",COUNTIFS(Publikace!$A$4:$A$503,$A49))</f>
        <v/>
      </c>
      <c r="AG49" s="38" t="str">
        <f>IF($A49="","",IF(AF49=0,"",_xlfn.MINIFS(Publikace!$E$4:$E$503,Publikace!$A$4:$A$503,$A49)))</f>
        <v/>
      </c>
      <c r="AH49" s="37" t="str">
        <f t="shared" si="0"/>
        <v/>
      </c>
      <c r="AI49" s="39" t="str">
        <f ca="1">IF($A49="","",TRIM(IF(AND($U49&lt;&gt;"",$U49&lt;TODAY(),$W49&lt;&gt;"Schváleno",$W49&lt;&gt;"Odloženo",$W49&lt;&gt;"Zrušeno"),"Po termínu odevzdání. ","")&amp;IF(AND($W49="Schváleno",OR($X49="",$Y49="")),"Schváleno bez jména / data. ","")&amp;IF(OR($G49="",$H49="",$I49="",$F49=""),"Chybí zařazení (kategorie, typ, profil nebo měsíc). ","")&amp;IF(AND(OR($I49="Honza",$I49="Radek"),OR($J49="",$J49="Nevztahuje se")),"Doplnit charakter (osobní / pracovní). ","")&amp;IF(AND($W49="Schváleno",$AE49&gt;0),"Schváleno, ale má otevřené připomínky. ","")&amp;IF(AND($AA49="Publikováno",$AF49=0),"Publikováno bez záznamu v listu Publikace. ","")&amp;IF(AND($C49&lt;&gt;"",$D49=""),"Chybí číslo dílu série. ","")&amp;IF(AND($E49&lt;&gt;"",$W49&lt;&gt;"Schváleno",$W49&lt;&gt;"Odloženo",$W49&lt;&gt;"Zrušeno",IFERROR(VLOOKUP($E49,Nastavení!$A$30:$G$53,3,FALSE()),0)&gt;0,IFERROR(VLOOKUP($E49,Nastavení!$A$30:$G$53,3,FALSE()),0)&lt;TODAY()),"Neschváleno po termínu cyklu. ","")))</f>
        <v/>
      </c>
    </row>
    <row r="50" spans="1:35" x14ac:dyDescent="0.2">
      <c r="A50" s="35"/>
      <c r="B50" s="11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11"/>
      <c r="N50" s="11"/>
      <c r="O50" s="11"/>
      <c r="P50" s="11"/>
      <c r="Q50" s="11"/>
      <c r="R50" s="11"/>
      <c r="S50" s="11"/>
      <c r="T50" s="35"/>
      <c r="U50" s="36"/>
      <c r="V50" s="11"/>
      <c r="W50" s="35"/>
      <c r="X50" s="35"/>
      <c r="Y50" s="36"/>
      <c r="Z50" s="11"/>
      <c r="AA50" s="35"/>
      <c r="AB50" s="36"/>
      <c r="AC50" s="35"/>
      <c r="AD50" s="35"/>
      <c r="AE50" s="37" t="str">
        <f>IF($A50="","",COUNTIFS(Připomínky!$A$4:$A$503,$A50,Připomínky!$J$4:$J$503,"Nevyřešeno"))</f>
        <v/>
      </c>
      <c r="AF50" s="37" t="str">
        <f>IF($A50="","",COUNTIFS(Publikace!$A$4:$A$503,$A50))</f>
        <v/>
      </c>
      <c r="AG50" s="38" t="str">
        <f>IF($A50="","",IF(AF50=0,"",_xlfn.MINIFS(Publikace!$E$4:$E$503,Publikace!$A$4:$A$503,$A50)))</f>
        <v/>
      </c>
      <c r="AH50" s="37" t="str">
        <f t="shared" si="0"/>
        <v/>
      </c>
      <c r="AI50" s="39" t="str">
        <f ca="1">IF($A50="","",TRIM(IF(AND($U50&lt;&gt;"",$U50&lt;TODAY(),$W50&lt;&gt;"Schváleno",$W50&lt;&gt;"Odloženo",$W50&lt;&gt;"Zrušeno"),"Po termínu odevzdání. ","")&amp;IF(AND($W50="Schváleno",OR($X50="",$Y50="")),"Schváleno bez jména / data. ","")&amp;IF(OR($G50="",$H50="",$I50="",$F50=""),"Chybí zařazení (kategorie, typ, profil nebo měsíc). ","")&amp;IF(AND(OR($I50="Honza",$I50="Radek"),OR($J50="",$J50="Nevztahuje se")),"Doplnit charakter (osobní / pracovní). ","")&amp;IF(AND($W50="Schváleno",$AE50&gt;0),"Schváleno, ale má otevřené připomínky. ","")&amp;IF(AND($AA50="Publikováno",$AF50=0),"Publikováno bez záznamu v listu Publikace. ","")&amp;IF(AND($C50&lt;&gt;"",$D50=""),"Chybí číslo dílu série. ","")&amp;IF(AND($E50&lt;&gt;"",$W50&lt;&gt;"Schváleno",$W50&lt;&gt;"Odloženo",$W50&lt;&gt;"Zrušeno",IFERROR(VLOOKUP($E50,Nastavení!$A$30:$G$53,3,FALSE()),0)&gt;0,IFERROR(VLOOKUP($E50,Nastavení!$A$30:$G$53,3,FALSE()),0)&lt;TODAY()),"Neschváleno po termínu cyklu. ","")))</f>
        <v/>
      </c>
    </row>
    <row r="51" spans="1:35" x14ac:dyDescent="0.2">
      <c r="A51" s="35"/>
      <c r="B51" s="11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11"/>
      <c r="N51" s="11"/>
      <c r="O51" s="11"/>
      <c r="P51" s="11"/>
      <c r="Q51" s="11"/>
      <c r="R51" s="11"/>
      <c r="S51" s="11"/>
      <c r="T51" s="35"/>
      <c r="U51" s="36"/>
      <c r="V51" s="11"/>
      <c r="W51" s="35"/>
      <c r="X51" s="35"/>
      <c r="Y51" s="36"/>
      <c r="Z51" s="11"/>
      <c r="AA51" s="35"/>
      <c r="AB51" s="36"/>
      <c r="AC51" s="35"/>
      <c r="AD51" s="35"/>
      <c r="AE51" s="37" t="str">
        <f>IF($A51="","",COUNTIFS(Připomínky!$A$4:$A$503,$A51,Připomínky!$J$4:$J$503,"Nevyřešeno"))</f>
        <v/>
      </c>
      <c r="AF51" s="37" t="str">
        <f>IF($A51="","",COUNTIFS(Publikace!$A$4:$A$503,$A51))</f>
        <v/>
      </c>
      <c r="AG51" s="38" t="str">
        <f>IF($A51="","",IF(AF51=0,"",_xlfn.MINIFS(Publikace!$E$4:$E$503,Publikace!$A$4:$A$503,$A51)))</f>
        <v/>
      </c>
      <c r="AH51" s="37" t="str">
        <f t="shared" si="0"/>
        <v/>
      </c>
      <c r="AI51" s="39" t="str">
        <f ca="1">IF($A51="","",TRIM(IF(AND($U51&lt;&gt;"",$U51&lt;TODAY(),$W51&lt;&gt;"Schváleno",$W51&lt;&gt;"Odloženo",$W51&lt;&gt;"Zrušeno"),"Po termínu odevzdání. ","")&amp;IF(AND($W51="Schváleno",OR($X51="",$Y51="")),"Schváleno bez jména / data. ","")&amp;IF(OR($G51="",$H51="",$I51="",$F51=""),"Chybí zařazení (kategorie, typ, profil nebo měsíc). ","")&amp;IF(AND(OR($I51="Honza",$I51="Radek"),OR($J51="",$J51="Nevztahuje se")),"Doplnit charakter (osobní / pracovní). ","")&amp;IF(AND($W51="Schváleno",$AE51&gt;0),"Schváleno, ale má otevřené připomínky. ","")&amp;IF(AND($AA51="Publikováno",$AF51=0),"Publikováno bez záznamu v listu Publikace. ","")&amp;IF(AND($C51&lt;&gt;"",$D51=""),"Chybí číslo dílu série. ","")&amp;IF(AND($E51&lt;&gt;"",$W51&lt;&gt;"Schváleno",$W51&lt;&gt;"Odloženo",$W51&lt;&gt;"Zrušeno",IFERROR(VLOOKUP($E51,Nastavení!$A$30:$G$53,3,FALSE()),0)&gt;0,IFERROR(VLOOKUP($E51,Nastavení!$A$30:$G$53,3,FALSE()),0)&lt;TODAY()),"Neschváleno po termínu cyklu. ","")))</f>
        <v/>
      </c>
    </row>
    <row r="52" spans="1:35" x14ac:dyDescent="0.2">
      <c r="A52" s="35"/>
      <c r="B52" s="11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11"/>
      <c r="N52" s="11"/>
      <c r="O52" s="11"/>
      <c r="P52" s="11"/>
      <c r="Q52" s="11"/>
      <c r="R52" s="11"/>
      <c r="S52" s="11"/>
      <c r="T52" s="35"/>
      <c r="U52" s="36"/>
      <c r="V52" s="11"/>
      <c r="W52" s="35"/>
      <c r="X52" s="35"/>
      <c r="Y52" s="36"/>
      <c r="Z52" s="11"/>
      <c r="AA52" s="35"/>
      <c r="AB52" s="36"/>
      <c r="AC52" s="35"/>
      <c r="AD52" s="35"/>
      <c r="AE52" s="37" t="str">
        <f>IF($A52="","",COUNTIFS(Připomínky!$A$4:$A$503,$A52,Připomínky!$J$4:$J$503,"Nevyřešeno"))</f>
        <v/>
      </c>
      <c r="AF52" s="37" t="str">
        <f>IF($A52="","",COUNTIFS(Publikace!$A$4:$A$503,$A52))</f>
        <v/>
      </c>
      <c r="AG52" s="38" t="str">
        <f>IF($A52="","",IF(AF52=0,"",_xlfn.MINIFS(Publikace!$E$4:$E$503,Publikace!$A$4:$A$503,$A52)))</f>
        <v/>
      </c>
      <c r="AH52" s="37" t="str">
        <f t="shared" si="0"/>
        <v/>
      </c>
      <c r="AI52" s="39" t="str">
        <f ca="1">IF($A52="","",TRIM(IF(AND($U52&lt;&gt;"",$U52&lt;TODAY(),$W52&lt;&gt;"Schváleno",$W52&lt;&gt;"Odloženo",$W52&lt;&gt;"Zrušeno"),"Po termínu odevzdání. ","")&amp;IF(AND($W52="Schváleno",OR($X52="",$Y52="")),"Schváleno bez jména / data. ","")&amp;IF(OR($G52="",$H52="",$I52="",$F52=""),"Chybí zařazení (kategorie, typ, profil nebo měsíc). ","")&amp;IF(AND(OR($I52="Honza",$I52="Radek"),OR($J52="",$J52="Nevztahuje se")),"Doplnit charakter (osobní / pracovní). ","")&amp;IF(AND($W52="Schváleno",$AE52&gt;0),"Schváleno, ale má otevřené připomínky. ","")&amp;IF(AND($AA52="Publikováno",$AF52=0),"Publikováno bez záznamu v listu Publikace. ","")&amp;IF(AND($C52&lt;&gt;"",$D52=""),"Chybí číslo dílu série. ","")&amp;IF(AND($E52&lt;&gt;"",$W52&lt;&gt;"Schváleno",$W52&lt;&gt;"Odloženo",$W52&lt;&gt;"Zrušeno",IFERROR(VLOOKUP($E52,Nastavení!$A$30:$G$53,3,FALSE()),0)&gt;0,IFERROR(VLOOKUP($E52,Nastavení!$A$30:$G$53,3,FALSE()),0)&lt;TODAY()),"Neschváleno po termínu cyklu. ","")))</f>
        <v/>
      </c>
    </row>
    <row r="53" spans="1:35" x14ac:dyDescent="0.2">
      <c r="A53" s="35"/>
      <c r="B53" s="11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11"/>
      <c r="N53" s="11"/>
      <c r="O53" s="11"/>
      <c r="P53" s="11"/>
      <c r="Q53" s="11"/>
      <c r="R53" s="11"/>
      <c r="S53" s="11"/>
      <c r="T53" s="35"/>
      <c r="U53" s="36"/>
      <c r="V53" s="11"/>
      <c r="W53" s="35"/>
      <c r="X53" s="35"/>
      <c r="Y53" s="36"/>
      <c r="Z53" s="11"/>
      <c r="AA53" s="35"/>
      <c r="AB53" s="36"/>
      <c r="AC53" s="35"/>
      <c r="AD53" s="35"/>
      <c r="AE53" s="37" t="str">
        <f>IF($A53="","",COUNTIFS(Připomínky!$A$4:$A$503,$A53,Připomínky!$J$4:$J$503,"Nevyřešeno"))</f>
        <v/>
      </c>
      <c r="AF53" s="37" t="str">
        <f>IF($A53="","",COUNTIFS(Publikace!$A$4:$A$503,$A53))</f>
        <v/>
      </c>
      <c r="AG53" s="38" t="str">
        <f>IF($A53="","",IF(AF53=0,"",_xlfn.MINIFS(Publikace!$E$4:$E$503,Publikace!$A$4:$A$503,$A53)))</f>
        <v/>
      </c>
      <c r="AH53" s="37" t="str">
        <f t="shared" si="0"/>
        <v/>
      </c>
      <c r="AI53" s="39" t="str">
        <f ca="1">IF($A53="","",TRIM(IF(AND($U53&lt;&gt;"",$U53&lt;TODAY(),$W53&lt;&gt;"Schváleno",$W53&lt;&gt;"Odloženo",$W53&lt;&gt;"Zrušeno"),"Po termínu odevzdání. ","")&amp;IF(AND($W53="Schváleno",OR($X53="",$Y53="")),"Schváleno bez jména / data. ","")&amp;IF(OR($G53="",$H53="",$I53="",$F53=""),"Chybí zařazení (kategorie, typ, profil nebo měsíc). ","")&amp;IF(AND(OR($I53="Honza",$I53="Radek"),OR($J53="",$J53="Nevztahuje se")),"Doplnit charakter (osobní / pracovní). ","")&amp;IF(AND($W53="Schváleno",$AE53&gt;0),"Schváleno, ale má otevřené připomínky. ","")&amp;IF(AND($AA53="Publikováno",$AF53=0),"Publikováno bez záznamu v listu Publikace. ","")&amp;IF(AND($C53&lt;&gt;"",$D53=""),"Chybí číslo dílu série. ","")&amp;IF(AND($E53&lt;&gt;"",$W53&lt;&gt;"Schváleno",$W53&lt;&gt;"Odloženo",$W53&lt;&gt;"Zrušeno",IFERROR(VLOOKUP($E53,Nastavení!$A$30:$G$53,3,FALSE()),0)&gt;0,IFERROR(VLOOKUP($E53,Nastavení!$A$30:$G$53,3,FALSE()),0)&lt;TODAY()),"Neschváleno po termínu cyklu. ","")))</f>
        <v/>
      </c>
    </row>
    <row r="54" spans="1:35" x14ac:dyDescent="0.2">
      <c r="A54" s="35"/>
      <c r="B54" s="11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11"/>
      <c r="N54" s="11"/>
      <c r="O54" s="11"/>
      <c r="P54" s="11"/>
      <c r="Q54" s="11"/>
      <c r="R54" s="11"/>
      <c r="S54" s="11"/>
      <c r="T54" s="35"/>
      <c r="U54" s="36"/>
      <c r="V54" s="11"/>
      <c r="W54" s="35"/>
      <c r="X54" s="35"/>
      <c r="Y54" s="36"/>
      <c r="Z54" s="11"/>
      <c r="AA54" s="35"/>
      <c r="AB54" s="36"/>
      <c r="AC54" s="35"/>
      <c r="AD54" s="35"/>
      <c r="AE54" s="37" t="str">
        <f>IF($A54="","",COUNTIFS(Připomínky!$A$4:$A$503,$A54,Připomínky!$J$4:$J$503,"Nevyřešeno"))</f>
        <v/>
      </c>
      <c r="AF54" s="37" t="str">
        <f>IF($A54="","",COUNTIFS(Publikace!$A$4:$A$503,$A54))</f>
        <v/>
      </c>
      <c r="AG54" s="38" t="str">
        <f>IF($A54="","",IF(AF54=0,"",_xlfn.MINIFS(Publikace!$E$4:$E$503,Publikace!$A$4:$A$503,$A54)))</f>
        <v/>
      </c>
      <c r="AH54" s="37" t="str">
        <f t="shared" si="0"/>
        <v/>
      </c>
      <c r="AI54" s="39" t="str">
        <f ca="1">IF($A54="","",TRIM(IF(AND($U54&lt;&gt;"",$U54&lt;TODAY(),$W54&lt;&gt;"Schváleno",$W54&lt;&gt;"Odloženo",$W54&lt;&gt;"Zrušeno"),"Po termínu odevzdání. ","")&amp;IF(AND($W54="Schváleno",OR($X54="",$Y54="")),"Schváleno bez jména / data. ","")&amp;IF(OR($G54="",$H54="",$I54="",$F54=""),"Chybí zařazení (kategorie, typ, profil nebo měsíc). ","")&amp;IF(AND(OR($I54="Honza",$I54="Radek"),OR($J54="",$J54="Nevztahuje se")),"Doplnit charakter (osobní / pracovní). ","")&amp;IF(AND($W54="Schváleno",$AE54&gt;0),"Schváleno, ale má otevřené připomínky. ","")&amp;IF(AND($AA54="Publikováno",$AF54=0),"Publikováno bez záznamu v listu Publikace. ","")&amp;IF(AND($C54&lt;&gt;"",$D54=""),"Chybí číslo dílu série. ","")&amp;IF(AND($E54&lt;&gt;"",$W54&lt;&gt;"Schváleno",$W54&lt;&gt;"Odloženo",$W54&lt;&gt;"Zrušeno",IFERROR(VLOOKUP($E54,Nastavení!$A$30:$G$53,3,FALSE()),0)&gt;0,IFERROR(VLOOKUP($E54,Nastavení!$A$30:$G$53,3,FALSE()),0)&lt;TODAY()),"Neschváleno po termínu cyklu. ","")))</f>
        <v/>
      </c>
    </row>
    <row r="55" spans="1:35" x14ac:dyDescent="0.2">
      <c r="A55" s="35"/>
      <c r="B55" s="11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11"/>
      <c r="N55" s="11"/>
      <c r="O55" s="11"/>
      <c r="P55" s="11"/>
      <c r="Q55" s="11"/>
      <c r="R55" s="11"/>
      <c r="S55" s="11"/>
      <c r="T55" s="35"/>
      <c r="U55" s="36"/>
      <c r="V55" s="11"/>
      <c r="W55" s="35"/>
      <c r="X55" s="35"/>
      <c r="Y55" s="36"/>
      <c r="Z55" s="11"/>
      <c r="AA55" s="35"/>
      <c r="AB55" s="36"/>
      <c r="AC55" s="35"/>
      <c r="AD55" s="35"/>
      <c r="AE55" s="37" t="str">
        <f>IF($A55="","",COUNTIFS(Připomínky!$A$4:$A$503,$A55,Připomínky!$J$4:$J$503,"Nevyřešeno"))</f>
        <v/>
      </c>
      <c r="AF55" s="37" t="str">
        <f>IF($A55="","",COUNTIFS(Publikace!$A$4:$A$503,$A55))</f>
        <v/>
      </c>
      <c r="AG55" s="38" t="str">
        <f>IF($A55="","",IF(AF55=0,"",_xlfn.MINIFS(Publikace!$E$4:$E$503,Publikace!$A$4:$A$503,$A55)))</f>
        <v/>
      </c>
      <c r="AH55" s="37" t="str">
        <f t="shared" si="0"/>
        <v/>
      </c>
      <c r="AI55" s="39" t="str">
        <f ca="1">IF($A55="","",TRIM(IF(AND($U55&lt;&gt;"",$U55&lt;TODAY(),$W55&lt;&gt;"Schváleno",$W55&lt;&gt;"Odloženo",$W55&lt;&gt;"Zrušeno"),"Po termínu odevzdání. ","")&amp;IF(AND($W55="Schváleno",OR($X55="",$Y55="")),"Schváleno bez jména / data. ","")&amp;IF(OR($G55="",$H55="",$I55="",$F55=""),"Chybí zařazení (kategorie, typ, profil nebo měsíc). ","")&amp;IF(AND(OR($I55="Honza",$I55="Radek"),OR($J55="",$J55="Nevztahuje se")),"Doplnit charakter (osobní / pracovní). ","")&amp;IF(AND($W55="Schváleno",$AE55&gt;0),"Schváleno, ale má otevřené připomínky. ","")&amp;IF(AND($AA55="Publikováno",$AF55=0),"Publikováno bez záznamu v listu Publikace. ","")&amp;IF(AND($C55&lt;&gt;"",$D55=""),"Chybí číslo dílu série. ","")&amp;IF(AND($E55&lt;&gt;"",$W55&lt;&gt;"Schváleno",$W55&lt;&gt;"Odloženo",$W55&lt;&gt;"Zrušeno",IFERROR(VLOOKUP($E55,Nastavení!$A$30:$G$53,3,FALSE()),0)&gt;0,IFERROR(VLOOKUP($E55,Nastavení!$A$30:$G$53,3,FALSE()),0)&lt;TODAY()),"Neschváleno po termínu cyklu. ","")))</f>
        <v/>
      </c>
    </row>
    <row r="56" spans="1:35" x14ac:dyDescent="0.2">
      <c r="A56" s="35"/>
      <c r="B56" s="11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11"/>
      <c r="N56" s="11"/>
      <c r="O56" s="11"/>
      <c r="P56" s="11"/>
      <c r="Q56" s="11"/>
      <c r="R56" s="11"/>
      <c r="S56" s="11"/>
      <c r="T56" s="35"/>
      <c r="U56" s="36"/>
      <c r="V56" s="11"/>
      <c r="W56" s="35"/>
      <c r="X56" s="35"/>
      <c r="Y56" s="36"/>
      <c r="Z56" s="11"/>
      <c r="AA56" s="35"/>
      <c r="AB56" s="36"/>
      <c r="AC56" s="35"/>
      <c r="AD56" s="35"/>
      <c r="AE56" s="37" t="str">
        <f>IF($A56="","",COUNTIFS(Připomínky!$A$4:$A$503,$A56,Připomínky!$J$4:$J$503,"Nevyřešeno"))</f>
        <v/>
      </c>
      <c r="AF56" s="37" t="str">
        <f>IF($A56="","",COUNTIFS(Publikace!$A$4:$A$503,$A56))</f>
        <v/>
      </c>
      <c r="AG56" s="38" t="str">
        <f>IF($A56="","",IF(AF56=0,"",_xlfn.MINIFS(Publikace!$E$4:$E$503,Publikace!$A$4:$A$503,$A56)))</f>
        <v/>
      </c>
      <c r="AH56" s="37" t="str">
        <f t="shared" si="0"/>
        <v/>
      </c>
      <c r="AI56" s="39" t="str">
        <f ca="1">IF($A56="","",TRIM(IF(AND($U56&lt;&gt;"",$U56&lt;TODAY(),$W56&lt;&gt;"Schváleno",$W56&lt;&gt;"Odloženo",$W56&lt;&gt;"Zrušeno"),"Po termínu odevzdání. ","")&amp;IF(AND($W56="Schváleno",OR($X56="",$Y56="")),"Schváleno bez jména / data. ","")&amp;IF(OR($G56="",$H56="",$I56="",$F56=""),"Chybí zařazení (kategorie, typ, profil nebo měsíc). ","")&amp;IF(AND(OR($I56="Honza",$I56="Radek"),OR($J56="",$J56="Nevztahuje se")),"Doplnit charakter (osobní / pracovní). ","")&amp;IF(AND($W56="Schváleno",$AE56&gt;0),"Schváleno, ale má otevřené připomínky. ","")&amp;IF(AND($AA56="Publikováno",$AF56=0),"Publikováno bez záznamu v listu Publikace. ","")&amp;IF(AND($C56&lt;&gt;"",$D56=""),"Chybí číslo dílu série. ","")&amp;IF(AND($E56&lt;&gt;"",$W56&lt;&gt;"Schváleno",$W56&lt;&gt;"Odloženo",$W56&lt;&gt;"Zrušeno",IFERROR(VLOOKUP($E56,Nastavení!$A$30:$G$53,3,FALSE()),0)&gt;0,IFERROR(VLOOKUP($E56,Nastavení!$A$30:$G$53,3,FALSE()),0)&lt;TODAY()),"Neschváleno po termínu cyklu. ","")))</f>
        <v/>
      </c>
    </row>
    <row r="57" spans="1:35" x14ac:dyDescent="0.2">
      <c r="A57" s="35"/>
      <c r="B57" s="11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11"/>
      <c r="N57" s="11"/>
      <c r="O57" s="11"/>
      <c r="P57" s="11"/>
      <c r="Q57" s="11"/>
      <c r="R57" s="11"/>
      <c r="S57" s="11"/>
      <c r="T57" s="35"/>
      <c r="U57" s="36"/>
      <c r="V57" s="11"/>
      <c r="W57" s="35"/>
      <c r="X57" s="35"/>
      <c r="Y57" s="36"/>
      <c r="Z57" s="11"/>
      <c r="AA57" s="35"/>
      <c r="AB57" s="36"/>
      <c r="AC57" s="35"/>
      <c r="AD57" s="35"/>
      <c r="AE57" s="37" t="str">
        <f>IF($A57="","",COUNTIFS(Připomínky!$A$4:$A$503,$A57,Připomínky!$J$4:$J$503,"Nevyřešeno"))</f>
        <v/>
      </c>
      <c r="AF57" s="37" t="str">
        <f>IF($A57="","",COUNTIFS(Publikace!$A$4:$A$503,$A57))</f>
        <v/>
      </c>
      <c r="AG57" s="38" t="str">
        <f>IF($A57="","",IF(AF57=0,"",_xlfn.MINIFS(Publikace!$E$4:$E$503,Publikace!$A$4:$A$503,$A57)))</f>
        <v/>
      </c>
      <c r="AH57" s="37" t="str">
        <f t="shared" si="0"/>
        <v/>
      </c>
      <c r="AI57" s="39" t="str">
        <f ca="1">IF($A57="","",TRIM(IF(AND($U57&lt;&gt;"",$U57&lt;TODAY(),$W57&lt;&gt;"Schváleno",$W57&lt;&gt;"Odloženo",$W57&lt;&gt;"Zrušeno"),"Po termínu odevzdání. ","")&amp;IF(AND($W57="Schváleno",OR($X57="",$Y57="")),"Schváleno bez jména / data. ","")&amp;IF(OR($G57="",$H57="",$I57="",$F57=""),"Chybí zařazení (kategorie, typ, profil nebo měsíc). ","")&amp;IF(AND(OR($I57="Honza",$I57="Radek"),OR($J57="",$J57="Nevztahuje se")),"Doplnit charakter (osobní / pracovní). ","")&amp;IF(AND($W57="Schváleno",$AE57&gt;0),"Schváleno, ale má otevřené připomínky. ","")&amp;IF(AND($AA57="Publikováno",$AF57=0),"Publikováno bez záznamu v listu Publikace. ","")&amp;IF(AND($C57&lt;&gt;"",$D57=""),"Chybí číslo dílu série. ","")&amp;IF(AND($E57&lt;&gt;"",$W57&lt;&gt;"Schváleno",$W57&lt;&gt;"Odloženo",$W57&lt;&gt;"Zrušeno",IFERROR(VLOOKUP($E57,Nastavení!$A$30:$G$53,3,FALSE()),0)&gt;0,IFERROR(VLOOKUP($E57,Nastavení!$A$30:$G$53,3,FALSE()),0)&lt;TODAY()),"Neschváleno po termínu cyklu. ","")))</f>
        <v/>
      </c>
    </row>
    <row r="58" spans="1:35" x14ac:dyDescent="0.2">
      <c r="A58" s="35"/>
      <c r="B58" s="11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11"/>
      <c r="N58" s="11"/>
      <c r="O58" s="11"/>
      <c r="P58" s="11"/>
      <c r="Q58" s="11"/>
      <c r="R58" s="11"/>
      <c r="S58" s="11"/>
      <c r="T58" s="35"/>
      <c r="U58" s="36"/>
      <c r="V58" s="11"/>
      <c r="W58" s="35"/>
      <c r="X58" s="35"/>
      <c r="Y58" s="36"/>
      <c r="Z58" s="11"/>
      <c r="AA58" s="35"/>
      <c r="AB58" s="36"/>
      <c r="AC58" s="35"/>
      <c r="AD58" s="35"/>
      <c r="AE58" s="37" t="str">
        <f>IF($A58="","",COUNTIFS(Připomínky!$A$4:$A$503,$A58,Připomínky!$J$4:$J$503,"Nevyřešeno"))</f>
        <v/>
      </c>
      <c r="AF58" s="37" t="str">
        <f>IF($A58="","",COUNTIFS(Publikace!$A$4:$A$503,$A58))</f>
        <v/>
      </c>
      <c r="AG58" s="38" t="str">
        <f>IF($A58="","",IF(AF58=0,"",_xlfn.MINIFS(Publikace!$E$4:$E$503,Publikace!$A$4:$A$503,$A58)))</f>
        <v/>
      </c>
      <c r="AH58" s="37" t="str">
        <f t="shared" si="0"/>
        <v/>
      </c>
      <c r="AI58" s="39" t="str">
        <f ca="1">IF($A58="","",TRIM(IF(AND($U58&lt;&gt;"",$U58&lt;TODAY(),$W58&lt;&gt;"Schváleno",$W58&lt;&gt;"Odloženo",$W58&lt;&gt;"Zrušeno"),"Po termínu odevzdání. ","")&amp;IF(AND($W58="Schváleno",OR($X58="",$Y58="")),"Schváleno bez jména / data. ","")&amp;IF(OR($G58="",$H58="",$I58="",$F58=""),"Chybí zařazení (kategorie, typ, profil nebo měsíc). ","")&amp;IF(AND(OR($I58="Honza",$I58="Radek"),OR($J58="",$J58="Nevztahuje se")),"Doplnit charakter (osobní / pracovní). ","")&amp;IF(AND($W58="Schváleno",$AE58&gt;0),"Schváleno, ale má otevřené připomínky. ","")&amp;IF(AND($AA58="Publikováno",$AF58=0),"Publikováno bez záznamu v listu Publikace. ","")&amp;IF(AND($C58&lt;&gt;"",$D58=""),"Chybí číslo dílu série. ","")&amp;IF(AND($E58&lt;&gt;"",$W58&lt;&gt;"Schváleno",$W58&lt;&gt;"Odloženo",$W58&lt;&gt;"Zrušeno",IFERROR(VLOOKUP($E58,Nastavení!$A$30:$G$53,3,FALSE()),0)&gt;0,IFERROR(VLOOKUP($E58,Nastavení!$A$30:$G$53,3,FALSE()),0)&lt;TODAY()),"Neschváleno po termínu cyklu. ","")))</f>
        <v/>
      </c>
    </row>
    <row r="59" spans="1:35" x14ac:dyDescent="0.2">
      <c r="A59" s="35"/>
      <c r="B59" s="11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11"/>
      <c r="N59" s="11"/>
      <c r="O59" s="11"/>
      <c r="P59" s="11"/>
      <c r="Q59" s="11"/>
      <c r="R59" s="11"/>
      <c r="S59" s="11"/>
      <c r="T59" s="35"/>
      <c r="U59" s="36"/>
      <c r="V59" s="11"/>
      <c r="W59" s="35"/>
      <c r="X59" s="35"/>
      <c r="Y59" s="36"/>
      <c r="Z59" s="11"/>
      <c r="AA59" s="35"/>
      <c r="AB59" s="36"/>
      <c r="AC59" s="35"/>
      <c r="AD59" s="35"/>
      <c r="AE59" s="37" t="str">
        <f>IF($A59="","",COUNTIFS(Připomínky!$A$4:$A$503,$A59,Připomínky!$J$4:$J$503,"Nevyřešeno"))</f>
        <v/>
      </c>
      <c r="AF59" s="37" t="str">
        <f>IF($A59="","",COUNTIFS(Publikace!$A$4:$A$503,$A59))</f>
        <v/>
      </c>
      <c r="AG59" s="38" t="str">
        <f>IF($A59="","",IF(AF59=0,"",_xlfn.MINIFS(Publikace!$E$4:$E$503,Publikace!$A$4:$A$503,$A59)))</f>
        <v/>
      </c>
      <c r="AH59" s="37" t="str">
        <f t="shared" si="0"/>
        <v/>
      </c>
      <c r="AI59" s="39" t="str">
        <f ca="1">IF($A59="","",TRIM(IF(AND($U59&lt;&gt;"",$U59&lt;TODAY(),$W59&lt;&gt;"Schváleno",$W59&lt;&gt;"Odloženo",$W59&lt;&gt;"Zrušeno"),"Po termínu odevzdání. ","")&amp;IF(AND($W59="Schváleno",OR($X59="",$Y59="")),"Schváleno bez jména / data. ","")&amp;IF(OR($G59="",$H59="",$I59="",$F59=""),"Chybí zařazení (kategorie, typ, profil nebo měsíc). ","")&amp;IF(AND(OR($I59="Honza",$I59="Radek"),OR($J59="",$J59="Nevztahuje se")),"Doplnit charakter (osobní / pracovní). ","")&amp;IF(AND($W59="Schváleno",$AE59&gt;0),"Schváleno, ale má otevřené připomínky. ","")&amp;IF(AND($AA59="Publikováno",$AF59=0),"Publikováno bez záznamu v listu Publikace. ","")&amp;IF(AND($C59&lt;&gt;"",$D59=""),"Chybí číslo dílu série. ","")&amp;IF(AND($E59&lt;&gt;"",$W59&lt;&gt;"Schváleno",$W59&lt;&gt;"Odloženo",$W59&lt;&gt;"Zrušeno",IFERROR(VLOOKUP($E59,Nastavení!$A$30:$G$53,3,FALSE()),0)&gt;0,IFERROR(VLOOKUP($E59,Nastavení!$A$30:$G$53,3,FALSE()),0)&lt;TODAY()),"Neschváleno po termínu cyklu. ","")))</f>
        <v/>
      </c>
    </row>
    <row r="60" spans="1:35" x14ac:dyDescent="0.2">
      <c r="A60" s="35"/>
      <c r="B60" s="11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11"/>
      <c r="N60" s="11"/>
      <c r="O60" s="11"/>
      <c r="P60" s="11"/>
      <c r="Q60" s="11"/>
      <c r="R60" s="11"/>
      <c r="S60" s="11"/>
      <c r="T60" s="35"/>
      <c r="U60" s="36"/>
      <c r="V60" s="11"/>
      <c r="W60" s="35"/>
      <c r="X60" s="35"/>
      <c r="Y60" s="36"/>
      <c r="Z60" s="11"/>
      <c r="AA60" s="35"/>
      <c r="AB60" s="36"/>
      <c r="AC60" s="35"/>
      <c r="AD60" s="35"/>
      <c r="AE60" s="37" t="str">
        <f>IF($A60="","",COUNTIFS(Připomínky!$A$4:$A$503,$A60,Připomínky!$J$4:$J$503,"Nevyřešeno"))</f>
        <v/>
      </c>
      <c r="AF60" s="37" t="str">
        <f>IF($A60="","",COUNTIFS(Publikace!$A$4:$A$503,$A60))</f>
        <v/>
      </c>
      <c r="AG60" s="38" t="str">
        <f>IF($A60="","",IF(AF60=0,"",_xlfn.MINIFS(Publikace!$E$4:$E$503,Publikace!$A$4:$A$503,$A60)))</f>
        <v/>
      </c>
      <c r="AH60" s="37" t="str">
        <f t="shared" si="0"/>
        <v/>
      </c>
      <c r="AI60" s="39" t="str">
        <f ca="1">IF($A60="","",TRIM(IF(AND($U60&lt;&gt;"",$U60&lt;TODAY(),$W60&lt;&gt;"Schváleno",$W60&lt;&gt;"Odloženo",$W60&lt;&gt;"Zrušeno"),"Po termínu odevzdání. ","")&amp;IF(AND($W60="Schváleno",OR($X60="",$Y60="")),"Schváleno bez jména / data. ","")&amp;IF(OR($G60="",$H60="",$I60="",$F60=""),"Chybí zařazení (kategorie, typ, profil nebo měsíc). ","")&amp;IF(AND(OR($I60="Honza",$I60="Radek"),OR($J60="",$J60="Nevztahuje se")),"Doplnit charakter (osobní / pracovní). ","")&amp;IF(AND($W60="Schváleno",$AE60&gt;0),"Schváleno, ale má otevřené připomínky. ","")&amp;IF(AND($AA60="Publikováno",$AF60=0),"Publikováno bez záznamu v listu Publikace. ","")&amp;IF(AND($C60&lt;&gt;"",$D60=""),"Chybí číslo dílu série. ","")&amp;IF(AND($E60&lt;&gt;"",$W60&lt;&gt;"Schváleno",$W60&lt;&gt;"Odloženo",$W60&lt;&gt;"Zrušeno",IFERROR(VLOOKUP($E60,Nastavení!$A$30:$G$53,3,FALSE()),0)&gt;0,IFERROR(VLOOKUP($E60,Nastavení!$A$30:$G$53,3,FALSE()),0)&lt;TODAY()),"Neschváleno po termínu cyklu. ","")))</f>
        <v/>
      </c>
    </row>
    <row r="61" spans="1:35" x14ac:dyDescent="0.2">
      <c r="A61" s="35"/>
      <c r="B61" s="11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11"/>
      <c r="N61" s="11"/>
      <c r="O61" s="11"/>
      <c r="P61" s="11"/>
      <c r="Q61" s="11"/>
      <c r="R61" s="11"/>
      <c r="S61" s="11"/>
      <c r="T61" s="35"/>
      <c r="U61" s="36"/>
      <c r="V61" s="11"/>
      <c r="W61" s="35"/>
      <c r="X61" s="35"/>
      <c r="Y61" s="36"/>
      <c r="Z61" s="11"/>
      <c r="AA61" s="35"/>
      <c r="AB61" s="36"/>
      <c r="AC61" s="35"/>
      <c r="AD61" s="35"/>
      <c r="AE61" s="37" t="str">
        <f>IF($A61="","",COUNTIFS(Připomínky!$A$4:$A$503,$A61,Připomínky!$J$4:$J$503,"Nevyřešeno"))</f>
        <v/>
      </c>
      <c r="AF61" s="37" t="str">
        <f>IF($A61="","",COUNTIFS(Publikace!$A$4:$A$503,$A61))</f>
        <v/>
      </c>
      <c r="AG61" s="38" t="str">
        <f>IF($A61="","",IF(AF61=0,"",_xlfn.MINIFS(Publikace!$E$4:$E$503,Publikace!$A$4:$A$503,$A61)))</f>
        <v/>
      </c>
      <c r="AH61" s="37" t="str">
        <f t="shared" si="0"/>
        <v/>
      </c>
      <c r="AI61" s="39" t="str">
        <f ca="1">IF($A61="","",TRIM(IF(AND($U61&lt;&gt;"",$U61&lt;TODAY(),$W61&lt;&gt;"Schváleno",$W61&lt;&gt;"Odloženo",$W61&lt;&gt;"Zrušeno"),"Po termínu odevzdání. ","")&amp;IF(AND($W61="Schváleno",OR($X61="",$Y61="")),"Schváleno bez jména / data. ","")&amp;IF(OR($G61="",$H61="",$I61="",$F61=""),"Chybí zařazení (kategorie, typ, profil nebo měsíc). ","")&amp;IF(AND(OR($I61="Honza",$I61="Radek"),OR($J61="",$J61="Nevztahuje se")),"Doplnit charakter (osobní / pracovní). ","")&amp;IF(AND($W61="Schváleno",$AE61&gt;0),"Schváleno, ale má otevřené připomínky. ","")&amp;IF(AND($AA61="Publikováno",$AF61=0),"Publikováno bez záznamu v listu Publikace. ","")&amp;IF(AND($C61&lt;&gt;"",$D61=""),"Chybí číslo dílu série. ","")&amp;IF(AND($E61&lt;&gt;"",$W61&lt;&gt;"Schváleno",$W61&lt;&gt;"Odloženo",$W61&lt;&gt;"Zrušeno",IFERROR(VLOOKUP($E61,Nastavení!$A$30:$G$53,3,FALSE()),0)&gt;0,IFERROR(VLOOKUP($E61,Nastavení!$A$30:$G$53,3,FALSE()),0)&lt;TODAY()),"Neschváleno po termínu cyklu. ","")))</f>
        <v/>
      </c>
    </row>
    <row r="62" spans="1:35" x14ac:dyDescent="0.2">
      <c r="A62" s="35"/>
      <c r="B62" s="11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11"/>
      <c r="N62" s="11"/>
      <c r="O62" s="11"/>
      <c r="P62" s="11"/>
      <c r="Q62" s="11"/>
      <c r="R62" s="11"/>
      <c r="S62" s="11"/>
      <c r="T62" s="35"/>
      <c r="U62" s="36"/>
      <c r="V62" s="11"/>
      <c r="W62" s="35"/>
      <c r="X62" s="35"/>
      <c r="Y62" s="36"/>
      <c r="Z62" s="11"/>
      <c r="AA62" s="35"/>
      <c r="AB62" s="36"/>
      <c r="AC62" s="35"/>
      <c r="AD62" s="35"/>
      <c r="AE62" s="37" t="str">
        <f>IF($A62="","",COUNTIFS(Připomínky!$A$4:$A$503,$A62,Připomínky!$J$4:$J$503,"Nevyřešeno"))</f>
        <v/>
      </c>
      <c r="AF62" s="37" t="str">
        <f>IF($A62="","",COUNTIFS(Publikace!$A$4:$A$503,$A62))</f>
        <v/>
      </c>
      <c r="AG62" s="38" t="str">
        <f>IF($A62="","",IF(AF62=0,"",_xlfn.MINIFS(Publikace!$E$4:$E$503,Publikace!$A$4:$A$503,$A62)))</f>
        <v/>
      </c>
      <c r="AH62" s="37" t="str">
        <f t="shared" si="0"/>
        <v/>
      </c>
      <c r="AI62" s="39" t="str">
        <f ca="1">IF($A62="","",TRIM(IF(AND($U62&lt;&gt;"",$U62&lt;TODAY(),$W62&lt;&gt;"Schváleno",$W62&lt;&gt;"Odloženo",$W62&lt;&gt;"Zrušeno"),"Po termínu odevzdání. ","")&amp;IF(AND($W62="Schváleno",OR($X62="",$Y62="")),"Schváleno bez jména / data. ","")&amp;IF(OR($G62="",$H62="",$I62="",$F62=""),"Chybí zařazení (kategorie, typ, profil nebo měsíc). ","")&amp;IF(AND(OR($I62="Honza",$I62="Radek"),OR($J62="",$J62="Nevztahuje se")),"Doplnit charakter (osobní / pracovní). ","")&amp;IF(AND($W62="Schváleno",$AE62&gt;0),"Schváleno, ale má otevřené připomínky. ","")&amp;IF(AND($AA62="Publikováno",$AF62=0),"Publikováno bez záznamu v listu Publikace. ","")&amp;IF(AND($C62&lt;&gt;"",$D62=""),"Chybí číslo dílu série. ","")&amp;IF(AND($E62&lt;&gt;"",$W62&lt;&gt;"Schváleno",$W62&lt;&gt;"Odloženo",$W62&lt;&gt;"Zrušeno",IFERROR(VLOOKUP($E62,Nastavení!$A$30:$G$53,3,FALSE()),0)&gt;0,IFERROR(VLOOKUP($E62,Nastavení!$A$30:$G$53,3,FALSE()),0)&lt;TODAY()),"Neschváleno po termínu cyklu. ","")))</f>
        <v/>
      </c>
    </row>
    <row r="63" spans="1:35" x14ac:dyDescent="0.2">
      <c r="A63" s="35"/>
      <c r="B63" s="11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11"/>
      <c r="N63" s="11"/>
      <c r="O63" s="11"/>
      <c r="P63" s="11"/>
      <c r="Q63" s="11"/>
      <c r="R63" s="11"/>
      <c r="S63" s="11"/>
      <c r="T63" s="35"/>
      <c r="U63" s="36"/>
      <c r="V63" s="11"/>
      <c r="W63" s="35"/>
      <c r="X63" s="35"/>
      <c r="Y63" s="36"/>
      <c r="Z63" s="11"/>
      <c r="AA63" s="35"/>
      <c r="AB63" s="36"/>
      <c r="AC63" s="35"/>
      <c r="AD63" s="35"/>
      <c r="AE63" s="37" t="str">
        <f>IF($A63="","",COUNTIFS(Připomínky!$A$4:$A$503,$A63,Připomínky!$J$4:$J$503,"Nevyřešeno"))</f>
        <v/>
      </c>
      <c r="AF63" s="37" t="str">
        <f>IF($A63="","",COUNTIFS(Publikace!$A$4:$A$503,$A63))</f>
        <v/>
      </c>
      <c r="AG63" s="38" t="str">
        <f>IF($A63="","",IF(AF63=0,"",_xlfn.MINIFS(Publikace!$E$4:$E$503,Publikace!$A$4:$A$503,$A63)))</f>
        <v/>
      </c>
      <c r="AH63" s="37" t="str">
        <f t="shared" si="0"/>
        <v/>
      </c>
      <c r="AI63" s="39" t="str">
        <f ca="1">IF($A63="","",TRIM(IF(AND($U63&lt;&gt;"",$U63&lt;TODAY(),$W63&lt;&gt;"Schváleno",$W63&lt;&gt;"Odloženo",$W63&lt;&gt;"Zrušeno"),"Po termínu odevzdání. ","")&amp;IF(AND($W63="Schváleno",OR($X63="",$Y63="")),"Schváleno bez jména / data. ","")&amp;IF(OR($G63="",$H63="",$I63="",$F63=""),"Chybí zařazení (kategorie, typ, profil nebo měsíc). ","")&amp;IF(AND(OR($I63="Honza",$I63="Radek"),OR($J63="",$J63="Nevztahuje se")),"Doplnit charakter (osobní / pracovní). ","")&amp;IF(AND($W63="Schváleno",$AE63&gt;0),"Schváleno, ale má otevřené připomínky. ","")&amp;IF(AND($AA63="Publikováno",$AF63=0),"Publikováno bez záznamu v listu Publikace. ","")&amp;IF(AND($C63&lt;&gt;"",$D63=""),"Chybí číslo dílu série. ","")&amp;IF(AND($E63&lt;&gt;"",$W63&lt;&gt;"Schváleno",$W63&lt;&gt;"Odloženo",$W63&lt;&gt;"Zrušeno",IFERROR(VLOOKUP($E63,Nastavení!$A$30:$G$53,3,FALSE()),0)&gt;0,IFERROR(VLOOKUP($E63,Nastavení!$A$30:$G$53,3,FALSE()),0)&lt;TODAY()),"Neschváleno po termínu cyklu. ","")))</f>
        <v/>
      </c>
    </row>
    <row r="64" spans="1:35" x14ac:dyDescent="0.2">
      <c r="A64" s="35"/>
      <c r="B64" s="11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11"/>
      <c r="N64" s="11"/>
      <c r="O64" s="11"/>
      <c r="P64" s="11"/>
      <c r="Q64" s="11"/>
      <c r="R64" s="11"/>
      <c r="S64" s="11"/>
      <c r="T64" s="35"/>
      <c r="U64" s="36"/>
      <c r="V64" s="11"/>
      <c r="W64" s="35"/>
      <c r="X64" s="35"/>
      <c r="Y64" s="36"/>
      <c r="Z64" s="11"/>
      <c r="AA64" s="35"/>
      <c r="AB64" s="36"/>
      <c r="AC64" s="35"/>
      <c r="AD64" s="35"/>
      <c r="AE64" s="37" t="str">
        <f>IF($A64="","",COUNTIFS(Připomínky!$A$4:$A$503,$A64,Připomínky!$J$4:$J$503,"Nevyřešeno"))</f>
        <v/>
      </c>
      <c r="AF64" s="37" t="str">
        <f>IF($A64="","",COUNTIFS(Publikace!$A$4:$A$503,$A64))</f>
        <v/>
      </c>
      <c r="AG64" s="38" t="str">
        <f>IF($A64="","",IF(AF64=0,"",_xlfn.MINIFS(Publikace!$E$4:$E$503,Publikace!$A$4:$A$503,$A64)))</f>
        <v/>
      </c>
      <c r="AH64" s="37" t="str">
        <f t="shared" si="0"/>
        <v/>
      </c>
      <c r="AI64" s="39" t="str">
        <f ca="1">IF($A64="","",TRIM(IF(AND($U64&lt;&gt;"",$U64&lt;TODAY(),$W64&lt;&gt;"Schváleno",$W64&lt;&gt;"Odloženo",$W64&lt;&gt;"Zrušeno"),"Po termínu odevzdání. ","")&amp;IF(AND($W64="Schváleno",OR($X64="",$Y64="")),"Schváleno bez jména / data. ","")&amp;IF(OR($G64="",$H64="",$I64="",$F64=""),"Chybí zařazení (kategorie, typ, profil nebo měsíc). ","")&amp;IF(AND(OR($I64="Honza",$I64="Radek"),OR($J64="",$J64="Nevztahuje se")),"Doplnit charakter (osobní / pracovní). ","")&amp;IF(AND($W64="Schváleno",$AE64&gt;0),"Schváleno, ale má otevřené připomínky. ","")&amp;IF(AND($AA64="Publikováno",$AF64=0),"Publikováno bez záznamu v listu Publikace. ","")&amp;IF(AND($C64&lt;&gt;"",$D64=""),"Chybí číslo dílu série. ","")&amp;IF(AND($E64&lt;&gt;"",$W64&lt;&gt;"Schváleno",$W64&lt;&gt;"Odloženo",$W64&lt;&gt;"Zrušeno",IFERROR(VLOOKUP($E64,Nastavení!$A$30:$G$53,3,FALSE()),0)&gt;0,IFERROR(VLOOKUP($E64,Nastavení!$A$30:$G$53,3,FALSE()),0)&lt;TODAY()),"Neschváleno po termínu cyklu. ","")))</f>
        <v/>
      </c>
    </row>
    <row r="65" spans="1:35" x14ac:dyDescent="0.2">
      <c r="A65" s="35"/>
      <c r="B65" s="11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11"/>
      <c r="N65" s="11"/>
      <c r="O65" s="11"/>
      <c r="P65" s="11"/>
      <c r="Q65" s="11"/>
      <c r="R65" s="11"/>
      <c r="S65" s="11"/>
      <c r="T65" s="35"/>
      <c r="U65" s="36"/>
      <c r="V65" s="11"/>
      <c r="W65" s="35"/>
      <c r="X65" s="35"/>
      <c r="Y65" s="36"/>
      <c r="Z65" s="11"/>
      <c r="AA65" s="35"/>
      <c r="AB65" s="36"/>
      <c r="AC65" s="35"/>
      <c r="AD65" s="35"/>
      <c r="AE65" s="37" t="str">
        <f>IF($A65="","",COUNTIFS(Připomínky!$A$4:$A$503,$A65,Připomínky!$J$4:$J$503,"Nevyřešeno"))</f>
        <v/>
      </c>
      <c r="AF65" s="37" t="str">
        <f>IF($A65="","",COUNTIFS(Publikace!$A$4:$A$503,$A65))</f>
        <v/>
      </c>
      <c r="AG65" s="38" t="str">
        <f>IF($A65="","",IF(AF65=0,"",_xlfn.MINIFS(Publikace!$E$4:$E$503,Publikace!$A$4:$A$503,$A65)))</f>
        <v/>
      </c>
      <c r="AH65" s="37" t="str">
        <f t="shared" si="0"/>
        <v/>
      </c>
      <c r="AI65" s="39" t="str">
        <f ca="1">IF($A65="","",TRIM(IF(AND($U65&lt;&gt;"",$U65&lt;TODAY(),$W65&lt;&gt;"Schváleno",$W65&lt;&gt;"Odloženo",$W65&lt;&gt;"Zrušeno"),"Po termínu odevzdání. ","")&amp;IF(AND($W65="Schváleno",OR($X65="",$Y65="")),"Schváleno bez jména / data. ","")&amp;IF(OR($G65="",$H65="",$I65="",$F65=""),"Chybí zařazení (kategorie, typ, profil nebo měsíc). ","")&amp;IF(AND(OR($I65="Honza",$I65="Radek"),OR($J65="",$J65="Nevztahuje se")),"Doplnit charakter (osobní / pracovní). ","")&amp;IF(AND($W65="Schváleno",$AE65&gt;0),"Schváleno, ale má otevřené připomínky. ","")&amp;IF(AND($AA65="Publikováno",$AF65=0),"Publikováno bez záznamu v listu Publikace. ","")&amp;IF(AND($C65&lt;&gt;"",$D65=""),"Chybí číslo dílu série. ","")&amp;IF(AND($E65&lt;&gt;"",$W65&lt;&gt;"Schváleno",$W65&lt;&gt;"Odloženo",$W65&lt;&gt;"Zrušeno",IFERROR(VLOOKUP($E65,Nastavení!$A$30:$G$53,3,FALSE()),0)&gt;0,IFERROR(VLOOKUP($E65,Nastavení!$A$30:$G$53,3,FALSE()),0)&lt;TODAY()),"Neschváleno po termínu cyklu. ","")))</f>
        <v/>
      </c>
    </row>
    <row r="66" spans="1:35" x14ac:dyDescent="0.2">
      <c r="A66" s="35"/>
      <c r="B66" s="11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11"/>
      <c r="N66" s="11"/>
      <c r="O66" s="11"/>
      <c r="P66" s="11"/>
      <c r="Q66" s="11"/>
      <c r="R66" s="11"/>
      <c r="S66" s="11"/>
      <c r="T66" s="35"/>
      <c r="U66" s="36"/>
      <c r="V66" s="11"/>
      <c r="W66" s="35"/>
      <c r="X66" s="35"/>
      <c r="Y66" s="36"/>
      <c r="Z66" s="11"/>
      <c r="AA66" s="35"/>
      <c r="AB66" s="36"/>
      <c r="AC66" s="35"/>
      <c r="AD66" s="35"/>
      <c r="AE66" s="37" t="str">
        <f>IF($A66="","",COUNTIFS(Připomínky!$A$4:$A$503,$A66,Připomínky!$J$4:$J$503,"Nevyřešeno"))</f>
        <v/>
      </c>
      <c r="AF66" s="37" t="str">
        <f>IF($A66="","",COUNTIFS(Publikace!$A$4:$A$503,$A66))</f>
        <v/>
      </c>
      <c r="AG66" s="38" t="str">
        <f>IF($A66="","",IF(AF66=0,"",_xlfn.MINIFS(Publikace!$E$4:$E$503,Publikace!$A$4:$A$503,$A66)))</f>
        <v/>
      </c>
      <c r="AH66" s="37" t="str">
        <f t="shared" si="0"/>
        <v/>
      </c>
      <c r="AI66" s="39" t="str">
        <f ca="1">IF($A66="","",TRIM(IF(AND($U66&lt;&gt;"",$U66&lt;TODAY(),$W66&lt;&gt;"Schváleno",$W66&lt;&gt;"Odloženo",$W66&lt;&gt;"Zrušeno"),"Po termínu odevzdání. ","")&amp;IF(AND($W66="Schváleno",OR($X66="",$Y66="")),"Schváleno bez jména / data. ","")&amp;IF(OR($G66="",$H66="",$I66="",$F66=""),"Chybí zařazení (kategorie, typ, profil nebo měsíc). ","")&amp;IF(AND(OR($I66="Honza",$I66="Radek"),OR($J66="",$J66="Nevztahuje se")),"Doplnit charakter (osobní / pracovní). ","")&amp;IF(AND($W66="Schváleno",$AE66&gt;0),"Schváleno, ale má otevřené připomínky. ","")&amp;IF(AND($AA66="Publikováno",$AF66=0),"Publikováno bez záznamu v listu Publikace. ","")&amp;IF(AND($C66&lt;&gt;"",$D66=""),"Chybí číslo dílu série. ","")&amp;IF(AND($E66&lt;&gt;"",$W66&lt;&gt;"Schváleno",$W66&lt;&gt;"Odloženo",$W66&lt;&gt;"Zrušeno",IFERROR(VLOOKUP($E66,Nastavení!$A$30:$G$53,3,FALSE()),0)&gt;0,IFERROR(VLOOKUP($E66,Nastavení!$A$30:$G$53,3,FALSE()),0)&lt;TODAY()),"Neschváleno po termínu cyklu. ","")))</f>
        <v/>
      </c>
    </row>
    <row r="67" spans="1:35" x14ac:dyDescent="0.2">
      <c r="A67" s="35"/>
      <c r="B67" s="11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11"/>
      <c r="N67" s="11"/>
      <c r="O67" s="11"/>
      <c r="P67" s="11"/>
      <c r="Q67" s="11"/>
      <c r="R67" s="11"/>
      <c r="S67" s="11"/>
      <c r="T67" s="35"/>
      <c r="U67" s="36"/>
      <c r="V67" s="11"/>
      <c r="W67" s="35"/>
      <c r="X67" s="35"/>
      <c r="Y67" s="36"/>
      <c r="Z67" s="11"/>
      <c r="AA67" s="35"/>
      <c r="AB67" s="36"/>
      <c r="AC67" s="35"/>
      <c r="AD67" s="35"/>
      <c r="AE67" s="37" t="str">
        <f>IF($A67="","",COUNTIFS(Připomínky!$A$4:$A$503,$A67,Připomínky!$J$4:$J$503,"Nevyřešeno"))</f>
        <v/>
      </c>
      <c r="AF67" s="37" t="str">
        <f>IF($A67="","",COUNTIFS(Publikace!$A$4:$A$503,$A67))</f>
        <v/>
      </c>
      <c r="AG67" s="38" t="str">
        <f>IF($A67="","",IF(AF67=0,"",_xlfn.MINIFS(Publikace!$E$4:$E$503,Publikace!$A$4:$A$503,$A67)))</f>
        <v/>
      </c>
      <c r="AH67" s="37" t="str">
        <f t="shared" si="0"/>
        <v/>
      </c>
      <c r="AI67" s="39" t="str">
        <f ca="1">IF($A67="","",TRIM(IF(AND($U67&lt;&gt;"",$U67&lt;TODAY(),$W67&lt;&gt;"Schváleno",$W67&lt;&gt;"Odloženo",$W67&lt;&gt;"Zrušeno"),"Po termínu odevzdání. ","")&amp;IF(AND($W67="Schváleno",OR($X67="",$Y67="")),"Schváleno bez jména / data. ","")&amp;IF(OR($G67="",$H67="",$I67="",$F67=""),"Chybí zařazení (kategorie, typ, profil nebo měsíc). ","")&amp;IF(AND(OR($I67="Honza",$I67="Radek"),OR($J67="",$J67="Nevztahuje se")),"Doplnit charakter (osobní / pracovní). ","")&amp;IF(AND($W67="Schváleno",$AE67&gt;0),"Schváleno, ale má otevřené připomínky. ","")&amp;IF(AND($AA67="Publikováno",$AF67=0),"Publikováno bez záznamu v listu Publikace. ","")&amp;IF(AND($C67&lt;&gt;"",$D67=""),"Chybí číslo dílu série. ","")&amp;IF(AND($E67&lt;&gt;"",$W67&lt;&gt;"Schváleno",$W67&lt;&gt;"Odloženo",$W67&lt;&gt;"Zrušeno",IFERROR(VLOOKUP($E67,Nastavení!$A$30:$G$53,3,FALSE()),0)&gt;0,IFERROR(VLOOKUP($E67,Nastavení!$A$30:$G$53,3,FALSE()),0)&lt;TODAY()),"Neschváleno po termínu cyklu. ","")))</f>
        <v/>
      </c>
    </row>
    <row r="68" spans="1:35" x14ac:dyDescent="0.2">
      <c r="A68" s="35"/>
      <c r="B68" s="11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11"/>
      <c r="N68" s="11"/>
      <c r="O68" s="11"/>
      <c r="P68" s="11"/>
      <c r="Q68" s="11"/>
      <c r="R68" s="11"/>
      <c r="S68" s="11"/>
      <c r="T68" s="35"/>
      <c r="U68" s="36"/>
      <c r="V68" s="11"/>
      <c r="W68" s="35"/>
      <c r="X68" s="35"/>
      <c r="Y68" s="36"/>
      <c r="Z68" s="11"/>
      <c r="AA68" s="35"/>
      <c r="AB68" s="36"/>
      <c r="AC68" s="35"/>
      <c r="AD68" s="35"/>
      <c r="AE68" s="37" t="str">
        <f>IF($A68="","",COUNTIFS(Připomínky!$A$4:$A$503,$A68,Připomínky!$J$4:$J$503,"Nevyřešeno"))</f>
        <v/>
      </c>
      <c r="AF68" s="37" t="str">
        <f>IF($A68="","",COUNTIFS(Publikace!$A$4:$A$503,$A68))</f>
        <v/>
      </c>
      <c r="AG68" s="38" t="str">
        <f>IF($A68="","",IF(AF68=0,"",_xlfn.MINIFS(Publikace!$E$4:$E$503,Publikace!$A$4:$A$503,$A68)))</f>
        <v/>
      </c>
      <c r="AH68" s="37" t="str">
        <f t="shared" ref="AH68:AH131" si="1">IF(AG68="","",YEAR(AG68)&amp;"-"&amp;TEXT(MONTH(AG68),"00"))</f>
        <v/>
      </c>
      <c r="AI68" s="39" t="str">
        <f ca="1">IF($A68="","",TRIM(IF(AND($U68&lt;&gt;"",$U68&lt;TODAY(),$W68&lt;&gt;"Schváleno",$W68&lt;&gt;"Odloženo",$W68&lt;&gt;"Zrušeno"),"Po termínu odevzdání. ","")&amp;IF(AND($W68="Schváleno",OR($X68="",$Y68="")),"Schváleno bez jména / data. ","")&amp;IF(OR($G68="",$H68="",$I68="",$F68=""),"Chybí zařazení (kategorie, typ, profil nebo měsíc). ","")&amp;IF(AND(OR($I68="Honza",$I68="Radek"),OR($J68="",$J68="Nevztahuje se")),"Doplnit charakter (osobní / pracovní). ","")&amp;IF(AND($W68="Schváleno",$AE68&gt;0),"Schváleno, ale má otevřené připomínky. ","")&amp;IF(AND($AA68="Publikováno",$AF68=0),"Publikováno bez záznamu v listu Publikace. ","")&amp;IF(AND($C68&lt;&gt;"",$D68=""),"Chybí číslo dílu série. ","")&amp;IF(AND($E68&lt;&gt;"",$W68&lt;&gt;"Schváleno",$W68&lt;&gt;"Odloženo",$W68&lt;&gt;"Zrušeno",IFERROR(VLOOKUP($E68,Nastavení!$A$30:$G$53,3,FALSE()),0)&gt;0,IFERROR(VLOOKUP($E68,Nastavení!$A$30:$G$53,3,FALSE()),0)&lt;TODAY()),"Neschváleno po termínu cyklu. ","")))</f>
        <v/>
      </c>
    </row>
    <row r="69" spans="1:35" x14ac:dyDescent="0.2">
      <c r="A69" s="35"/>
      <c r="B69" s="11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11"/>
      <c r="N69" s="11"/>
      <c r="O69" s="11"/>
      <c r="P69" s="11"/>
      <c r="Q69" s="11"/>
      <c r="R69" s="11"/>
      <c r="S69" s="11"/>
      <c r="T69" s="35"/>
      <c r="U69" s="36"/>
      <c r="V69" s="11"/>
      <c r="W69" s="35"/>
      <c r="X69" s="35"/>
      <c r="Y69" s="36"/>
      <c r="Z69" s="11"/>
      <c r="AA69" s="35"/>
      <c r="AB69" s="36"/>
      <c r="AC69" s="35"/>
      <c r="AD69" s="35"/>
      <c r="AE69" s="37" t="str">
        <f>IF($A69="","",COUNTIFS(Připomínky!$A$4:$A$503,$A69,Připomínky!$J$4:$J$503,"Nevyřešeno"))</f>
        <v/>
      </c>
      <c r="AF69" s="37" t="str">
        <f>IF($A69="","",COUNTIFS(Publikace!$A$4:$A$503,$A69))</f>
        <v/>
      </c>
      <c r="AG69" s="38" t="str">
        <f>IF($A69="","",IF(AF69=0,"",_xlfn.MINIFS(Publikace!$E$4:$E$503,Publikace!$A$4:$A$503,$A69)))</f>
        <v/>
      </c>
      <c r="AH69" s="37" t="str">
        <f t="shared" si="1"/>
        <v/>
      </c>
      <c r="AI69" s="39" t="str">
        <f ca="1">IF($A69="","",TRIM(IF(AND($U69&lt;&gt;"",$U69&lt;TODAY(),$W69&lt;&gt;"Schváleno",$W69&lt;&gt;"Odloženo",$W69&lt;&gt;"Zrušeno"),"Po termínu odevzdání. ","")&amp;IF(AND($W69="Schváleno",OR($X69="",$Y69="")),"Schváleno bez jména / data. ","")&amp;IF(OR($G69="",$H69="",$I69="",$F69=""),"Chybí zařazení (kategorie, typ, profil nebo měsíc). ","")&amp;IF(AND(OR($I69="Honza",$I69="Radek"),OR($J69="",$J69="Nevztahuje se")),"Doplnit charakter (osobní / pracovní). ","")&amp;IF(AND($W69="Schváleno",$AE69&gt;0),"Schváleno, ale má otevřené připomínky. ","")&amp;IF(AND($AA69="Publikováno",$AF69=0),"Publikováno bez záznamu v listu Publikace. ","")&amp;IF(AND($C69&lt;&gt;"",$D69=""),"Chybí číslo dílu série. ","")&amp;IF(AND($E69&lt;&gt;"",$W69&lt;&gt;"Schváleno",$W69&lt;&gt;"Odloženo",$W69&lt;&gt;"Zrušeno",IFERROR(VLOOKUP($E69,Nastavení!$A$30:$G$53,3,FALSE()),0)&gt;0,IFERROR(VLOOKUP($E69,Nastavení!$A$30:$G$53,3,FALSE()),0)&lt;TODAY()),"Neschváleno po termínu cyklu. ","")))</f>
        <v/>
      </c>
    </row>
    <row r="70" spans="1:35" x14ac:dyDescent="0.2">
      <c r="A70" s="35"/>
      <c r="B70" s="11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11"/>
      <c r="N70" s="11"/>
      <c r="O70" s="11"/>
      <c r="P70" s="11"/>
      <c r="Q70" s="11"/>
      <c r="R70" s="11"/>
      <c r="S70" s="11"/>
      <c r="T70" s="35"/>
      <c r="U70" s="36"/>
      <c r="V70" s="11"/>
      <c r="W70" s="35"/>
      <c r="X70" s="35"/>
      <c r="Y70" s="36"/>
      <c r="Z70" s="11"/>
      <c r="AA70" s="35"/>
      <c r="AB70" s="36"/>
      <c r="AC70" s="35"/>
      <c r="AD70" s="35"/>
      <c r="AE70" s="37" t="str">
        <f>IF($A70="","",COUNTIFS(Připomínky!$A$4:$A$503,$A70,Připomínky!$J$4:$J$503,"Nevyřešeno"))</f>
        <v/>
      </c>
      <c r="AF70" s="37" t="str">
        <f>IF($A70="","",COUNTIFS(Publikace!$A$4:$A$503,$A70))</f>
        <v/>
      </c>
      <c r="AG70" s="38" t="str">
        <f>IF($A70="","",IF(AF70=0,"",_xlfn.MINIFS(Publikace!$E$4:$E$503,Publikace!$A$4:$A$503,$A70)))</f>
        <v/>
      </c>
      <c r="AH70" s="37" t="str">
        <f t="shared" si="1"/>
        <v/>
      </c>
      <c r="AI70" s="39" t="str">
        <f ca="1">IF($A70="","",TRIM(IF(AND($U70&lt;&gt;"",$U70&lt;TODAY(),$W70&lt;&gt;"Schváleno",$W70&lt;&gt;"Odloženo",$W70&lt;&gt;"Zrušeno"),"Po termínu odevzdání. ","")&amp;IF(AND($W70="Schváleno",OR($X70="",$Y70="")),"Schváleno bez jména / data. ","")&amp;IF(OR($G70="",$H70="",$I70="",$F70=""),"Chybí zařazení (kategorie, typ, profil nebo měsíc). ","")&amp;IF(AND(OR($I70="Honza",$I70="Radek"),OR($J70="",$J70="Nevztahuje se")),"Doplnit charakter (osobní / pracovní). ","")&amp;IF(AND($W70="Schváleno",$AE70&gt;0),"Schváleno, ale má otevřené připomínky. ","")&amp;IF(AND($AA70="Publikováno",$AF70=0),"Publikováno bez záznamu v listu Publikace. ","")&amp;IF(AND($C70&lt;&gt;"",$D70=""),"Chybí číslo dílu série. ","")&amp;IF(AND($E70&lt;&gt;"",$W70&lt;&gt;"Schváleno",$W70&lt;&gt;"Odloženo",$W70&lt;&gt;"Zrušeno",IFERROR(VLOOKUP($E70,Nastavení!$A$30:$G$53,3,FALSE()),0)&gt;0,IFERROR(VLOOKUP($E70,Nastavení!$A$30:$G$53,3,FALSE()),0)&lt;TODAY()),"Neschváleno po termínu cyklu. ","")))</f>
        <v/>
      </c>
    </row>
    <row r="71" spans="1:35" x14ac:dyDescent="0.2">
      <c r="A71" s="35"/>
      <c r="B71" s="11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11"/>
      <c r="N71" s="11"/>
      <c r="O71" s="11"/>
      <c r="P71" s="11"/>
      <c r="Q71" s="11"/>
      <c r="R71" s="11"/>
      <c r="S71" s="11"/>
      <c r="T71" s="35"/>
      <c r="U71" s="36"/>
      <c r="V71" s="11"/>
      <c r="W71" s="35"/>
      <c r="X71" s="35"/>
      <c r="Y71" s="36"/>
      <c r="Z71" s="11"/>
      <c r="AA71" s="35"/>
      <c r="AB71" s="36"/>
      <c r="AC71" s="35"/>
      <c r="AD71" s="35"/>
      <c r="AE71" s="37" t="str">
        <f>IF($A71="","",COUNTIFS(Připomínky!$A$4:$A$503,$A71,Připomínky!$J$4:$J$503,"Nevyřešeno"))</f>
        <v/>
      </c>
      <c r="AF71" s="37" t="str">
        <f>IF($A71="","",COUNTIFS(Publikace!$A$4:$A$503,$A71))</f>
        <v/>
      </c>
      <c r="AG71" s="38" t="str">
        <f>IF($A71="","",IF(AF71=0,"",_xlfn.MINIFS(Publikace!$E$4:$E$503,Publikace!$A$4:$A$503,$A71)))</f>
        <v/>
      </c>
      <c r="AH71" s="37" t="str">
        <f t="shared" si="1"/>
        <v/>
      </c>
      <c r="AI71" s="39" t="str">
        <f ca="1">IF($A71="","",TRIM(IF(AND($U71&lt;&gt;"",$U71&lt;TODAY(),$W71&lt;&gt;"Schváleno",$W71&lt;&gt;"Odloženo",$W71&lt;&gt;"Zrušeno"),"Po termínu odevzdání. ","")&amp;IF(AND($W71="Schváleno",OR($X71="",$Y71="")),"Schváleno bez jména / data. ","")&amp;IF(OR($G71="",$H71="",$I71="",$F71=""),"Chybí zařazení (kategorie, typ, profil nebo měsíc). ","")&amp;IF(AND(OR($I71="Honza",$I71="Radek"),OR($J71="",$J71="Nevztahuje se")),"Doplnit charakter (osobní / pracovní). ","")&amp;IF(AND($W71="Schváleno",$AE71&gt;0),"Schváleno, ale má otevřené připomínky. ","")&amp;IF(AND($AA71="Publikováno",$AF71=0),"Publikováno bez záznamu v listu Publikace. ","")&amp;IF(AND($C71&lt;&gt;"",$D71=""),"Chybí číslo dílu série. ","")&amp;IF(AND($E71&lt;&gt;"",$W71&lt;&gt;"Schváleno",$W71&lt;&gt;"Odloženo",$W71&lt;&gt;"Zrušeno",IFERROR(VLOOKUP($E71,Nastavení!$A$30:$G$53,3,FALSE()),0)&gt;0,IFERROR(VLOOKUP($E71,Nastavení!$A$30:$G$53,3,FALSE()),0)&lt;TODAY()),"Neschváleno po termínu cyklu. ","")))</f>
        <v/>
      </c>
    </row>
    <row r="72" spans="1:35" x14ac:dyDescent="0.2">
      <c r="A72" s="35"/>
      <c r="B72" s="11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11"/>
      <c r="N72" s="11"/>
      <c r="O72" s="11"/>
      <c r="P72" s="11"/>
      <c r="Q72" s="11"/>
      <c r="R72" s="11"/>
      <c r="S72" s="11"/>
      <c r="T72" s="35"/>
      <c r="U72" s="36"/>
      <c r="V72" s="11"/>
      <c r="W72" s="35"/>
      <c r="X72" s="35"/>
      <c r="Y72" s="36"/>
      <c r="Z72" s="11"/>
      <c r="AA72" s="35"/>
      <c r="AB72" s="36"/>
      <c r="AC72" s="35"/>
      <c r="AD72" s="35"/>
      <c r="AE72" s="37" t="str">
        <f>IF($A72="","",COUNTIFS(Připomínky!$A$4:$A$503,$A72,Připomínky!$J$4:$J$503,"Nevyřešeno"))</f>
        <v/>
      </c>
      <c r="AF72" s="37" t="str">
        <f>IF($A72="","",COUNTIFS(Publikace!$A$4:$A$503,$A72))</f>
        <v/>
      </c>
      <c r="AG72" s="38" t="str">
        <f>IF($A72="","",IF(AF72=0,"",_xlfn.MINIFS(Publikace!$E$4:$E$503,Publikace!$A$4:$A$503,$A72)))</f>
        <v/>
      </c>
      <c r="AH72" s="37" t="str">
        <f t="shared" si="1"/>
        <v/>
      </c>
      <c r="AI72" s="39" t="str">
        <f ca="1">IF($A72="","",TRIM(IF(AND($U72&lt;&gt;"",$U72&lt;TODAY(),$W72&lt;&gt;"Schváleno",$W72&lt;&gt;"Odloženo",$W72&lt;&gt;"Zrušeno"),"Po termínu odevzdání. ","")&amp;IF(AND($W72="Schváleno",OR($X72="",$Y72="")),"Schváleno bez jména / data. ","")&amp;IF(OR($G72="",$H72="",$I72="",$F72=""),"Chybí zařazení (kategorie, typ, profil nebo měsíc). ","")&amp;IF(AND(OR($I72="Honza",$I72="Radek"),OR($J72="",$J72="Nevztahuje se")),"Doplnit charakter (osobní / pracovní). ","")&amp;IF(AND($W72="Schváleno",$AE72&gt;0),"Schváleno, ale má otevřené připomínky. ","")&amp;IF(AND($AA72="Publikováno",$AF72=0),"Publikováno bez záznamu v listu Publikace. ","")&amp;IF(AND($C72&lt;&gt;"",$D72=""),"Chybí číslo dílu série. ","")&amp;IF(AND($E72&lt;&gt;"",$W72&lt;&gt;"Schváleno",$W72&lt;&gt;"Odloženo",$W72&lt;&gt;"Zrušeno",IFERROR(VLOOKUP($E72,Nastavení!$A$30:$G$53,3,FALSE()),0)&gt;0,IFERROR(VLOOKUP($E72,Nastavení!$A$30:$G$53,3,FALSE()),0)&lt;TODAY()),"Neschváleno po termínu cyklu. ","")))</f>
        <v/>
      </c>
    </row>
    <row r="73" spans="1:35" x14ac:dyDescent="0.2">
      <c r="A73" s="35"/>
      <c r="B73" s="11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11"/>
      <c r="N73" s="11"/>
      <c r="O73" s="11"/>
      <c r="P73" s="11"/>
      <c r="Q73" s="11"/>
      <c r="R73" s="11"/>
      <c r="S73" s="11"/>
      <c r="T73" s="35"/>
      <c r="U73" s="36"/>
      <c r="V73" s="11"/>
      <c r="W73" s="35"/>
      <c r="X73" s="35"/>
      <c r="Y73" s="36"/>
      <c r="Z73" s="11"/>
      <c r="AA73" s="35"/>
      <c r="AB73" s="36"/>
      <c r="AC73" s="35"/>
      <c r="AD73" s="35"/>
      <c r="AE73" s="37" t="str">
        <f>IF($A73="","",COUNTIFS(Připomínky!$A$4:$A$503,$A73,Připomínky!$J$4:$J$503,"Nevyřešeno"))</f>
        <v/>
      </c>
      <c r="AF73" s="37" t="str">
        <f>IF($A73="","",COUNTIFS(Publikace!$A$4:$A$503,$A73))</f>
        <v/>
      </c>
      <c r="AG73" s="38" t="str">
        <f>IF($A73="","",IF(AF73=0,"",_xlfn.MINIFS(Publikace!$E$4:$E$503,Publikace!$A$4:$A$503,$A73)))</f>
        <v/>
      </c>
      <c r="AH73" s="37" t="str">
        <f t="shared" si="1"/>
        <v/>
      </c>
      <c r="AI73" s="39" t="str">
        <f ca="1">IF($A73="","",TRIM(IF(AND($U73&lt;&gt;"",$U73&lt;TODAY(),$W73&lt;&gt;"Schváleno",$W73&lt;&gt;"Odloženo",$W73&lt;&gt;"Zrušeno"),"Po termínu odevzdání. ","")&amp;IF(AND($W73="Schváleno",OR($X73="",$Y73="")),"Schváleno bez jména / data. ","")&amp;IF(OR($G73="",$H73="",$I73="",$F73=""),"Chybí zařazení (kategorie, typ, profil nebo měsíc). ","")&amp;IF(AND(OR($I73="Honza",$I73="Radek"),OR($J73="",$J73="Nevztahuje se")),"Doplnit charakter (osobní / pracovní). ","")&amp;IF(AND($W73="Schváleno",$AE73&gt;0),"Schváleno, ale má otevřené připomínky. ","")&amp;IF(AND($AA73="Publikováno",$AF73=0),"Publikováno bez záznamu v listu Publikace. ","")&amp;IF(AND($C73&lt;&gt;"",$D73=""),"Chybí číslo dílu série. ","")&amp;IF(AND($E73&lt;&gt;"",$W73&lt;&gt;"Schváleno",$W73&lt;&gt;"Odloženo",$W73&lt;&gt;"Zrušeno",IFERROR(VLOOKUP($E73,Nastavení!$A$30:$G$53,3,FALSE()),0)&gt;0,IFERROR(VLOOKUP($E73,Nastavení!$A$30:$G$53,3,FALSE()),0)&lt;TODAY()),"Neschváleno po termínu cyklu. ","")))</f>
        <v/>
      </c>
    </row>
    <row r="74" spans="1:35" x14ac:dyDescent="0.2">
      <c r="A74" s="35"/>
      <c r="B74" s="11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11"/>
      <c r="N74" s="11"/>
      <c r="O74" s="11"/>
      <c r="P74" s="11"/>
      <c r="Q74" s="11"/>
      <c r="R74" s="11"/>
      <c r="S74" s="11"/>
      <c r="T74" s="35"/>
      <c r="U74" s="36"/>
      <c r="V74" s="11"/>
      <c r="W74" s="35"/>
      <c r="X74" s="35"/>
      <c r="Y74" s="36"/>
      <c r="Z74" s="11"/>
      <c r="AA74" s="35"/>
      <c r="AB74" s="36"/>
      <c r="AC74" s="35"/>
      <c r="AD74" s="35"/>
      <c r="AE74" s="37" t="str">
        <f>IF($A74="","",COUNTIFS(Připomínky!$A$4:$A$503,$A74,Připomínky!$J$4:$J$503,"Nevyřešeno"))</f>
        <v/>
      </c>
      <c r="AF74" s="37" t="str">
        <f>IF($A74="","",COUNTIFS(Publikace!$A$4:$A$503,$A74))</f>
        <v/>
      </c>
      <c r="AG74" s="38" t="str">
        <f>IF($A74="","",IF(AF74=0,"",_xlfn.MINIFS(Publikace!$E$4:$E$503,Publikace!$A$4:$A$503,$A74)))</f>
        <v/>
      </c>
      <c r="AH74" s="37" t="str">
        <f t="shared" si="1"/>
        <v/>
      </c>
      <c r="AI74" s="39" t="str">
        <f ca="1">IF($A74="","",TRIM(IF(AND($U74&lt;&gt;"",$U74&lt;TODAY(),$W74&lt;&gt;"Schváleno",$W74&lt;&gt;"Odloženo",$W74&lt;&gt;"Zrušeno"),"Po termínu odevzdání. ","")&amp;IF(AND($W74="Schváleno",OR($X74="",$Y74="")),"Schváleno bez jména / data. ","")&amp;IF(OR($G74="",$H74="",$I74="",$F74=""),"Chybí zařazení (kategorie, typ, profil nebo měsíc). ","")&amp;IF(AND(OR($I74="Honza",$I74="Radek"),OR($J74="",$J74="Nevztahuje se")),"Doplnit charakter (osobní / pracovní). ","")&amp;IF(AND($W74="Schváleno",$AE74&gt;0),"Schváleno, ale má otevřené připomínky. ","")&amp;IF(AND($AA74="Publikováno",$AF74=0),"Publikováno bez záznamu v listu Publikace. ","")&amp;IF(AND($C74&lt;&gt;"",$D74=""),"Chybí číslo dílu série. ","")&amp;IF(AND($E74&lt;&gt;"",$W74&lt;&gt;"Schváleno",$W74&lt;&gt;"Odloženo",$W74&lt;&gt;"Zrušeno",IFERROR(VLOOKUP($E74,Nastavení!$A$30:$G$53,3,FALSE()),0)&gt;0,IFERROR(VLOOKUP($E74,Nastavení!$A$30:$G$53,3,FALSE()),0)&lt;TODAY()),"Neschváleno po termínu cyklu. ","")))</f>
        <v/>
      </c>
    </row>
    <row r="75" spans="1:35" x14ac:dyDescent="0.2">
      <c r="A75" s="35"/>
      <c r="B75" s="11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11"/>
      <c r="N75" s="11"/>
      <c r="O75" s="11"/>
      <c r="P75" s="11"/>
      <c r="Q75" s="11"/>
      <c r="R75" s="11"/>
      <c r="S75" s="11"/>
      <c r="T75" s="35"/>
      <c r="U75" s="36"/>
      <c r="V75" s="11"/>
      <c r="W75" s="35"/>
      <c r="X75" s="35"/>
      <c r="Y75" s="36"/>
      <c r="Z75" s="11"/>
      <c r="AA75" s="35"/>
      <c r="AB75" s="36"/>
      <c r="AC75" s="35"/>
      <c r="AD75" s="35"/>
      <c r="AE75" s="37" t="str">
        <f>IF($A75="","",COUNTIFS(Připomínky!$A$4:$A$503,$A75,Připomínky!$J$4:$J$503,"Nevyřešeno"))</f>
        <v/>
      </c>
      <c r="AF75" s="37" t="str">
        <f>IF($A75="","",COUNTIFS(Publikace!$A$4:$A$503,$A75))</f>
        <v/>
      </c>
      <c r="AG75" s="38" t="str">
        <f>IF($A75="","",IF(AF75=0,"",_xlfn.MINIFS(Publikace!$E$4:$E$503,Publikace!$A$4:$A$503,$A75)))</f>
        <v/>
      </c>
      <c r="AH75" s="37" t="str">
        <f t="shared" si="1"/>
        <v/>
      </c>
      <c r="AI75" s="39" t="str">
        <f ca="1">IF($A75="","",TRIM(IF(AND($U75&lt;&gt;"",$U75&lt;TODAY(),$W75&lt;&gt;"Schváleno",$W75&lt;&gt;"Odloženo",$W75&lt;&gt;"Zrušeno"),"Po termínu odevzdání. ","")&amp;IF(AND($W75="Schváleno",OR($X75="",$Y75="")),"Schváleno bez jména / data. ","")&amp;IF(OR($G75="",$H75="",$I75="",$F75=""),"Chybí zařazení (kategorie, typ, profil nebo měsíc). ","")&amp;IF(AND(OR($I75="Honza",$I75="Radek"),OR($J75="",$J75="Nevztahuje se")),"Doplnit charakter (osobní / pracovní). ","")&amp;IF(AND($W75="Schváleno",$AE75&gt;0),"Schváleno, ale má otevřené připomínky. ","")&amp;IF(AND($AA75="Publikováno",$AF75=0),"Publikováno bez záznamu v listu Publikace. ","")&amp;IF(AND($C75&lt;&gt;"",$D75=""),"Chybí číslo dílu série. ","")&amp;IF(AND($E75&lt;&gt;"",$W75&lt;&gt;"Schváleno",$W75&lt;&gt;"Odloženo",$W75&lt;&gt;"Zrušeno",IFERROR(VLOOKUP($E75,Nastavení!$A$30:$G$53,3,FALSE()),0)&gt;0,IFERROR(VLOOKUP($E75,Nastavení!$A$30:$G$53,3,FALSE()),0)&lt;TODAY()),"Neschváleno po termínu cyklu. ","")))</f>
        <v/>
      </c>
    </row>
    <row r="76" spans="1:35" x14ac:dyDescent="0.2">
      <c r="A76" s="35"/>
      <c r="B76" s="11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11"/>
      <c r="N76" s="11"/>
      <c r="O76" s="11"/>
      <c r="P76" s="11"/>
      <c r="Q76" s="11"/>
      <c r="R76" s="11"/>
      <c r="S76" s="11"/>
      <c r="T76" s="35"/>
      <c r="U76" s="36"/>
      <c r="V76" s="11"/>
      <c r="W76" s="35"/>
      <c r="X76" s="35"/>
      <c r="Y76" s="36"/>
      <c r="Z76" s="11"/>
      <c r="AA76" s="35"/>
      <c r="AB76" s="36"/>
      <c r="AC76" s="35"/>
      <c r="AD76" s="35"/>
      <c r="AE76" s="37" t="str">
        <f>IF($A76="","",COUNTIFS(Připomínky!$A$4:$A$503,$A76,Připomínky!$J$4:$J$503,"Nevyřešeno"))</f>
        <v/>
      </c>
      <c r="AF76" s="37" t="str">
        <f>IF($A76="","",COUNTIFS(Publikace!$A$4:$A$503,$A76))</f>
        <v/>
      </c>
      <c r="AG76" s="38" t="str">
        <f>IF($A76="","",IF(AF76=0,"",_xlfn.MINIFS(Publikace!$E$4:$E$503,Publikace!$A$4:$A$503,$A76)))</f>
        <v/>
      </c>
      <c r="AH76" s="37" t="str">
        <f t="shared" si="1"/>
        <v/>
      </c>
      <c r="AI76" s="39" t="str">
        <f ca="1">IF($A76="","",TRIM(IF(AND($U76&lt;&gt;"",$U76&lt;TODAY(),$W76&lt;&gt;"Schváleno",$W76&lt;&gt;"Odloženo",$W76&lt;&gt;"Zrušeno"),"Po termínu odevzdání. ","")&amp;IF(AND($W76="Schváleno",OR($X76="",$Y76="")),"Schváleno bez jména / data. ","")&amp;IF(OR($G76="",$H76="",$I76="",$F76=""),"Chybí zařazení (kategorie, typ, profil nebo měsíc). ","")&amp;IF(AND(OR($I76="Honza",$I76="Radek"),OR($J76="",$J76="Nevztahuje se")),"Doplnit charakter (osobní / pracovní). ","")&amp;IF(AND($W76="Schváleno",$AE76&gt;0),"Schváleno, ale má otevřené připomínky. ","")&amp;IF(AND($AA76="Publikováno",$AF76=0),"Publikováno bez záznamu v listu Publikace. ","")&amp;IF(AND($C76&lt;&gt;"",$D76=""),"Chybí číslo dílu série. ","")&amp;IF(AND($E76&lt;&gt;"",$W76&lt;&gt;"Schváleno",$W76&lt;&gt;"Odloženo",$W76&lt;&gt;"Zrušeno",IFERROR(VLOOKUP($E76,Nastavení!$A$30:$G$53,3,FALSE()),0)&gt;0,IFERROR(VLOOKUP($E76,Nastavení!$A$30:$G$53,3,FALSE()),0)&lt;TODAY()),"Neschváleno po termínu cyklu. ","")))</f>
        <v/>
      </c>
    </row>
    <row r="77" spans="1:35" x14ac:dyDescent="0.2">
      <c r="A77" s="35"/>
      <c r="B77" s="11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11"/>
      <c r="N77" s="11"/>
      <c r="O77" s="11"/>
      <c r="P77" s="11"/>
      <c r="Q77" s="11"/>
      <c r="R77" s="11"/>
      <c r="S77" s="11"/>
      <c r="T77" s="35"/>
      <c r="U77" s="36"/>
      <c r="V77" s="11"/>
      <c r="W77" s="35"/>
      <c r="X77" s="35"/>
      <c r="Y77" s="36"/>
      <c r="Z77" s="11"/>
      <c r="AA77" s="35"/>
      <c r="AB77" s="36"/>
      <c r="AC77" s="35"/>
      <c r="AD77" s="35"/>
      <c r="AE77" s="37" t="str">
        <f>IF($A77="","",COUNTIFS(Připomínky!$A$4:$A$503,$A77,Připomínky!$J$4:$J$503,"Nevyřešeno"))</f>
        <v/>
      </c>
      <c r="AF77" s="37" t="str">
        <f>IF($A77="","",COUNTIFS(Publikace!$A$4:$A$503,$A77))</f>
        <v/>
      </c>
      <c r="AG77" s="38" t="str">
        <f>IF($A77="","",IF(AF77=0,"",_xlfn.MINIFS(Publikace!$E$4:$E$503,Publikace!$A$4:$A$503,$A77)))</f>
        <v/>
      </c>
      <c r="AH77" s="37" t="str">
        <f t="shared" si="1"/>
        <v/>
      </c>
      <c r="AI77" s="39" t="str">
        <f ca="1">IF($A77="","",TRIM(IF(AND($U77&lt;&gt;"",$U77&lt;TODAY(),$W77&lt;&gt;"Schváleno",$W77&lt;&gt;"Odloženo",$W77&lt;&gt;"Zrušeno"),"Po termínu odevzdání. ","")&amp;IF(AND($W77="Schváleno",OR($X77="",$Y77="")),"Schváleno bez jména / data. ","")&amp;IF(OR($G77="",$H77="",$I77="",$F77=""),"Chybí zařazení (kategorie, typ, profil nebo měsíc). ","")&amp;IF(AND(OR($I77="Honza",$I77="Radek"),OR($J77="",$J77="Nevztahuje se")),"Doplnit charakter (osobní / pracovní). ","")&amp;IF(AND($W77="Schváleno",$AE77&gt;0),"Schváleno, ale má otevřené připomínky. ","")&amp;IF(AND($AA77="Publikováno",$AF77=0),"Publikováno bez záznamu v listu Publikace. ","")&amp;IF(AND($C77&lt;&gt;"",$D77=""),"Chybí číslo dílu série. ","")&amp;IF(AND($E77&lt;&gt;"",$W77&lt;&gt;"Schváleno",$W77&lt;&gt;"Odloženo",$W77&lt;&gt;"Zrušeno",IFERROR(VLOOKUP($E77,Nastavení!$A$30:$G$53,3,FALSE()),0)&gt;0,IFERROR(VLOOKUP($E77,Nastavení!$A$30:$G$53,3,FALSE()),0)&lt;TODAY()),"Neschváleno po termínu cyklu. ","")))</f>
        <v/>
      </c>
    </row>
    <row r="78" spans="1:35" x14ac:dyDescent="0.2">
      <c r="A78" s="35"/>
      <c r="B78" s="11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11"/>
      <c r="N78" s="11"/>
      <c r="O78" s="11"/>
      <c r="P78" s="11"/>
      <c r="Q78" s="11"/>
      <c r="R78" s="11"/>
      <c r="S78" s="11"/>
      <c r="T78" s="35"/>
      <c r="U78" s="36"/>
      <c r="V78" s="11"/>
      <c r="W78" s="35"/>
      <c r="X78" s="35"/>
      <c r="Y78" s="36"/>
      <c r="Z78" s="11"/>
      <c r="AA78" s="35"/>
      <c r="AB78" s="36"/>
      <c r="AC78" s="35"/>
      <c r="AD78" s="35"/>
      <c r="AE78" s="37" t="str">
        <f>IF($A78="","",COUNTIFS(Připomínky!$A$4:$A$503,$A78,Připomínky!$J$4:$J$503,"Nevyřešeno"))</f>
        <v/>
      </c>
      <c r="AF78" s="37" t="str">
        <f>IF($A78="","",COUNTIFS(Publikace!$A$4:$A$503,$A78))</f>
        <v/>
      </c>
      <c r="AG78" s="38" t="str">
        <f>IF($A78="","",IF(AF78=0,"",_xlfn.MINIFS(Publikace!$E$4:$E$503,Publikace!$A$4:$A$503,$A78)))</f>
        <v/>
      </c>
      <c r="AH78" s="37" t="str">
        <f t="shared" si="1"/>
        <v/>
      </c>
      <c r="AI78" s="39" t="str">
        <f ca="1">IF($A78="","",TRIM(IF(AND($U78&lt;&gt;"",$U78&lt;TODAY(),$W78&lt;&gt;"Schváleno",$W78&lt;&gt;"Odloženo",$W78&lt;&gt;"Zrušeno"),"Po termínu odevzdání. ","")&amp;IF(AND($W78="Schváleno",OR($X78="",$Y78="")),"Schváleno bez jména / data. ","")&amp;IF(OR($G78="",$H78="",$I78="",$F78=""),"Chybí zařazení (kategorie, typ, profil nebo měsíc). ","")&amp;IF(AND(OR($I78="Honza",$I78="Radek"),OR($J78="",$J78="Nevztahuje se")),"Doplnit charakter (osobní / pracovní). ","")&amp;IF(AND($W78="Schváleno",$AE78&gt;0),"Schváleno, ale má otevřené připomínky. ","")&amp;IF(AND($AA78="Publikováno",$AF78=0),"Publikováno bez záznamu v listu Publikace. ","")&amp;IF(AND($C78&lt;&gt;"",$D78=""),"Chybí číslo dílu série. ","")&amp;IF(AND($E78&lt;&gt;"",$W78&lt;&gt;"Schváleno",$W78&lt;&gt;"Odloženo",$W78&lt;&gt;"Zrušeno",IFERROR(VLOOKUP($E78,Nastavení!$A$30:$G$53,3,FALSE()),0)&gt;0,IFERROR(VLOOKUP($E78,Nastavení!$A$30:$G$53,3,FALSE()),0)&lt;TODAY()),"Neschváleno po termínu cyklu. ","")))</f>
        <v/>
      </c>
    </row>
    <row r="79" spans="1:35" x14ac:dyDescent="0.2">
      <c r="A79" s="35"/>
      <c r="B79" s="11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11"/>
      <c r="N79" s="11"/>
      <c r="O79" s="11"/>
      <c r="P79" s="11"/>
      <c r="Q79" s="11"/>
      <c r="R79" s="11"/>
      <c r="S79" s="11"/>
      <c r="T79" s="35"/>
      <c r="U79" s="36"/>
      <c r="V79" s="11"/>
      <c r="W79" s="35"/>
      <c r="X79" s="35"/>
      <c r="Y79" s="36"/>
      <c r="Z79" s="11"/>
      <c r="AA79" s="35"/>
      <c r="AB79" s="36"/>
      <c r="AC79" s="35"/>
      <c r="AD79" s="35"/>
      <c r="AE79" s="37" t="str">
        <f>IF($A79="","",COUNTIFS(Připomínky!$A$4:$A$503,$A79,Připomínky!$J$4:$J$503,"Nevyřešeno"))</f>
        <v/>
      </c>
      <c r="AF79" s="37" t="str">
        <f>IF($A79="","",COUNTIFS(Publikace!$A$4:$A$503,$A79))</f>
        <v/>
      </c>
      <c r="AG79" s="38" t="str">
        <f>IF($A79="","",IF(AF79=0,"",_xlfn.MINIFS(Publikace!$E$4:$E$503,Publikace!$A$4:$A$503,$A79)))</f>
        <v/>
      </c>
      <c r="AH79" s="37" t="str">
        <f t="shared" si="1"/>
        <v/>
      </c>
      <c r="AI79" s="39" t="str">
        <f ca="1">IF($A79="","",TRIM(IF(AND($U79&lt;&gt;"",$U79&lt;TODAY(),$W79&lt;&gt;"Schváleno",$W79&lt;&gt;"Odloženo",$W79&lt;&gt;"Zrušeno"),"Po termínu odevzdání. ","")&amp;IF(AND($W79="Schváleno",OR($X79="",$Y79="")),"Schváleno bez jména / data. ","")&amp;IF(OR($G79="",$H79="",$I79="",$F79=""),"Chybí zařazení (kategorie, typ, profil nebo měsíc). ","")&amp;IF(AND(OR($I79="Honza",$I79="Radek"),OR($J79="",$J79="Nevztahuje se")),"Doplnit charakter (osobní / pracovní). ","")&amp;IF(AND($W79="Schváleno",$AE79&gt;0),"Schváleno, ale má otevřené připomínky. ","")&amp;IF(AND($AA79="Publikováno",$AF79=0),"Publikováno bez záznamu v listu Publikace. ","")&amp;IF(AND($C79&lt;&gt;"",$D79=""),"Chybí číslo dílu série. ","")&amp;IF(AND($E79&lt;&gt;"",$W79&lt;&gt;"Schváleno",$W79&lt;&gt;"Odloženo",$W79&lt;&gt;"Zrušeno",IFERROR(VLOOKUP($E79,Nastavení!$A$30:$G$53,3,FALSE()),0)&gt;0,IFERROR(VLOOKUP($E79,Nastavení!$A$30:$G$53,3,FALSE()),0)&lt;TODAY()),"Neschváleno po termínu cyklu. ","")))</f>
        <v/>
      </c>
    </row>
    <row r="80" spans="1:35" x14ac:dyDescent="0.2">
      <c r="A80" s="35"/>
      <c r="B80" s="11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11"/>
      <c r="N80" s="11"/>
      <c r="O80" s="11"/>
      <c r="P80" s="11"/>
      <c r="Q80" s="11"/>
      <c r="R80" s="11"/>
      <c r="S80" s="11"/>
      <c r="T80" s="35"/>
      <c r="U80" s="36"/>
      <c r="V80" s="11"/>
      <c r="W80" s="35"/>
      <c r="X80" s="35"/>
      <c r="Y80" s="36"/>
      <c r="Z80" s="11"/>
      <c r="AA80" s="35"/>
      <c r="AB80" s="36"/>
      <c r="AC80" s="35"/>
      <c r="AD80" s="35"/>
      <c r="AE80" s="37" t="str">
        <f>IF($A80="","",COUNTIFS(Připomínky!$A$4:$A$503,$A80,Připomínky!$J$4:$J$503,"Nevyřešeno"))</f>
        <v/>
      </c>
      <c r="AF80" s="37" t="str">
        <f>IF($A80="","",COUNTIFS(Publikace!$A$4:$A$503,$A80))</f>
        <v/>
      </c>
      <c r="AG80" s="38" t="str">
        <f>IF($A80="","",IF(AF80=0,"",_xlfn.MINIFS(Publikace!$E$4:$E$503,Publikace!$A$4:$A$503,$A80)))</f>
        <v/>
      </c>
      <c r="AH80" s="37" t="str">
        <f t="shared" si="1"/>
        <v/>
      </c>
      <c r="AI80" s="39" t="str">
        <f ca="1">IF($A80="","",TRIM(IF(AND($U80&lt;&gt;"",$U80&lt;TODAY(),$W80&lt;&gt;"Schváleno",$W80&lt;&gt;"Odloženo",$W80&lt;&gt;"Zrušeno"),"Po termínu odevzdání. ","")&amp;IF(AND($W80="Schváleno",OR($X80="",$Y80="")),"Schváleno bez jména / data. ","")&amp;IF(OR($G80="",$H80="",$I80="",$F80=""),"Chybí zařazení (kategorie, typ, profil nebo měsíc). ","")&amp;IF(AND(OR($I80="Honza",$I80="Radek"),OR($J80="",$J80="Nevztahuje se")),"Doplnit charakter (osobní / pracovní). ","")&amp;IF(AND($W80="Schváleno",$AE80&gt;0),"Schváleno, ale má otevřené připomínky. ","")&amp;IF(AND($AA80="Publikováno",$AF80=0),"Publikováno bez záznamu v listu Publikace. ","")&amp;IF(AND($C80&lt;&gt;"",$D80=""),"Chybí číslo dílu série. ","")&amp;IF(AND($E80&lt;&gt;"",$W80&lt;&gt;"Schváleno",$W80&lt;&gt;"Odloženo",$W80&lt;&gt;"Zrušeno",IFERROR(VLOOKUP($E80,Nastavení!$A$30:$G$53,3,FALSE()),0)&gt;0,IFERROR(VLOOKUP($E80,Nastavení!$A$30:$G$53,3,FALSE()),0)&lt;TODAY()),"Neschváleno po termínu cyklu. ","")))</f>
        <v/>
      </c>
    </row>
    <row r="81" spans="1:35" x14ac:dyDescent="0.2">
      <c r="A81" s="35"/>
      <c r="B81" s="11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11"/>
      <c r="N81" s="11"/>
      <c r="O81" s="11"/>
      <c r="P81" s="11"/>
      <c r="Q81" s="11"/>
      <c r="R81" s="11"/>
      <c r="S81" s="11"/>
      <c r="T81" s="35"/>
      <c r="U81" s="36"/>
      <c r="V81" s="11"/>
      <c r="W81" s="35"/>
      <c r="X81" s="35"/>
      <c r="Y81" s="36"/>
      <c r="Z81" s="11"/>
      <c r="AA81" s="35"/>
      <c r="AB81" s="36"/>
      <c r="AC81" s="35"/>
      <c r="AD81" s="35"/>
      <c r="AE81" s="37" t="str">
        <f>IF($A81="","",COUNTIFS(Připomínky!$A$4:$A$503,$A81,Připomínky!$J$4:$J$503,"Nevyřešeno"))</f>
        <v/>
      </c>
      <c r="AF81" s="37" t="str">
        <f>IF($A81="","",COUNTIFS(Publikace!$A$4:$A$503,$A81))</f>
        <v/>
      </c>
      <c r="AG81" s="38" t="str">
        <f>IF($A81="","",IF(AF81=0,"",_xlfn.MINIFS(Publikace!$E$4:$E$503,Publikace!$A$4:$A$503,$A81)))</f>
        <v/>
      </c>
      <c r="AH81" s="37" t="str">
        <f t="shared" si="1"/>
        <v/>
      </c>
      <c r="AI81" s="39" t="str">
        <f ca="1">IF($A81="","",TRIM(IF(AND($U81&lt;&gt;"",$U81&lt;TODAY(),$W81&lt;&gt;"Schváleno",$W81&lt;&gt;"Odloženo",$W81&lt;&gt;"Zrušeno"),"Po termínu odevzdání. ","")&amp;IF(AND($W81="Schváleno",OR($X81="",$Y81="")),"Schváleno bez jména / data. ","")&amp;IF(OR($G81="",$H81="",$I81="",$F81=""),"Chybí zařazení (kategorie, typ, profil nebo měsíc). ","")&amp;IF(AND(OR($I81="Honza",$I81="Radek"),OR($J81="",$J81="Nevztahuje se")),"Doplnit charakter (osobní / pracovní). ","")&amp;IF(AND($W81="Schváleno",$AE81&gt;0),"Schváleno, ale má otevřené připomínky. ","")&amp;IF(AND($AA81="Publikováno",$AF81=0),"Publikováno bez záznamu v listu Publikace. ","")&amp;IF(AND($C81&lt;&gt;"",$D81=""),"Chybí číslo dílu série. ","")&amp;IF(AND($E81&lt;&gt;"",$W81&lt;&gt;"Schváleno",$W81&lt;&gt;"Odloženo",$W81&lt;&gt;"Zrušeno",IFERROR(VLOOKUP($E81,Nastavení!$A$30:$G$53,3,FALSE()),0)&gt;0,IFERROR(VLOOKUP($E81,Nastavení!$A$30:$G$53,3,FALSE()),0)&lt;TODAY()),"Neschváleno po termínu cyklu. ","")))</f>
        <v/>
      </c>
    </row>
    <row r="82" spans="1:35" x14ac:dyDescent="0.2">
      <c r="A82" s="35"/>
      <c r="B82" s="11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11"/>
      <c r="N82" s="11"/>
      <c r="O82" s="11"/>
      <c r="P82" s="11"/>
      <c r="Q82" s="11"/>
      <c r="R82" s="11"/>
      <c r="S82" s="11"/>
      <c r="T82" s="35"/>
      <c r="U82" s="36"/>
      <c r="V82" s="11"/>
      <c r="W82" s="35"/>
      <c r="X82" s="35"/>
      <c r="Y82" s="36"/>
      <c r="Z82" s="11"/>
      <c r="AA82" s="35"/>
      <c r="AB82" s="36"/>
      <c r="AC82" s="35"/>
      <c r="AD82" s="35"/>
      <c r="AE82" s="37" t="str">
        <f>IF($A82="","",COUNTIFS(Připomínky!$A$4:$A$503,$A82,Připomínky!$J$4:$J$503,"Nevyřešeno"))</f>
        <v/>
      </c>
      <c r="AF82" s="37" t="str">
        <f>IF($A82="","",COUNTIFS(Publikace!$A$4:$A$503,$A82))</f>
        <v/>
      </c>
      <c r="AG82" s="38" t="str">
        <f>IF($A82="","",IF(AF82=0,"",_xlfn.MINIFS(Publikace!$E$4:$E$503,Publikace!$A$4:$A$503,$A82)))</f>
        <v/>
      </c>
      <c r="AH82" s="37" t="str">
        <f t="shared" si="1"/>
        <v/>
      </c>
      <c r="AI82" s="39" t="str">
        <f ca="1">IF($A82="","",TRIM(IF(AND($U82&lt;&gt;"",$U82&lt;TODAY(),$W82&lt;&gt;"Schváleno",$W82&lt;&gt;"Odloženo",$W82&lt;&gt;"Zrušeno"),"Po termínu odevzdání. ","")&amp;IF(AND($W82="Schváleno",OR($X82="",$Y82="")),"Schváleno bez jména / data. ","")&amp;IF(OR($G82="",$H82="",$I82="",$F82=""),"Chybí zařazení (kategorie, typ, profil nebo měsíc). ","")&amp;IF(AND(OR($I82="Honza",$I82="Radek"),OR($J82="",$J82="Nevztahuje se")),"Doplnit charakter (osobní / pracovní). ","")&amp;IF(AND($W82="Schváleno",$AE82&gt;0),"Schváleno, ale má otevřené připomínky. ","")&amp;IF(AND($AA82="Publikováno",$AF82=0),"Publikováno bez záznamu v listu Publikace. ","")&amp;IF(AND($C82&lt;&gt;"",$D82=""),"Chybí číslo dílu série. ","")&amp;IF(AND($E82&lt;&gt;"",$W82&lt;&gt;"Schváleno",$W82&lt;&gt;"Odloženo",$W82&lt;&gt;"Zrušeno",IFERROR(VLOOKUP($E82,Nastavení!$A$30:$G$53,3,FALSE()),0)&gt;0,IFERROR(VLOOKUP($E82,Nastavení!$A$30:$G$53,3,FALSE()),0)&lt;TODAY()),"Neschváleno po termínu cyklu. ","")))</f>
        <v/>
      </c>
    </row>
    <row r="83" spans="1:35" x14ac:dyDescent="0.2">
      <c r="A83" s="35"/>
      <c r="B83" s="11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11"/>
      <c r="N83" s="11"/>
      <c r="O83" s="11"/>
      <c r="P83" s="11"/>
      <c r="Q83" s="11"/>
      <c r="R83" s="11"/>
      <c r="S83" s="11"/>
      <c r="T83" s="35"/>
      <c r="U83" s="36"/>
      <c r="V83" s="11"/>
      <c r="W83" s="35"/>
      <c r="X83" s="35"/>
      <c r="Y83" s="36"/>
      <c r="Z83" s="11"/>
      <c r="AA83" s="35"/>
      <c r="AB83" s="36"/>
      <c r="AC83" s="35"/>
      <c r="AD83" s="35"/>
      <c r="AE83" s="37" t="str">
        <f>IF($A83="","",COUNTIFS(Připomínky!$A$4:$A$503,$A83,Připomínky!$J$4:$J$503,"Nevyřešeno"))</f>
        <v/>
      </c>
      <c r="AF83" s="37" t="str">
        <f>IF($A83="","",COUNTIFS(Publikace!$A$4:$A$503,$A83))</f>
        <v/>
      </c>
      <c r="AG83" s="38" t="str">
        <f>IF($A83="","",IF(AF83=0,"",_xlfn.MINIFS(Publikace!$E$4:$E$503,Publikace!$A$4:$A$503,$A83)))</f>
        <v/>
      </c>
      <c r="AH83" s="37" t="str">
        <f t="shared" si="1"/>
        <v/>
      </c>
      <c r="AI83" s="39" t="str">
        <f ca="1">IF($A83="","",TRIM(IF(AND($U83&lt;&gt;"",$U83&lt;TODAY(),$W83&lt;&gt;"Schváleno",$W83&lt;&gt;"Odloženo",$W83&lt;&gt;"Zrušeno"),"Po termínu odevzdání. ","")&amp;IF(AND($W83="Schváleno",OR($X83="",$Y83="")),"Schváleno bez jména / data. ","")&amp;IF(OR($G83="",$H83="",$I83="",$F83=""),"Chybí zařazení (kategorie, typ, profil nebo měsíc). ","")&amp;IF(AND(OR($I83="Honza",$I83="Radek"),OR($J83="",$J83="Nevztahuje se")),"Doplnit charakter (osobní / pracovní). ","")&amp;IF(AND($W83="Schváleno",$AE83&gt;0),"Schváleno, ale má otevřené připomínky. ","")&amp;IF(AND($AA83="Publikováno",$AF83=0),"Publikováno bez záznamu v listu Publikace. ","")&amp;IF(AND($C83&lt;&gt;"",$D83=""),"Chybí číslo dílu série. ","")&amp;IF(AND($E83&lt;&gt;"",$W83&lt;&gt;"Schváleno",$W83&lt;&gt;"Odloženo",$W83&lt;&gt;"Zrušeno",IFERROR(VLOOKUP($E83,Nastavení!$A$30:$G$53,3,FALSE()),0)&gt;0,IFERROR(VLOOKUP($E83,Nastavení!$A$30:$G$53,3,FALSE()),0)&lt;TODAY()),"Neschváleno po termínu cyklu. ","")))</f>
        <v/>
      </c>
    </row>
    <row r="84" spans="1:35" x14ac:dyDescent="0.2">
      <c r="A84" s="35"/>
      <c r="B84" s="11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11"/>
      <c r="N84" s="11"/>
      <c r="O84" s="11"/>
      <c r="P84" s="11"/>
      <c r="Q84" s="11"/>
      <c r="R84" s="11"/>
      <c r="S84" s="11"/>
      <c r="T84" s="35"/>
      <c r="U84" s="36"/>
      <c r="V84" s="11"/>
      <c r="W84" s="35"/>
      <c r="X84" s="35"/>
      <c r="Y84" s="36"/>
      <c r="Z84" s="11"/>
      <c r="AA84" s="35"/>
      <c r="AB84" s="36"/>
      <c r="AC84" s="35"/>
      <c r="AD84" s="35"/>
      <c r="AE84" s="37" t="str">
        <f>IF($A84="","",COUNTIFS(Připomínky!$A$4:$A$503,$A84,Připomínky!$J$4:$J$503,"Nevyřešeno"))</f>
        <v/>
      </c>
      <c r="AF84" s="37" t="str">
        <f>IF($A84="","",COUNTIFS(Publikace!$A$4:$A$503,$A84))</f>
        <v/>
      </c>
      <c r="AG84" s="38" t="str">
        <f>IF($A84="","",IF(AF84=0,"",_xlfn.MINIFS(Publikace!$E$4:$E$503,Publikace!$A$4:$A$503,$A84)))</f>
        <v/>
      </c>
      <c r="AH84" s="37" t="str">
        <f t="shared" si="1"/>
        <v/>
      </c>
      <c r="AI84" s="39" t="str">
        <f ca="1">IF($A84="","",TRIM(IF(AND($U84&lt;&gt;"",$U84&lt;TODAY(),$W84&lt;&gt;"Schváleno",$W84&lt;&gt;"Odloženo",$W84&lt;&gt;"Zrušeno"),"Po termínu odevzdání. ","")&amp;IF(AND($W84="Schváleno",OR($X84="",$Y84="")),"Schváleno bez jména / data. ","")&amp;IF(OR($G84="",$H84="",$I84="",$F84=""),"Chybí zařazení (kategorie, typ, profil nebo měsíc). ","")&amp;IF(AND(OR($I84="Honza",$I84="Radek"),OR($J84="",$J84="Nevztahuje se")),"Doplnit charakter (osobní / pracovní). ","")&amp;IF(AND($W84="Schváleno",$AE84&gt;0),"Schváleno, ale má otevřené připomínky. ","")&amp;IF(AND($AA84="Publikováno",$AF84=0),"Publikováno bez záznamu v listu Publikace. ","")&amp;IF(AND($C84&lt;&gt;"",$D84=""),"Chybí číslo dílu série. ","")&amp;IF(AND($E84&lt;&gt;"",$W84&lt;&gt;"Schváleno",$W84&lt;&gt;"Odloženo",$W84&lt;&gt;"Zrušeno",IFERROR(VLOOKUP($E84,Nastavení!$A$30:$G$53,3,FALSE()),0)&gt;0,IFERROR(VLOOKUP($E84,Nastavení!$A$30:$G$53,3,FALSE()),0)&lt;TODAY()),"Neschváleno po termínu cyklu. ","")))</f>
        <v/>
      </c>
    </row>
    <row r="85" spans="1:35" x14ac:dyDescent="0.2">
      <c r="A85" s="35"/>
      <c r="B85" s="11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11"/>
      <c r="N85" s="11"/>
      <c r="O85" s="11"/>
      <c r="P85" s="11"/>
      <c r="Q85" s="11"/>
      <c r="R85" s="11"/>
      <c r="S85" s="11"/>
      <c r="T85" s="35"/>
      <c r="U85" s="36"/>
      <c r="V85" s="11"/>
      <c r="W85" s="35"/>
      <c r="X85" s="35"/>
      <c r="Y85" s="36"/>
      <c r="Z85" s="11"/>
      <c r="AA85" s="35"/>
      <c r="AB85" s="36"/>
      <c r="AC85" s="35"/>
      <c r="AD85" s="35"/>
      <c r="AE85" s="37" t="str">
        <f>IF($A85="","",COUNTIFS(Připomínky!$A$4:$A$503,$A85,Připomínky!$J$4:$J$503,"Nevyřešeno"))</f>
        <v/>
      </c>
      <c r="AF85" s="37" t="str">
        <f>IF($A85="","",COUNTIFS(Publikace!$A$4:$A$503,$A85))</f>
        <v/>
      </c>
      <c r="AG85" s="38" t="str">
        <f>IF($A85="","",IF(AF85=0,"",_xlfn.MINIFS(Publikace!$E$4:$E$503,Publikace!$A$4:$A$503,$A85)))</f>
        <v/>
      </c>
      <c r="AH85" s="37" t="str">
        <f t="shared" si="1"/>
        <v/>
      </c>
      <c r="AI85" s="39" t="str">
        <f ca="1">IF($A85="","",TRIM(IF(AND($U85&lt;&gt;"",$U85&lt;TODAY(),$W85&lt;&gt;"Schváleno",$W85&lt;&gt;"Odloženo",$W85&lt;&gt;"Zrušeno"),"Po termínu odevzdání. ","")&amp;IF(AND($W85="Schváleno",OR($X85="",$Y85="")),"Schváleno bez jména / data. ","")&amp;IF(OR($G85="",$H85="",$I85="",$F85=""),"Chybí zařazení (kategorie, typ, profil nebo měsíc). ","")&amp;IF(AND(OR($I85="Honza",$I85="Radek"),OR($J85="",$J85="Nevztahuje se")),"Doplnit charakter (osobní / pracovní). ","")&amp;IF(AND($W85="Schváleno",$AE85&gt;0),"Schváleno, ale má otevřené připomínky. ","")&amp;IF(AND($AA85="Publikováno",$AF85=0),"Publikováno bez záznamu v listu Publikace. ","")&amp;IF(AND($C85&lt;&gt;"",$D85=""),"Chybí číslo dílu série. ","")&amp;IF(AND($E85&lt;&gt;"",$W85&lt;&gt;"Schváleno",$W85&lt;&gt;"Odloženo",$W85&lt;&gt;"Zrušeno",IFERROR(VLOOKUP($E85,Nastavení!$A$30:$G$53,3,FALSE()),0)&gt;0,IFERROR(VLOOKUP($E85,Nastavení!$A$30:$G$53,3,FALSE()),0)&lt;TODAY()),"Neschváleno po termínu cyklu. ","")))</f>
        <v/>
      </c>
    </row>
    <row r="86" spans="1:35" x14ac:dyDescent="0.2">
      <c r="A86" s="35"/>
      <c r="B86" s="11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11"/>
      <c r="N86" s="11"/>
      <c r="O86" s="11"/>
      <c r="P86" s="11"/>
      <c r="Q86" s="11"/>
      <c r="R86" s="11"/>
      <c r="S86" s="11"/>
      <c r="T86" s="35"/>
      <c r="U86" s="36"/>
      <c r="V86" s="11"/>
      <c r="W86" s="35"/>
      <c r="X86" s="35"/>
      <c r="Y86" s="36"/>
      <c r="Z86" s="11"/>
      <c r="AA86" s="35"/>
      <c r="AB86" s="36"/>
      <c r="AC86" s="35"/>
      <c r="AD86" s="35"/>
      <c r="AE86" s="37" t="str">
        <f>IF($A86="","",COUNTIFS(Připomínky!$A$4:$A$503,$A86,Připomínky!$J$4:$J$503,"Nevyřešeno"))</f>
        <v/>
      </c>
      <c r="AF86" s="37" t="str">
        <f>IF($A86="","",COUNTIFS(Publikace!$A$4:$A$503,$A86))</f>
        <v/>
      </c>
      <c r="AG86" s="38" t="str">
        <f>IF($A86="","",IF(AF86=0,"",_xlfn.MINIFS(Publikace!$E$4:$E$503,Publikace!$A$4:$A$503,$A86)))</f>
        <v/>
      </c>
      <c r="AH86" s="37" t="str">
        <f t="shared" si="1"/>
        <v/>
      </c>
      <c r="AI86" s="39" t="str">
        <f ca="1">IF($A86="","",TRIM(IF(AND($U86&lt;&gt;"",$U86&lt;TODAY(),$W86&lt;&gt;"Schváleno",$W86&lt;&gt;"Odloženo",$W86&lt;&gt;"Zrušeno"),"Po termínu odevzdání. ","")&amp;IF(AND($W86="Schváleno",OR($X86="",$Y86="")),"Schváleno bez jména / data. ","")&amp;IF(OR($G86="",$H86="",$I86="",$F86=""),"Chybí zařazení (kategorie, typ, profil nebo měsíc). ","")&amp;IF(AND(OR($I86="Honza",$I86="Radek"),OR($J86="",$J86="Nevztahuje se")),"Doplnit charakter (osobní / pracovní). ","")&amp;IF(AND($W86="Schváleno",$AE86&gt;0),"Schváleno, ale má otevřené připomínky. ","")&amp;IF(AND($AA86="Publikováno",$AF86=0),"Publikováno bez záznamu v listu Publikace. ","")&amp;IF(AND($C86&lt;&gt;"",$D86=""),"Chybí číslo dílu série. ","")&amp;IF(AND($E86&lt;&gt;"",$W86&lt;&gt;"Schváleno",$W86&lt;&gt;"Odloženo",$W86&lt;&gt;"Zrušeno",IFERROR(VLOOKUP($E86,Nastavení!$A$30:$G$53,3,FALSE()),0)&gt;0,IFERROR(VLOOKUP($E86,Nastavení!$A$30:$G$53,3,FALSE()),0)&lt;TODAY()),"Neschváleno po termínu cyklu. ","")))</f>
        <v/>
      </c>
    </row>
    <row r="87" spans="1:35" x14ac:dyDescent="0.2">
      <c r="A87" s="35"/>
      <c r="B87" s="11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11"/>
      <c r="N87" s="11"/>
      <c r="O87" s="11"/>
      <c r="P87" s="11"/>
      <c r="Q87" s="11"/>
      <c r="R87" s="11"/>
      <c r="S87" s="11"/>
      <c r="T87" s="35"/>
      <c r="U87" s="36"/>
      <c r="V87" s="11"/>
      <c r="W87" s="35"/>
      <c r="X87" s="35"/>
      <c r="Y87" s="36"/>
      <c r="Z87" s="11"/>
      <c r="AA87" s="35"/>
      <c r="AB87" s="36"/>
      <c r="AC87" s="35"/>
      <c r="AD87" s="35"/>
      <c r="AE87" s="37" t="str">
        <f>IF($A87="","",COUNTIFS(Připomínky!$A$4:$A$503,$A87,Připomínky!$J$4:$J$503,"Nevyřešeno"))</f>
        <v/>
      </c>
      <c r="AF87" s="37" t="str">
        <f>IF($A87="","",COUNTIFS(Publikace!$A$4:$A$503,$A87))</f>
        <v/>
      </c>
      <c r="AG87" s="38" t="str">
        <f>IF($A87="","",IF(AF87=0,"",_xlfn.MINIFS(Publikace!$E$4:$E$503,Publikace!$A$4:$A$503,$A87)))</f>
        <v/>
      </c>
      <c r="AH87" s="37" t="str">
        <f t="shared" si="1"/>
        <v/>
      </c>
      <c r="AI87" s="39" t="str">
        <f ca="1">IF($A87="","",TRIM(IF(AND($U87&lt;&gt;"",$U87&lt;TODAY(),$W87&lt;&gt;"Schváleno",$W87&lt;&gt;"Odloženo",$W87&lt;&gt;"Zrušeno"),"Po termínu odevzdání. ","")&amp;IF(AND($W87="Schváleno",OR($X87="",$Y87="")),"Schváleno bez jména / data. ","")&amp;IF(OR($G87="",$H87="",$I87="",$F87=""),"Chybí zařazení (kategorie, typ, profil nebo měsíc). ","")&amp;IF(AND(OR($I87="Honza",$I87="Radek"),OR($J87="",$J87="Nevztahuje se")),"Doplnit charakter (osobní / pracovní). ","")&amp;IF(AND($W87="Schváleno",$AE87&gt;0),"Schváleno, ale má otevřené připomínky. ","")&amp;IF(AND($AA87="Publikováno",$AF87=0),"Publikováno bez záznamu v listu Publikace. ","")&amp;IF(AND($C87&lt;&gt;"",$D87=""),"Chybí číslo dílu série. ","")&amp;IF(AND($E87&lt;&gt;"",$W87&lt;&gt;"Schváleno",$W87&lt;&gt;"Odloženo",$W87&lt;&gt;"Zrušeno",IFERROR(VLOOKUP($E87,Nastavení!$A$30:$G$53,3,FALSE()),0)&gt;0,IFERROR(VLOOKUP($E87,Nastavení!$A$30:$G$53,3,FALSE()),0)&lt;TODAY()),"Neschváleno po termínu cyklu. ","")))</f>
        <v/>
      </c>
    </row>
    <row r="88" spans="1:35" x14ac:dyDescent="0.2">
      <c r="A88" s="35"/>
      <c r="B88" s="11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11"/>
      <c r="N88" s="11"/>
      <c r="O88" s="11"/>
      <c r="P88" s="11"/>
      <c r="Q88" s="11"/>
      <c r="R88" s="11"/>
      <c r="S88" s="11"/>
      <c r="T88" s="35"/>
      <c r="U88" s="36"/>
      <c r="V88" s="11"/>
      <c r="W88" s="35"/>
      <c r="X88" s="35"/>
      <c r="Y88" s="36"/>
      <c r="Z88" s="11"/>
      <c r="AA88" s="35"/>
      <c r="AB88" s="36"/>
      <c r="AC88" s="35"/>
      <c r="AD88" s="35"/>
      <c r="AE88" s="37" t="str">
        <f>IF($A88="","",COUNTIFS(Připomínky!$A$4:$A$503,$A88,Připomínky!$J$4:$J$503,"Nevyřešeno"))</f>
        <v/>
      </c>
      <c r="AF88" s="37" t="str">
        <f>IF($A88="","",COUNTIFS(Publikace!$A$4:$A$503,$A88))</f>
        <v/>
      </c>
      <c r="AG88" s="38" t="str">
        <f>IF($A88="","",IF(AF88=0,"",_xlfn.MINIFS(Publikace!$E$4:$E$503,Publikace!$A$4:$A$503,$A88)))</f>
        <v/>
      </c>
      <c r="AH88" s="37" t="str">
        <f t="shared" si="1"/>
        <v/>
      </c>
      <c r="AI88" s="39" t="str">
        <f ca="1">IF($A88="","",TRIM(IF(AND($U88&lt;&gt;"",$U88&lt;TODAY(),$W88&lt;&gt;"Schváleno",$W88&lt;&gt;"Odloženo",$W88&lt;&gt;"Zrušeno"),"Po termínu odevzdání. ","")&amp;IF(AND($W88="Schváleno",OR($X88="",$Y88="")),"Schváleno bez jména / data. ","")&amp;IF(OR($G88="",$H88="",$I88="",$F88=""),"Chybí zařazení (kategorie, typ, profil nebo měsíc). ","")&amp;IF(AND(OR($I88="Honza",$I88="Radek"),OR($J88="",$J88="Nevztahuje se")),"Doplnit charakter (osobní / pracovní). ","")&amp;IF(AND($W88="Schváleno",$AE88&gt;0),"Schváleno, ale má otevřené připomínky. ","")&amp;IF(AND($AA88="Publikováno",$AF88=0),"Publikováno bez záznamu v listu Publikace. ","")&amp;IF(AND($C88&lt;&gt;"",$D88=""),"Chybí číslo dílu série. ","")&amp;IF(AND($E88&lt;&gt;"",$W88&lt;&gt;"Schváleno",$W88&lt;&gt;"Odloženo",$W88&lt;&gt;"Zrušeno",IFERROR(VLOOKUP($E88,Nastavení!$A$30:$G$53,3,FALSE()),0)&gt;0,IFERROR(VLOOKUP($E88,Nastavení!$A$30:$G$53,3,FALSE()),0)&lt;TODAY()),"Neschváleno po termínu cyklu. ","")))</f>
        <v/>
      </c>
    </row>
    <row r="89" spans="1:35" x14ac:dyDescent="0.2">
      <c r="A89" s="35"/>
      <c r="B89" s="11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11"/>
      <c r="N89" s="11"/>
      <c r="O89" s="11"/>
      <c r="P89" s="11"/>
      <c r="Q89" s="11"/>
      <c r="R89" s="11"/>
      <c r="S89" s="11"/>
      <c r="T89" s="35"/>
      <c r="U89" s="36"/>
      <c r="V89" s="11"/>
      <c r="W89" s="35"/>
      <c r="X89" s="35"/>
      <c r="Y89" s="36"/>
      <c r="Z89" s="11"/>
      <c r="AA89" s="35"/>
      <c r="AB89" s="36"/>
      <c r="AC89" s="35"/>
      <c r="AD89" s="35"/>
      <c r="AE89" s="37" t="str">
        <f>IF($A89="","",COUNTIFS(Připomínky!$A$4:$A$503,$A89,Připomínky!$J$4:$J$503,"Nevyřešeno"))</f>
        <v/>
      </c>
      <c r="AF89" s="37" t="str">
        <f>IF($A89="","",COUNTIFS(Publikace!$A$4:$A$503,$A89))</f>
        <v/>
      </c>
      <c r="AG89" s="38" t="str">
        <f>IF($A89="","",IF(AF89=0,"",_xlfn.MINIFS(Publikace!$E$4:$E$503,Publikace!$A$4:$A$503,$A89)))</f>
        <v/>
      </c>
      <c r="AH89" s="37" t="str">
        <f t="shared" si="1"/>
        <v/>
      </c>
      <c r="AI89" s="39" t="str">
        <f ca="1">IF($A89="","",TRIM(IF(AND($U89&lt;&gt;"",$U89&lt;TODAY(),$W89&lt;&gt;"Schváleno",$W89&lt;&gt;"Odloženo",$W89&lt;&gt;"Zrušeno"),"Po termínu odevzdání. ","")&amp;IF(AND($W89="Schváleno",OR($X89="",$Y89="")),"Schváleno bez jména / data. ","")&amp;IF(OR($G89="",$H89="",$I89="",$F89=""),"Chybí zařazení (kategorie, typ, profil nebo měsíc). ","")&amp;IF(AND(OR($I89="Honza",$I89="Radek"),OR($J89="",$J89="Nevztahuje se")),"Doplnit charakter (osobní / pracovní). ","")&amp;IF(AND($W89="Schváleno",$AE89&gt;0),"Schváleno, ale má otevřené připomínky. ","")&amp;IF(AND($AA89="Publikováno",$AF89=0),"Publikováno bez záznamu v listu Publikace. ","")&amp;IF(AND($C89&lt;&gt;"",$D89=""),"Chybí číslo dílu série. ","")&amp;IF(AND($E89&lt;&gt;"",$W89&lt;&gt;"Schváleno",$W89&lt;&gt;"Odloženo",$W89&lt;&gt;"Zrušeno",IFERROR(VLOOKUP($E89,Nastavení!$A$30:$G$53,3,FALSE()),0)&gt;0,IFERROR(VLOOKUP($E89,Nastavení!$A$30:$G$53,3,FALSE()),0)&lt;TODAY()),"Neschváleno po termínu cyklu. ","")))</f>
        <v/>
      </c>
    </row>
    <row r="90" spans="1:35" x14ac:dyDescent="0.2">
      <c r="A90" s="35"/>
      <c r="B90" s="11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11"/>
      <c r="N90" s="11"/>
      <c r="O90" s="11"/>
      <c r="P90" s="11"/>
      <c r="Q90" s="11"/>
      <c r="R90" s="11"/>
      <c r="S90" s="11"/>
      <c r="T90" s="35"/>
      <c r="U90" s="36"/>
      <c r="V90" s="11"/>
      <c r="W90" s="35"/>
      <c r="X90" s="35"/>
      <c r="Y90" s="36"/>
      <c r="Z90" s="11"/>
      <c r="AA90" s="35"/>
      <c r="AB90" s="36"/>
      <c r="AC90" s="35"/>
      <c r="AD90" s="35"/>
      <c r="AE90" s="37" t="str">
        <f>IF($A90="","",COUNTIFS(Připomínky!$A$4:$A$503,$A90,Připomínky!$J$4:$J$503,"Nevyřešeno"))</f>
        <v/>
      </c>
      <c r="AF90" s="37" t="str">
        <f>IF($A90="","",COUNTIFS(Publikace!$A$4:$A$503,$A90))</f>
        <v/>
      </c>
      <c r="AG90" s="38" t="str">
        <f>IF($A90="","",IF(AF90=0,"",_xlfn.MINIFS(Publikace!$E$4:$E$503,Publikace!$A$4:$A$503,$A90)))</f>
        <v/>
      </c>
      <c r="AH90" s="37" t="str">
        <f t="shared" si="1"/>
        <v/>
      </c>
      <c r="AI90" s="39" t="str">
        <f ca="1">IF($A90="","",TRIM(IF(AND($U90&lt;&gt;"",$U90&lt;TODAY(),$W90&lt;&gt;"Schváleno",$W90&lt;&gt;"Odloženo",$W90&lt;&gt;"Zrušeno"),"Po termínu odevzdání. ","")&amp;IF(AND($W90="Schváleno",OR($X90="",$Y90="")),"Schváleno bez jména / data. ","")&amp;IF(OR($G90="",$H90="",$I90="",$F90=""),"Chybí zařazení (kategorie, typ, profil nebo měsíc). ","")&amp;IF(AND(OR($I90="Honza",$I90="Radek"),OR($J90="",$J90="Nevztahuje se")),"Doplnit charakter (osobní / pracovní). ","")&amp;IF(AND($W90="Schváleno",$AE90&gt;0),"Schváleno, ale má otevřené připomínky. ","")&amp;IF(AND($AA90="Publikováno",$AF90=0),"Publikováno bez záznamu v listu Publikace. ","")&amp;IF(AND($C90&lt;&gt;"",$D90=""),"Chybí číslo dílu série. ","")&amp;IF(AND($E90&lt;&gt;"",$W90&lt;&gt;"Schváleno",$W90&lt;&gt;"Odloženo",$W90&lt;&gt;"Zrušeno",IFERROR(VLOOKUP($E90,Nastavení!$A$30:$G$53,3,FALSE()),0)&gt;0,IFERROR(VLOOKUP($E90,Nastavení!$A$30:$G$53,3,FALSE()),0)&lt;TODAY()),"Neschváleno po termínu cyklu. ","")))</f>
        <v/>
      </c>
    </row>
    <row r="91" spans="1:35" x14ac:dyDescent="0.2">
      <c r="A91" s="35"/>
      <c r="B91" s="11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11"/>
      <c r="N91" s="11"/>
      <c r="O91" s="11"/>
      <c r="P91" s="11"/>
      <c r="Q91" s="11"/>
      <c r="R91" s="11"/>
      <c r="S91" s="11"/>
      <c r="T91" s="35"/>
      <c r="U91" s="36"/>
      <c r="V91" s="11"/>
      <c r="W91" s="35"/>
      <c r="X91" s="35"/>
      <c r="Y91" s="36"/>
      <c r="Z91" s="11"/>
      <c r="AA91" s="35"/>
      <c r="AB91" s="36"/>
      <c r="AC91" s="35"/>
      <c r="AD91" s="35"/>
      <c r="AE91" s="37" t="str">
        <f>IF($A91="","",COUNTIFS(Připomínky!$A$4:$A$503,$A91,Připomínky!$J$4:$J$503,"Nevyřešeno"))</f>
        <v/>
      </c>
      <c r="AF91" s="37" t="str">
        <f>IF($A91="","",COUNTIFS(Publikace!$A$4:$A$503,$A91))</f>
        <v/>
      </c>
      <c r="AG91" s="38" t="str">
        <f>IF($A91="","",IF(AF91=0,"",_xlfn.MINIFS(Publikace!$E$4:$E$503,Publikace!$A$4:$A$503,$A91)))</f>
        <v/>
      </c>
      <c r="AH91" s="37" t="str">
        <f t="shared" si="1"/>
        <v/>
      </c>
      <c r="AI91" s="39" t="str">
        <f ca="1">IF($A91="","",TRIM(IF(AND($U91&lt;&gt;"",$U91&lt;TODAY(),$W91&lt;&gt;"Schváleno",$W91&lt;&gt;"Odloženo",$W91&lt;&gt;"Zrušeno"),"Po termínu odevzdání. ","")&amp;IF(AND($W91="Schváleno",OR($X91="",$Y91="")),"Schváleno bez jména / data. ","")&amp;IF(OR($G91="",$H91="",$I91="",$F91=""),"Chybí zařazení (kategorie, typ, profil nebo měsíc). ","")&amp;IF(AND(OR($I91="Honza",$I91="Radek"),OR($J91="",$J91="Nevztahuje se")),"Doplnit charakter (osobní / pracovní). ","")&amp;IF(AND($W91="Schváleno",$AE91&gt;0),"Schváleno, ale má otevřené připomínky. ","")&amp;IF(AND($AA91="Publikováno",$AF91=0),"Publikováno bez záznamu v listu Publikace. ","")&amp;IF(AND($C91&lt;&gt;"",$D91=""),"Chybí číslo dílu série. ","")&amp;IF(AND($E91&lt;&gt;"",$W91&lt;&gt;"Schváleno",$W91&lt;&gt;"Odloženo",$W91&lt;&gt;"Zrušeno",IFERROR(VLOOKUP($E91,Nastavení!$A$30:$G$53,3,FALSE()),0)&gt;0,IFERROR(VLOOKUP($E91,Nastavení!$A$30:$G$53,3,FALSE()),0)&lt;TODAY()),"Neschváleno po termínu cyklu. ","")))</f>
        <v/>
      </c>
    </row>
    <row r="92" spans="1:35" x14ac:dyDescent="0.2">
      <c r="A92" s="35"/>
      <c r="B92" s="11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11"/>
      <c r="N92" s="11"/>
      <c r="O92" s="11"/>
      <c r="P92" s="11"/>
      <c r="Q92" s="11"/>
      <c r="R92" s="11"/>
      <c r="S92" s="11"/>
      <c r="T92" s="35"/>
      <c r="U92" s="36"/>
      <c r="V92" s="11"/>
      <c r="W92" s="35"/>
      <c r="X92" s="35"/>
      <c r="Y92" s="36"/>
      <c r="Z92" s="11"/>
      <c r="AA92" s="35"/>
      <c r="AB92" s="36"/>
      <c r="AC92" s="35"/>
      <c r="AD92" s="35"/>
      <c r="AE92" s="37" t="str">
        <f>IF($A92="","",COUNTIFS(Připomínky!$A$4:$A$503,$A92,Připomínky!$J$4:$J$503,"Nevyřešeno"))</f>
        <v/>
      </c>
      <c r="AF92" s="37" t="str">
        <f>IF($A92="","",COUNTIFS(Publikace!$A$4:$A$503,$A92))</f>
        <v/>
      </c>
      <c r="AG92" s="38" t="str">
        <f>IF($A92="","",IF(AF92=0,"",_xlfn.MINIFS(Publikace!$E$4:$E$503,Publikace!$A$4:$A$503,$A92)))</f>
        <v/>
      </c>
      <c r="AH92" s="37" t="str">
        <f t="shared" si="1"/>
        <v/>
      </c>
      <c r="AI92" s="39" t="str">
        <f ca="1">IF($A92="","",TRIM(IF(AND($U92&lt;&gt;"",$U92&lt;TODAY(),$W92&lt;&gt;"Schváleno",$W92&lt;&gt;"Odloženo",$W92&lt;&gt;"Zrušeno"),"Po termínu odevzdání. ","")&amp;IF(AND($W92="Schváleno",OR($X92="",$Y92="")),"Schváleno bez jména / data. ","")&amp;IF(OR($G92="",$H92="",$I92="",$F92=""),"Chybí zařazení (kategorie, typ, profil nebo měsíc). ","")&amp;IF(AND(OR($I92="Honza",$I92="Radek"),OR($J92="",$J92="Nevztahuje se")),"Doplnit charakter (osobní / pracovní). ","")&amp;IF(AND($W92="Schváleno",$AE92&gt;0),"Schváleno, ale má otevřené připomínky. ","")&amp;IF(AND($AA92="Publikováno",$AF92=0),"Publikováno bez záznamu v listu Publikace. ","")&amp;IF(AND($C92&lt;&gt;"",$D92=""),"Chybí číslo dílu série. ","")&amp;IF(AND($E92&lt;&gt;"",$W92&lt;&gt;"Schváleno",$W92&lt;&gt;"Odloženo",$W92&lt;&gt;"Zrušeno",IFERROR(VLOOKUP($E92,Nastavení!$A$30:$G$53,3,FALSE()),0)&gt;0,IFERROR(VLOOKUP($E92,Nastavení!$A$30:$G$53,3,FALSE()),0)&lt;TODAY()),"Neschváleno po termínu cyklu. ","")))</f>
        <v/>
      </c>
    </row>
    <row r="93" spans="1:35" x14ac:dyDescent="0.2">
      <c r="A93" s="35"/>
      <c r="B93" s="11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11"/>
      <c r="N93" s="11"/>
      <c r="O93" s="11"/>
      <c r="P93" s="11"/>
      <c r="Q93" s="11"/>
      <c r="R93" s="11"/>
      <c r="S93" s="11"/>
      <c r="T93" s="35"/>
      <c r="U93" s="36"/>
      <c r="V93" s="11"/>
      <c r="W93" s="35"/>
      <c r="X93" s="35"/>
      <c r="Y93" s="36"/>
      <c r="Z93" s="11"/>
      <c r="AA93" s="35"/>
      <c r="AB93" s="36"/>
      <c r="AC93" s="35"/>
      <c r="AD93" s="35"/>
      <c r="AE93" s="37" t="str">
        <f>IF($A93="","",COUNTIFS(Připomínky!$A$4:$A$503,$A93,Připomínky!$J$4:$J$503,"Nevyřešeno"))</f>
        <v/>
      </c>
      <c r="AF93" s="37" t="str">
        <f>IF($A93="","",COUNTIFS(Publikace!$A$4:$A$503,$A93))</f>
        <v/>
      </c>
      <c r="AG93" s="38" t="str">
        <f>IF($A93="","",IF(AF93=0,"",_xlfn.MINIFS(Publikace!$E$4:$E$503,Publikace!$A$4:$A$503,$A93)))</f>
        <v/>
      </c>
      <c r="AH93" s="37" t="str">
        <f t="shared" si="1"/>
        <v/>
      </c>
      <c r="AI93" s="39" t="str">
        <f ca="1">IF($A93="","",TRIM(IF(AND($U93&lt;&gt;"",$U93&lt;TODAY(),$W93&lt;&gt;"Schváleno",$W93&lt;&gt;"Odloženo",$W93&lt;&gt;"Zrušeno"),"Po termínu odevzdání. ","")&amp;IF(AND($W93="Schváleno",OR($X93="",$Y93="")),"Schváleno bez jména / data. ","")&amp;IF(OR($G93="",$H93="",$I93="",$F93=""),"Chybí zařazení (kategorie, typ, profil nebo měsíc). ","")&amp;IF(AND(OR($I93="Honza",$I93="Radek"),OR($J93="",$J93="Nevztahuje se")),"Doplnit charakter (osobní / pracovní). ","")&amp;IF(AND($W93="Schváleno",$AE93&gt;0),"Schváleno, ale má otevřené připomínky. ","")&amp;IF(AND($AA93="Publikováno",$AF93=0),"Publikováno bez záznamu v listu Publikace. ","")&amp;IF(AND($C93&lt;&gt;"",$D93=""),"Chybí číslo dílu série. ","")&amp;IF(AND($E93&lt;&gt;"",$W93&lt;&gt;"Schváleno",$W93&lt;&gt;"Odloženo",$W93&lt;&gt;"Zrušeno",IFERROR(VLOOKUP($E93,Nastavení!$A$30:$G$53,3,FALSE()),0)&gt;0,IFERROR(VLOOKUP($E93,Nastavení!$A$30:$G$53,3,FALSE()),0)&lt;TODAY()),"Neschváleno po termínu cyklu. ","")))</f>
        <v/>
      </c>
    </row>
    <row r="94" spans="1:35" x14ac:dyDescent="0.2">
      <c r="A94" s="35"/>
      <c r="B94" s="11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11"/>
      <c r="N94" s="11"/>
      <c r="O94" s="11"/>
      <c r="P94" s="11"/>
      <c r="Q94" s="11"/>
      <c r="R94" s="11"/>
      <c r="S94" s="11"/>
      <c r="T94" s="35"/>
      <c r="U94" s="36"/>
      <c r="V94" s="11"/>
      <c r="W94" s="35"/>
      <c r="X94" s="35"/>
      <c r="Y94" s="36"/>
      <c r="Z94" s="11"/>
      <c r="AA94" s="35"/>
      <c r="AB94" s="36"/>
      <c r="AC94" s="35"/>
      <c r="AD94" s="35"/>
      <c r="AE94" s="37" t="str">
        <f>IF($A94="","",COUNTIFS(Připomínky!$A$4:$A$503,$A94,Připomínky!$J$4:$J$503,"Nevyřešeno"))</f>
        <v/>
      </c>
      <c r="AF94" s="37" t="str">
        <f>IF($A94="","",COUNTIFS(Publikace!$A$4:$A$503,$A94))</f>
        <v/>
      </c>
      <c r="AG94" s="38" t="str">
        <f>IF($A94="","",IF(AF94=0,"",_xlfn.MINIFS(Publikace!$E$4:$E$503,Publikace!$A$4:$A$503,$A94)))</f>
        <v/>
      </c>
      <c r="AH94" s="37" t="str">
        <f t="shared" si="1"/>
        <v/>
      </c>
      <c r="AI94" s="39" t="str">
        <f ca="1">IF($A94="","",TRIM(IF(AND($U94&lt;&gt;"",$U94&lt;TODAY(),$W94&lt;&gt;"Schváleno",$W94&lt;&gt;"Odloženo",$W94&lt;&gt;"Zrušeno"),"Po termínu odevzdání. ","")&amp;IF(AND($W94="Schváleno",OR($X94="",$Y94="")),"Schváleno bez jména / data. ","")&amp;IF(OR($G94="",$H94="",$I94="",$F94=""),"Chybí zařazení (kategorie, typ, profil nebo měsíc). ","")&amp;IF(AND(OR($I94="Honza",$I94="Radek"),OR($J94="",$J94="Nevztahuje se")),"Doplnit charakter (osobní / pracovní). ","")&amp;IF(AND($W94="Schváleno",$AE94&gt;0),"Schváleno, ale má otevřené připomínky. ","")&amp;IF(AND($AA94="Publikováno",$AF94=0),"Publikováno bez záznamu v listu Publikace. ","")&amp;IF(AND($C94&lt;&gt;"",$D94=""),"Chybí číslo dílu série. ","")&amp;IF(AND($E94&lt;&gt;"",$W94&lt;&gt;"Schváleno",$W94&lt;&gt;"Odloženo",$W94&lt;&gt;"Zrušeno",IFERROR(VLOOKUP($E94,Nastavení!$A$30:$G$53,3,FALSE()),0)&gt;0,IFERROR(VLOOKUP($E94,Nastavení!$A$30:$G$53,3,FALSE()),0)&lt;TODAY()),"Neschváleno po termínu cyklu. ","")))</f>
        <v/>
      </c>
    </row>
    <row r="95" spans="1:35" x14ac:dyDescent="0.2">
      <c r="A95" s="35"/>
      <c r="B95" s="11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11"/>
      <c r="N95" s="11"/>
      <c r="O95" s="11"/>
      <c r="P95" s="11"/>
      <c r="Q95" s="11"/>
      <c r="R95" s="11"/>
      <c r="S95" s="11"/>
      <c r="T95" s="35"/>
      <c r="U95" s="36"/>
      <c r="V95" s="11"/>
      <c r="W95" s="35"/>
      <c r="X95" s="35"/>
      <c r="Y95" s="36"/>
      <c r="Z95" s="11"/>
      <c r="AA95" s="35"/>
      <c r="AB95" s="36"/>
      <c r="AC95" s="35"/>
      <c r="AD95" s="35"/>
      <c r="AE95" s="37" t="str">
        <f>IF($A95="","",COUNTIFS(Připomínky!$A$4:$A$503,$A95,Připomínky!$J$4:$J$503,"Nevyřešeno"))</f>
        <v/>
      </c>
      <c r="AF95" s="37" t="str">
        <f>IF($A95="","",COUNTIFS(Publikace!$A$4:$A$503,$A95))</f>
        <v/>
      </c>
      <c r="AG95" s="38" t="str">
        <f>IF($A95="","",IF(AF95=0,"",_xlfn.MINIFS(Publikace!$E$4:$E$503,Publikace!$A$4:$A$503,$A95)))</f>
        <v/>
      </c>
      <c r="AH95" s="37" t="str">
        <f t="shared" si="1"/>
        <v/>
      </c>
      <c r="AI95" s="39" t="str">
        <f ca="1">IF($A95="","",TRIM(IF(AND($U95&lt;&gt;"",$U95&lt;TODAY(),$W95&lt;&gt;"Schváleno",$W95&lt;&gt;"Odloženo",$W95&lt;&gt;"Zrušeno"),"Po termínu odevzdání. ","")&amp;IF(AND($W95="Schváleno",OR($X95="",$Y95="")),"Schváleno bez jména / data. ","")&amp;IF(OR($G95="",$H95="",$I95="",$F95=""),"Chybí zařazení (kategorie, typ, profil nebo měsíc). ","")&amp;IF(AND(OR($I95="Honza",$I95="Radek"),OR($J95="",$J95="Nevztahuje se")),"Doplnit charakter (osobní / pracovní). ","")&amp;IF(AND($W95="Schváleno",$AE95&gt;0),"Schváleno, ale má otevřené připomínky. ","")&amp;IF(AND($AA95="Publikováno",$AF95=0),"Publikováno bez záznamu v listu Publikace. ","")&amp;IF(AND($C95&lt;&gt;"",$D95=""),"Chybí číslo dílu série. ","")&amp;IF(AND($E95&lt;&gt;"",$W95&lt;&gt;"Schváleno",$W95&lt;&gt;"Odloženo",$W95&lt;&gt;"Zrušeno",IFERROR(VLOOKUP($E95,Nastavení!$A$30:$G$53,3,FALSE()),0)&gt;0,IFERROR(VLOOKUP($E95,Nastavení!$A$30:$G$53,3,FALSE()),0)&lt;TODAY()),"Neschváleno po termínu cyklu. ","")))</f>
        <v/>
      </c>
    </row>
    <row r="96" spans="1:35" x14ac:dyDescent="0.2">
      <c r="A96" s="35"/>
      <c r="B96" s="11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11"/>
      <c r="N96" s="11"/>
      <c r="O96" s="11"/>
      <c r="P96" s="11"/>
      <c r="Q96" s="11"/>
      <c r="R96" s="11"/>
      <c r="S96" s="11"/>
      <c r="T96" s="35"/>
      <c r="U96" s="36"/>
      <c r="V96" s="11"/>
      <c r="W96" s="35"/>
      <c r="X96" s="35"/>
      <c r="Y96" s="36"/>
      <c r="Z96" s="11"/>
      <c r="AA96" s="35"/>
      <c r="AB96" s="36"/>
      <c r="AC96" s="35"/>
      <c r="AD96" s="35"/>
      <c r="AE96" s="37" t="str">
        <f>IF($A96="","",COUNTIFS(Připomínky!$A$4:$A$503,$A96,Připomínky!$J$4:$J$503,"Nevyřešeno"))</f>
        <v/>
      </c>
      <c r="AF96" s="37" t="str">
        <f>IF($A96="","",COUNTIFS(Publikace!$A$4:$A$503,$A96))</f>
        <v/>
      </c>
      <c r="AG96" s="38" t="str">
        <f>IF($A96="","",IF(AF96=0,"",_xlfn.MINIFS(Publikace!$E$4:$E$503,Publikace!$A$4:$A$503,$A96)))</f>
        <v/>
      </c>
      <c r="AH96" s="37" t="str">
        <f t="shared" si="1"/>
        <v/>
      </c>
      <c r="AI96" s="39" t="str">
        <f ca="1">IF($A96="","",TRIM(IF(AND($U96&lt;&gt;"",$U96&lt;TODAY(),$W96&lt;&gt;"Schváleno",$W96&lt;&gt;"Odloženo",$W96&lt;&gt;"Zrušeno"),"Po termínu odevzdání. ","")&amp;IF(AND($W96="Schváleno",OR($X96="",$Y96="")),"Schváleno bez jména / data. ","")&amp;IF(OR($G96="",$H96="",$I96="",$F96=""),"Chybí zařazení (kategorie, typ, profil nebo měsíc). ","")&amp;IF(AND(OR($I96="Honza",$I96="Radek"),OR($J96="",$J96="Nevztahuje se")),"Doplnit charakter (osobní / pracovní). ","")&amp;IF(AND($W96="Schváleno",$AE96&gt;0),"Schváleno, ale má otevřené připomínky. ","")&amp;IF(AND($AA96="Publikováno",$AF96=0),"Publikováno bez záznamu v listu Publikace. ","")&amp;IF(AND($C96&lt;&gt;"",$D96=""),"Chybí číslo dílu série. ","")&amp;IF(AND($E96&lt;&gt;"",$W96&lt;&gt;"Schváleno",$W96&lt;&gt;"Odloženo",$W96&lt;&gt;"Zrušeno",IFERROR(VLOOKUP($E96,Nastavení!$A$30:$G$53,3,FALSE()),0)&gt;0,IFERROR(VLOOKUP($E96,Nastavení!$A$30:$G$53,3,FALSE()),0)&lt;TODAY()),"Neschváleno po termínu cyklu. ","")))</f>
        <v/>
      </c>
    </row>
    <row r="97" spans="1:35" x14ac:dyDescent="0.2">
      <c r="A97" s="35"/>
      <c r="B97" s="11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11"/>
      <c r="N97" s="11"/>
      <c r="O97" s="11"/>
      <c r="P97" s="11"/>
      <c r="Q97" s="11"/>
      <c r="R97" s="11"/>
      <c r="S97" s="11"/>
      <c r="T97" s="35"/>
      <c r="U97" s="36"/>
      <c r="V97" s="11"/>
      <c r="W97" s="35"/>
      <c r="X97" s="35"/>
      <c r="Y97" s="36"/>
      <c r="Z97" s="11"/>
      <c r="AA97" s="35"/>
      <c r="AB97" s="36"/>
      <c r="AC97" s="35"/>
      <c r="AD97" s="35"/>
      <c r="AE97" s="37" t="str">
        <f>IF($A97="","",COUNTIFS(Připomínky!$A$4:$A$503,$A97,Připomínky!$J$4:$J$503,"Nevyřešeno"))</f>
        <v/>
      </c>
      <c r="AF97" s="37" t="str">
        <f>IF($A97="","",COUNTIFS(Publikace!$A$4:$A$503,$A97))</f>
        <v/>
      </c>
      <c r="AG97" s="38" t="str">
        <f>IF($A97="","",IF(AF97=0,"",_xlfn.MINIFS(Publikace!$E$4:$E$503,Publikace!$A$4:$A$503,$A97)))</f>
        <v/>
      </c>
      <c r="AH97" s="37" t="str">
        <f t="shared" si="1"/>
        <v/>
      </c>
      <c r="AI97" s="39" t="str">
        <f ca="1">IF($A97="","",TRIM(IF(AND($U97&lt;&gt;"",$U97&lt;TODAY(),$W97&lt;&gt;"Schváleno",$W97&lt;&gt;"Odloženo",$W97&lt;&gt;"Zrušeno"),"Po termínu odevzdání. ","")&amp;IF(AND($W97="Schváleno",OR($X97="",$Y97="")),"Schváleno bez jména / data. ","")&amp;IF(OR($G97="",$H97="",$I97="",$F97=""),"Chybí zařazení (kategorie, typ, profil nebo měsíc). ","")&amp;IF(AND(OR($I97="Honza",$I97="Radek"),OR($J97="",$J97="Nevztahuje se")),"Doplnit charakter (osobní / pracovní). ","")&amp;IF(AND($W97="Schváleno",$AE97&gt;0),"Schváleno, ale má otevřené připomínky. ","")&amp;IF(AND($AA97="Publikováno",$AF97=0),"Publikováno bez záznamu v listu Publikace. ","")&amp;IF(AND($C97&lt;&gt;"",$D97=""),"Chybí číslo dílu série. ","")&amp;IF(AND($E97&lt;&gt;"",$W97&lt;&gt;"Schváleno",$W97&lt;&gt;"Odloženo",$W97&lt;&gt;"Zrušeno",IFERROR(VLOOKUP($E97,Nastavení!$A$30:$G$53,3,FALSE()),0)&gt;0,IFERROR(VLOOKUP($E97,Nastavení!$A$30:$G$53,3,FALSE()),0)&lt;TODAY()),"Neschváleno po termínu cyklu. ","")))</f>
        <v/>
      </c>
    </row>
    <row r="98" spans="1:35" x14ac:dyDescent="0.2">
      <c r="A98" s="35"/>
      <c r="B98" s="11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11"/>
      <c r="N98" s="11"/>
      <c r="O98" s="11"/>
      <c r="P98" s="11"/>
      <c r="Q98" s="11"/>
      <c r="R98" s="11"/>
      <c r="S98" s="11"/>
      <c r="T98" s="35"/>
      <c r="U98" s="36"/>
      <c r="V98" s="11"/>
      <c r="W98" s="35"/>
      <c r="X98" s="35"/>
      <c r="Y98" s="36"/>
      <c r="Z98" s="11"/>
      <c r="AA98" s="35"/>
      <c r="AB98" s="36"/>
      <c r="AC98" s="35"/>
      <c r="AD98" s="35"/>
      <c r="AE98" s="37" t="str">
        <f>IF($A98="","",COUNTIFS(Připomínky!$A$4:$A$503,$A98,Připomínky!$J$4:$J$503,"Nevyřešeno"))</f>
        <v/>
      </c>
      <c r="AF98" s="37" t="str">
        <f>IF($A98="","",COUNTIFS(Publikace!$A$4:$A$503,$A98))</f>
        <v/>
      </c>
      <c r="AG98" s="38" t="str">
        <f>IF($A98="","",IF(AF98=0,"",_xlfn.MINIFS(Publikace!$E$4:$E$503,Publikace!$A$4:$A$503,$A98)))</f>
        <v/>
      </c>
      <c r="AH98" s="37" t="str">
        <f t="shared" si="1"/>
        <v/>
      </c>
      <c r="AI98" s="39" t="str">
        <f ca="1">IF($A98="","",TRIM(IF(AND($U98&lt;&gt;"",$U98&lt;TODAY(),$W98&lt;&gt;"Schváleno",$W98&lt;&gt;"Odloženo",$W98&lt;&gt;"Zrušeno"),"Po termínu odevzdání. ","")&amp;IF(AND($W98="Schváleno",OR($X98="",$Y98="")),"Schváleno bez jména / data. ","")&amp;IF(OR($G98="",$H98="",$I98="",$F98=""),"Chybí zařazení (kategorie, typ, profil nebo měsíc). ","")&amp;IF(AND(OR($I98="Honza",$I98="Radek"),OR($J98="",$J98="Nevztahuje se")),"Doplnit charakter (osobní / pracovní). ","")&amp;IF(AND($W98="Schváleno",$AE98&gt;0),"Schváleno, ale má otevřené připomínky. ","")&amp;IF(AND($AA98="Publikováno",$AF98=0),"Publikováno bez záznamu v listu Publikace. ","")&amp;IF(AND($C98&lt;&gt;"",$D98=""),"Chybí číslo dílu série. ","")&amp;IF(AND($E98&lt;&gt;"",$W98&lt;&gt;"Schváleno",$W98&lt;&gt;"Odloženo",$W98&lt;&gt;"Zrušeno",IFERROR(VLOOKUP($E98,Nastavení!$A$30:$G$53,3,FALSE()),0)&gt;0,IFERROR(VLOOKUP($E98,Nastavení!$A$30:$G$53,3,FALSE()),0)&lt;TODAY()),"Neschváleno po termínu cyklu. ","")))</f>
        <v/>
      </c>
    </row>
    <row r="99" spans="1:35" x14ac:dyDescent="0.2">
      <c r="A99" s="35"/>
      <c r="B99" s="11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11"/>
      <c r="N99" s="11"/>
      <c r="O99" s="11"/>
      <c r="P99" s="11"/>
      <c r="Q99" s="11"/>
      <c r="R99" s="11"/>
      <c r="S99" s="11"/>
      <c r="T99" s="35"/>
      <c r="U99" s="36"/>
      <c r="V99" s="11"/>
      <c r="W99" s="35"/>
      <c r="X99" s="35"/>
      <c r="Y99" s="36"/>
      <c r="Z99" s="11"/>
      <c r="AA99" s="35"/>
      <c r="AB99" s="36"/>
      <c r="AC99" s="35"/>
      <c r="AD99" s="35"/>
      <c r="AE99" s="37" t="str">
        <f>IF($A99="","",COUNTIFS(Připomínky!$A$4:$A$503,$A99,Připomínky!$J$4:$J$503,"Nevyřešeno"))</f>
        <v/>
      </c>
      <c r="AF99" s="37" t="str">
        <f>IF($A99="","",COUNTIFS(Publikace!$A$4:$A$503,$A99))</f>
        <v/>
      </c>
      <c r="AG99" s="38" t="str">
        <f>IF($A99="","",IF(AF99=0,"",_xlfn.MINIFS(Publikace!$E$4:$E$503,Publikace!$A$4:$A$503,$A99)))</f>
        <v/>
      </c>
      <c r="AH99" s="37" t="str">
        <f t="shared" si="1"/>
        <v/>
      </c>
      <c r="AI99" s="39" t="str">
        <f ca="1">IF($A99="","",TRIM(IF(AND($U99&lt;&gt;"",$U99&lt;TODAY(),$W99&lt;&gt;"Schváleno",$W99&lt;&gt;"Odloženo",$W99&lt;&gt;"Zrušeno"),"Po termínu odevzdání. ","")&amp;IF(AND($W99="Schváleno",OR($X99="",$Y99="")),"Schváleno bez jména / data. ","")&amp;IF(OR($G99="",$H99="",$I99="",$F99=""),"Chybí zařazení (kategorie, typ, profil nebo měsíc). ","")&amp;IF(AND(OR($I99="Honza",$I99="Radek"),OR($J99="",$J99="Nevztahuje se")),"Doplnit charakter (osobní / pracovní). ","")&amp;IF(AND($W99="Schváleno",$AE99&gt;0),"Schváleno, ale má otevřené připomínky. ","")&amp;IF(AND($AA99="Publikováno",$AF99=0),"Publikováno bez záznamu v listu Publikace. ","")&amp;IF(AND($C99&lt;&gt;"",$D99=""),"Chybí číslo dílu série. ","")&amp;IF(AND($E99&lt;&gt;"",$W99&lt;&gt;"Schváleno",$W99&lt;&gt;"Odloženo",$W99&lt;&gt;"Zrušeno",IFERROR(VLOOKUP($E99,Nastavení!$A$30:$G$53,3,FALSE()),0)&gt;0,IFERROR(VLOOKUP($E99,Nastavení!$A$30:$G$53,3,FALSE()),0)&lt;TODAY()),"Neschváleno po termínu cyklu. ","")))</f>
        <v/>
      </c>
    </row>
    <row r="100" spans="1:35" x14ac:dyDescent="0.2">
      <c r="A100" s="35"/>
      <c r="B100" s="11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11"/>
      <c r="N100" s="11"/>
      <c r="O100" s="11"/>
      <c r="P100" s="11"/>
      <c r="Q100" s="11"/>
      <c r="R100" s="11"/>
      <c r="S100" s="11"/>
      <c r="T100" s="35"/>
      <c r="U100" s="36"/>
      <c r="V100" s="11"/>
      <c r="W100" s="35"/>
      <c r="X100" s="35"/>
      <c r="Y100" s="36"/>
      <c r="Z100" s="11"/>
      <c r="AA100" s="35"/>
      <c r="AB100" s="36"/>
      <c r="AC100" s="35"/>
      <c r="AD100" s="35"/>
      <c r="AE100" s="37" t="str">
        <f>IF($A100="","",COUNTIFS(Připomínky!$A$4:$A$503,$A100,Připomínky!$J$4:$J$503,"Nevyřešeno"))</f>
        <v/>
      </c>
      <c r="AF100" s="37" t="str">
        <f>IF($A100="","",COUNTIFS(Publikace!$A$4:$A$503,$A100))</f>
        <v/>
      </c>
      <c r="AG100" s="38" t="str">
        <f>IF($A100="","",IF(AF100=0,"",_xlfn.MINIFS(Publikace!$E$4:$E$503,Publikace!$A$4:$A$503,$A100)))</f>
        <v/>
      </c>
      <c r="AH100" s="37" t="str">
        <f t="shared" si="1"/>
        <v/>
      </c>
      <c r="AI100" s="39" t="str">
        <f ca="1">IF($A100="","",TRIM(IF(AND($U100&lt;&gt;"",$U100&lt;TODAY(),$W100&lt;&gt;"Schváleno",$W100&lt;&gt;"Odloženo",$W100&lt;&gt;"Zrušeno"),"Po termínu odevzdání. ","")&amp;IF(AND($W100="Schváleno",OR($X100="",$Y100="")),"Schváleno bez jména / data. ","")&amp;IF(OR($G100="",$H100="",$I100="",$F100=""),"Chybí zařazení (kategorie, typ, profil nebo měsíc). ","")&amp;IF(AND(OR($I100="Honza",$I100="Radek"),OR($J100="",$J100="Nevztahuje se")),"Doplnit charakter (osobní / pracovní). ","")&amp;IF(AND($W100="Schváleno",$AE100&gt;0),"Schváleno, ale má otevřené připomínky. ","")&amp;IF(AND($AA100="Publikováno",$AF100=0),"Publikováno bez záznamu v listu Publikace. ","")&amp;IF(AND($C100&lt;&gt;"",$D100=""),"Chybí číslo dílu série. ","")&amp;IF(AND($E100&lt;&gt;"",$W100&lt;&gt;"Schváleno",$W100&lt;&gt;"Odloženo",$W100&lt;&gt;"Zrušeno",IFERROR(VLOOKUP($E100,Nastavení!$A$30:$G$53,3,FALSE()),0)&gt;0,IFERROR(VLOOKUP($E100,Nastavení!$A$30:$G$53,3,FALSE()),0)&lt;TODAY()),"Neschváleno po termínu cyklu. ","")))</f>
        <v/>
      </c>
    </row>
    <row r="101" spans="1:35" x14ac:dyDescent="0.2">
      <c r="A101" s="35"/>
      <c r="B101" s="11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11"/>
      <c r="N101" s="11"/>
      <c r="O101" s="11"/>
      <c r="P101" s="11"/>
      <c r="Q101" s="11"/>
      <c r="R101" s="11"/>
      <c r="S101" s="11"/>
      <c r="T101" s="35"/>
      <c r="U101" s="36"/>
      <c r="V101" s="11"/>
      <c r="W101" s="35"/>
      <c r="X101" s="35"/>
      <c r="Y101" s="36"/>
      <c r="Z101" s="11"/>
      <c r="AA101" s="35"/>
      <c r="AB101" s="36"/>
      <c r="AC101" s="35"/>
      <c r="AD101" s="35"/>
      <c r="AE101" s="37" t="str">
        <f>IF($A101="","",COUNTIFS(Připomínky!$A$4:$A$503,$A101,Připomínky!$J$4:$J$503,"Nevyřešeno"))</f>
        <v/>
      </c>
      <c r="AF101" s="37" t="str">
        <f>IF($A101="","",COUNTIFS(Publikace!$A$4:$A$503,$A101))</f>
        <v/>
      </c>
      <c r="AG101" s="38" t="str">
        <f>IF($A101="","",IF(AF101=0,"",_xlfn.MINIFS(Publikace!$E$4:$E$503,Publikace!$A$4:$A$503,$A101)))</f>
        <v/>
      </c>
      <c r="AH101" s="37" t="str">
        <f t="shared" si="1"/>
        <v/>
      </c>
      <c r="AI101" s="39" t="str">
        <f ca="1">IF($A101="","",TRIM(IF(AND($U101&lt;&gt;"",$U101&lt;TODAY(),$W101&lt;&gt;"Schváleno",$W101&lt;&gt;"Odloženo",$W101&lt;&gt;"Zrušeno"),"Po termínu odevzdání. ","")&amp;IF(AND($W101="Schváleno",OR($X101="",$Y101="")),"Schváleno bez jména / data. ","")&amp;IF(OR($G101="",$H101="",$I101="",$F101=""),"Chybí zařazení (kategorie, typ, profil nebo měsíc). ","")&amp;IF(AND(OR($I101="Honza",$I101="Radek"),OR($J101="",$J101="Nevztahuje se")),"Doplnit charakter (osobní / pracovní). ","")&amp;IF(AND($W101="Schváleno",$AE101&gt;0),"Schváleno, ale má otevřené připomínky. ","")&amp;IF(AND($AA101="Publikováno",$AF101=0),"Publikováno bez záznamu v listu Publikace. ","")&amp;IF(AND($C101&lt;&gt;"",$D101=""),"Chybí číslo dílu série. ","")&amp;IF(AND($E101&lt;&gt;"",$W101&lt;&gt;"Schváleno",$W101&lt;&gt;"Odloženo",$W101&lt;&gt;"Zrušeno",IFERROR(VLOOKUP($E101,Nastavení!$A$30:$G$53,3,FALSE()),0)&gt;0,IFERROR(VLOOKUP($E101,Nastavení!$A$30:$G$53,3,FALSE()),0)&lt;TODAY()),"Neschváleno po termínu cyklu. ","")))</f>
        <v/>
      </c>
    </row>
    <row r="102" spans="1:35" x14ac:dyDescent="0.2">
      <c r="A102" s="35"/>
      <c r="B102" s="11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11"/>
      <c r="N102" s="11"/>
      <c r="O102" s="11"/>
      <c r="P102" s="11"/>
      <c r="Q102" s="11"/>
      <c r="R102" s="11"/>
      <c r="S102" s="11"/>
      <c r="T102" s="35"/>
      <c r="U102" s="36"/>
      <c r="V102" s="11"/>
      <c r="W102" s="35"/>
      <c r="X102" s="35"/>
      <c r="Y102" s="36"/>
      <c r="Z102" s="11"/>
      <c r="AA102" s="35"/>
      <c r="AB102" s="36"/>
      <c r="AC102" s="35"/>
      <c r="AD102" s="35"/>
      <c r="AE102" s="37" t="str">
        <f>IF($A102="","",COUNTIFS(Připomínky!$A$4:$A$503,$A102,Připomínky!$J$4:$J$503,"Nevyřešeno"))</f>
        <v/>
      </c>
      <c r="AF102" s="37" t="str">
        <f>IF($A102="","",COUNTIFS(Publikace!$A$4:$A$503,$A102))</f>
        <v/>
      </c>
      <c r="AG102" s="38" t="str">
        <f>IF($A102="","",IF(AF102=0,"",_xlfn.MINIFS(Publikace!$E$4:$E$503,Publikace!$A$4:$A$503,$A102)))</f>
        <v/>
      </c>
      <c r="AH102" s="37" t="str">
        <f t="shared" si="1"/>
        <v/>
      </c>
      <c r="AI102" s="39" t="str">
        <f ca="1">IF($A102="","",TRIM(IF(AND($U102&lt;&gt;"",$U102&lt;TODAY(),$W102&lt;&gt;"Schváleno",$W102&lt;&gt;"Odloženo",$W102&lt;&gt;"Zrušeno"),"Po termínu odevzdání. ","")&amp;IF(AND($W102="Schváleno",OR($X102="",$Y102="")),"Schváleno bez jména / data. ","")&amp;IF(OR($G102="",$H102="",$I102="",$F102=""),"Chybí zařazení (kategorie, typ, profil nebo měsíc). ","")&amp;IF(AND(OR($I102="Honza",$I102="Radek"),OR($J102="",$J102="Nevztahuje se")),"Doplnit charakter (osobní / pracovní). ","")&amp;IF(AND($W102="Schváleno",$AE102&gt;0),"Schváleno, ale má otevřené připomínky. ","")&amp;IF(AND($AA102="Publikováno",$AF102=0),"Publikováno bez záznamu v listu Publikace. ","")&amp;IF(AND($C102&lt;&gt;"",$D102=""),"Chybí číslo dílu série. ","")&amp;IF(AND($E102&lt;&gt;"",$W102&lt;&gt;"Schváleno",$W102&lt;&gt;"Odloženo",$W102&lt;&gt;"Zrušeno",IFERROR(VLOOKUP($E102,Nastavení!$A$30:$G$53,3,FALSE()),0)&gt;0,IFERROR(VLOOKUP($E102,Nastavení!$A$30:$G$53,3,FALSE()),0)&lt;TODAY()),"Neschváleno po termínu cyklu. ","")))</f>
        <v/>
      </c>
    </row>
    <row r="103" spans="1:35" x14ac:dyDescent="0.2">
      <c r="A103" s="35"/>
      <c r="B103" s="11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11"/>
      <c r="N103" s="11"/>
      <c r="O103" s="11"/>
      <c r="P103" s="11"/>
      <c r="Q103" s="11"/>
      <c r="R103" s="11"/>
      <c r="S103" s="11"/>
      <c r="T103" s="35"/>
      <c r="U103" s="36"/>
      <c r="V103" s="11"/>
      <c r="W103" s="35"/>
      <c r="X103" s="35"/>
      <c r="Y103" s="36"/>
      <c r="Z103" s="11"/>
      <c r="AA103" s="35"/>
      <c r="AB103" s="36"/>
      <c r="AC103" s="35"/>
      <c r="AD103" s="35"/>
      <c r="AE103" s="37" t="str">
        <f>IF($A103="","",COUNTIFS(Připomínky!$A$4:$A$503,$A103,Připomínky!$J$4:$J$503,"Nevyřešeno"))</f>
        <v/>
      </c>
      <c r="AF103" s="37" t="str">
        <f>IF($A103="","",COUNTIFS(Publikace!$A$4:$A$503,$A103))</f>
        <v/>
      </c>
      <c r="AG103" s="38" t="str">
        <f>IF($A103="","",IF(AF103=0,"",_xlfn.MINIFS(Publikace!$E$4:$E$503,Publikace!$A$4:$A$503,$A103)))</f>
        <v/>
      </c>
      <c r="AH103" s="37" t="str">
        <f t="shared" si="1"/>
        <v/>
      </c>
      <c r="AI103" s="39" t="str">
        <f ca="1">IF($A103="","",TRIM(IF(AND($U103&lt;&gt;"",$U103&lt;TODAY(),$W103&lt;&gt;"Schváleno",$W103&lt;&gt;"Odloženo",$W103&lt;&gt;"Zrušeno"),"Po termínu odevzdání. ","")&amp;IF(AND($W103="Schváleno",OR($X103="",$Y103="")),"Schváleno bez jména / data. ","")&amp;IF(OR($G103="",$H103="",$I103="",$F103=""),"Chybí zařazení (kategorie, typ, profil nebo měsíc). ","")&amp;IF(AND(OR($I103="Honza",$I103="Radek"),OR($J103="",$J103="Nevztahuje se")),"Doplnit charakter (osobní / pracovní). ","")&amp;IF(AND($W103="Schváleno",$AE103&gt;0),"Schváleno, ale má otevřené připomínky. ","")&amp;IF(AND($AA103="Publikováno",$AF103=0),"Publikováno bez záznamu v listu Publikace. ","")&amp;IF(AND($C103&lt;&gt;"",$D103=""),"Chybí číslo dílu série. ","")&amp;IF(AND($E103&lt;&gt;"",$W103&lt;&gt;"Schváleno",$W103&lt;&gt;"Odloženo",$W103&lt;&gt;"Zrušeno",IFERROR(VLOOKUP($E103,Nastavení!$A$30:$G$53,3,FALSE()),0)&gt;0,IFERROR(VLOOKUP($E103,Nastavení!$A$30:$G$53,3,FALSE()),0)&lt;TODAY()),"Neschváleno po termínu cyklu. ","")))</f>
        <v/>
      </c>
    </row>
    <row r="104" spans="1:35" x14ac:dyDescent="0.2">
      <c r="A104" s="35"/>
      <c r="B104" s="11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11"/>
      <c r="N104" s="11"/>
      <c r="O104" s="11"/>
      <c r="P104" s="11"/>
      <c r="Q104" s="11"/>
      <c r="R104" s="11"/>
      <c r="S104" s="11"/>
      <c r="T104" s="35"/>
      <c r="U104" s="36"/>
      <c r="V104" s="11"/>
      <c r="W104" s="35"/>
      <c r="X104" s="35"/>
      <c r="Y104" s="36"/>
      <c r="Z104" s="11"/>
      <c r="AA104" s="35"/>
      <c r="AB104" s="36"/>
      <c r="AC104" s="35"/>
      <c r="AD104" s="35"/>
      <c r="AE104" s="37" t="str">
        <f>IF($A104="","",COUNTIFS(Připomínky!$A$4:$A$503,$A104,Připomínky!$J$4:$J$503,"Nevyřešeno"))</f>
        <v/>
      </c>
      <c r="AF104" s="37" t="str">
        <f>IF($A104="","",COUNTIFS(Publikace!$A$4:$A$503,$A104))</f>
        <v/>
      </c>
      <c r="AG104" s="38" t="str">
        <f>IF($A104="","",IF(AF104=0,"",_xlfn.MINIFS(Publikace!$E$4:$E$503,Publikace!$A$4:$A$503,$A104)))</f>
        <v/>
      </c>
      <c r="AH104" s="37" t="str">
        <f t="shared" si="1"/>
        <v/>
      </c>
      <c r="AI104" s="39" t="str">
        <f ca="1">IF($A104="","",TRIM(IF(AND($U104&lt;&gt;"",$U104&lt;TODAY(),$W104&lt;&gt;"Schváleno",$W104&lt;&gt;"Odloženo",$W104&lt;&gt;"Zrušeno"),"Po termínu odevzdání. ","")&amp;IF(AND($W104="Schváleno",OR($X104="",$Y104="")),"Schváleno bez jména / data. ","")&amp;IF(OR($G104="",$H104="",$I104="",$F104=""),"Chybí zařazení (kategorie, typ, profil nebo měsíc). ","")&amp;IF(AND(OR($I104="Honza",$I104="Radek"),OR($J104="",$J104="Nevztahuje se")),"Doplnit charakter (osobní / pracovní). ","")&amp;IF(AND($W104="Schváleno",$AE104&gt;0),"Schváleno, ale má otevřené připomínky. ","")&amp;IF(AND($AA104="Publikováno",$AF104=0),"Publikováno bez záznamu v listu Publikace. ","")&amp;IF(AND($C104&lt;&gt;"",$D104=""),"Chybí číslo dílu série. ","")&amp;IF(AND($E104&lt;&gt;"",$W104&lt;&gt;"Schváleno",$W104&lt;&gt;"Odloženo",$W104&lt;&gt;"Zrušeno",IFERROR(VLOOKUP($E104,Nastavení!$A$30:$G$53,3,FALSE()),0)&gt;0,IFERROR(VLOOKUP($E104,Nastavení!$A$30:$G$53,3,FALSE()),0)&lt;TODAY()),"Neschváleno po termínu cyklu. ","")))</f>
        <v/>
      </c>
    </row>
    <row r="105" spans="1:35" x14ac:dyDescent="0.2">
      <c r="A105" s="35"/>
      <c r="B105" s="11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11"/>
      <c r="N105" s="11"/>
      <c r="O105" s="11"/>
      <c r="P105" s="11"/>
      <c r="Q105" s="11"/>
      <c r="R105" s="11"/>
      <c r="S105" s="11"/>
      <c r="T105" s="35"/>
      <c r="U105" s="36"/>
      <c r="V105" s="11"/>
      <c r="W105" s="35"/>
      <c r="X105" s="35"/>
      <c r="Y105" s="36"/>
      <c r="Z105" s="11"/>
      <c r="AA105" s="35"/>
      <c r="AB105" s="36"/>
      <c r="AC105" s="35"/>
      <c r="AD105" s="35"/>
      <c r="AE105" s="37" t="str">
        <f>IF($A105="","",COUNTIFS(Připomínky!$A$4:$A$503,$A105,Připomínky!$J$4:$J$503,"Nevyřešeno"))</f>
        <v/>
      </c>
      <c r="AF105" s="37" t="str">
        <f>IF($A105="","",COUNTIFS(Publikace!$A$4:$A$503,$A105))</f>
        <v/>
      </c>
      <c r="AG105" s="38" t="str">
        <f>IF($A105="","",IF(AF105=0,"",_xlfn.MINIFS(Publikace!$E$4:$E$503,Publikace!$A$4:$A$503,$A105)))</f>
        <v/>
      </c>
      <c r="AH105" s="37" t="str">
        <f t="shared" si="1"/>
        <v/>
      </c>
      <c r="AI105" s="39" t="str">
        <f ca="1">IF($A105="","",TRIM(IF(AND($U105&lt;&gt;"",$U105&lt;TODAY(),$W105&lt;&gt;"Schváleno",$W105&lt;&gt;"Odloženo",$W105&lt;&gt;"Zrušeno"),"Po termínu odevzdání. ","")&amp;IF(AND($W105="Schváleno",OR($X105="",$Y105="")),"Schváleno bez jména / data. ","")&amp;IF(OR($G105="",$H105="",$I105="",$F105=""),"Chybí zařazení (kategorie, typ, profil nebo měsíc). ","")&amp;IF(AND(OR($I105="Honza",$I105="Radek"),OR($J105="",$J105="Nevztahuje se")),"Doplnit charakter (osobní / pracovní). ","")&amp;IF(AND($W105="Schváleno",$AE105&gt;0),"Schváleno, ale má otevřené připomínky. ","")&amp;IF(AND($AA105="Publikováno",$AF105=0),"Publikováno bez záznamu v listu Publikace. ","")&amp;IF(AND($C105&lt;&gt;"",$D105=""),"Chybí číslo dílu série. ","")&amp;IF(AND($E105&lt;&gt;"",$W105&lt;&gt;"Schváleno",$W105&lt;&gt;"Odloženo",$W105&lt;&gt;"Zrušeno",IFERROR(VLOOKUP($E105,Nastavení!$A$30:$G$53,3,FALSE()),0)&gt;0,IFERROR(VLOOKUP($E105,Nastavení!$A$30:$G$53,3,FALSE()),0)&lt;TODAY()),"Neschváleno po termínu cyklu. ","")))</f>
        <v/>
      </c>
    </row>
    <row r="106" spans="1:35" x14ac:dyDescent="0.2">
      <c r="A106" s="35"/>
      <c r="B106" s="11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11"/>
      <c r="N106" s="11"/>
      <c r="O106" s="11"/>
      <c r="P106" s="11"/>
      <c r="Q106" s="11"/>
      <c r="R106" s="11"/>
      <c r="S106" s="11"/>
      <c r="T106" s="35"/>
      <c r="U106" s="36"/>
      <c r="V106" s="11"/>
      <c r="W106" s="35"/>
      <c r="X106" s="35"/>
      <c r="Y106" s="36"/>
      <c r="Z106" s="11"/>
      <c r="AA106" s="35"/>
      <c r="AB106" s="36"/>
      <c r="AC106" s="35"/>
      <c r="AD106" s="35"/>
      <c r="AE106" s="37" t="str">
        <f>IF($A106="","",COUNTIFS(Připomínky!$A$4:$A$503,$A106,Připomínky!$J$4:$J$503,"Nevyřešeno"))</f>
        <v/>
      </c>
      <c r="AF106" s="37" t="str">
        <f>IF($A106="","",COUNTIFS(Publikace!$A$4:$A$503,$A106))</f>
        <v/>
      </c>
      <c r="AG106" s="38" t="str">
        <f>IF($A106="","",IF(AF106=0,"",_xlfn.MINIFS(Publikace!$E$4:$E$503,Publikace!$A$4:$A$503,$A106)))</f>
        <v/>
      </c>
      <c r="AH106" s="37" t="str">
        <f t="shared" si="1"/>
        <v/>
      </c>
      <c r="AI106" s="39" t="str">
        <f ca="1">IF($A106="","",TRIM(IF(AND($U106&lt;&gt;"",$U106&lt;TODAY(),$W106&lt;&gt;"Schváleno",$W106&lt;&gt;"Odloženo",$W106&lt;&gt;"Zrušeno"),"Po termínu odevzdání. ","")&amp;IF(AND($W106="Schváleno",OR($X106="",$Y106="")),"Schváleno bez jména / data. ","")&amp;IF(OR($G106="",$H106="",$I106="",$F106=""),"Chybí zařazení (kategorie, typ, profil nebo měsíc). ","")&amp;IF(AND(OR($I106="Honza",$I106="Radek"),OR($J106="",$J106="Nevztahuje se")),"Doplnit charakter (osobní / pracovní). ","")&amp;IF(AND($W106="Schváleno",$AE106&gt;0),"Schváleno, ale má otevřené připomínky. ","")&amp;IF(AND($AA106="Publikováno",$AF106=0),"Publikováno bez záznamu v listu Publikace. ","")&amp;IF(AND($C106&lt;&gt;"",$D106=""),"Chybí číslo dílu série. ","")&amp;IF(AND($E106&lt;&gt;"",$W106&lt;&gt;"Schváleno",$W106&lt;&gt;"Odloženo",$W106&lt;&gt;"Zrušeno",IFERROR(VLOOKUP($E106,Nastavení!$A$30:$G$53,3,FALSE()),0)&gt;0,IFERROR(VLOOKUP($E106,Nastavení!$A$30:$G$53,3,FALSE()),0)&lt;TODAY()),"Neschváleno po termínu cyklu. ","")))</f>
        <v/>
      </c>
    </row>
    <row r="107" spans="1:35" x14ac:dyDescent="0.2">
      <c r="A107" s="35"/>
      <c r="B107" s="11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11"/>
      <c r="N107" s="11"/>
      <c r="O107" s="11"/>
      <c r="P107" s="11"/>
      <c r="Q107" s="11"/>
      <c r="R107" s="11"/>
      <c r="S107" s="11"/>
      <c r="T107" s="35"/>
      <c r="U107" s="36"/>
      <c r="V107" s="11"/>
      <c r="W107" s="35"/>
      <c r="X107" s="35"/>
      <c r="Y107" s="36"/>
      <c r="Z107" s="11"/>
      <c r="AA107" s="35"/>
      <c r="AB107" s="36"/>
      <c r="AC107" s="35"/>
      <c r="AD107" s="35"/>
      <c r="AE107" s="37" t="str">
        <f>IF($A107="","",COUNTIFS(Připomínky!$A$4:$A$503,$A107,Připomínky!$J$4:$J$503,"Nevyřešeno"))</f>
        <v/>
      </c>
      <c r="AF107" s="37" t="str">
        <f>IF($A107="","",COUNTIFS(Publikace!$A$4:$A$503,$A107))</f>
        <v/>
      </c>
      <c r="AG107" s="38" t="str">
        <f>IF($A107="","",IF(AF107=0,"",_xlfn.MINIFS(Publikace!$E$4:$E$503,Publikace!$A$4:$A$503,$A107)))</f>
        <v/>
      </c>
      <c r="AH107" s="37" t="str">
        <f t="shared" si="1"/>
        <v/>
      </c>
      <c r="AI107" s="39" t="str">
        <f ca="1">IF($A107="","",TRIM(IF(AND($U107&lt;&gt;"",$U107&lt;TODAY(),$W107&lt;&gt;"Schváleno",$W107&lt;&gt;"Odloženo",$W107&lt;&gt;"Zrušeno"),"Po termínu odevzdání. ","")&amp;IF(AND($W107="Schváleno",OR($X107="",$Y107="")),"Schváleno bez jména / data. ","")&amp;IF(OR($G107="",$H107="",$I107="",$F107=""),"Chybí zařazení (kategorie, typ, profil nebo měsíc). ","")&amp;IF(AND(OR($I107="Honza",$I107="Radek"),OR($J107="",$J107="Nevztahuje se")),"Doplnit charakter (osobní / pracovní). ","")&amp;IF(AND($W107="Schváleno",$AE107&gt;0),"Schváleno, ale má otevřené připomínky. ","")&amp;IF(AND($AA107="Publikováno",$AF107=0),"Publikováno bez záznamu v listu Publikace. ","")&amp;IF(AND($C107&lt;&gt;"",$D107=""),"Chybí číslo dílu série. ","")&amp;IF(AND($E107&lt;&gt;"",$W107&lt;&gt;"Schváleno",$W107&lt;&gt;"Odloženo",$W107&lt;&gt;"Zrušeno",IFERROR(VLOOKUP($E107,Nastavení!$A$30:$G$53,3,FALSE()),0)&gt;0,IFERROR(VLOOKUP($E107,Nastavení!$A$30:$G$53,3,FALSE()),0)&lt;TODAY()),"Neschváleno po termínu cyklu. ","")))</f>
        <v/>
      </c>
    </row>
    <row r="108" spans="1:35" x14ac:dyDescent="0.2">
      <c r="A108" s="35"/>
      <c r="B108" s="11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11"/>
      <c r="N108" s="11"/>
      <c r="O108" s="11"/>
      <c r="P108" s="11"/>
      <c r="Q108" s="11"/>
      <c r="R108" s="11"/>
      <c r="S108" s="11"/>
      <c r="T108" s="35"/>
      <c r="U108" s="36"/>
      <c r="V108" s="11"/>
      <c r="W108" s="35"/>
      <c r="X108" s="35"/>
      <c r="Y108" s="36"/>
      <c r="Z108" s="11"/>
      <c r="AA108" s="35"/>
      <c r="AB108" s="36"/>
      <c r="AC108" s="35"/>
      <c r="AD108" s="35"/>
      <c r="AE108" s="37" t="str">
        <f>IF($A108="","",COUNTIFS(Připomínky!$A$4:$A$503,$A108,Připomínky!$J$4:$J$503,"Nevyřešeno"))</f>
        <v/>
      </c>
      <c r="AF108" s="37" t="str">
        <f>IF($A108="","",COUNTIFS(Publikace!$A$4:$A$503,$A108))</f>
        <v/>
      </c>
      <c r="AG108" s="38" t="str">
        <f>IF($A108="","",IF(AF108=0,"",_xlfn.MINIFS(Publikace!$E$4:$E$503,Publikace!$A$4:$A$503,$A108)))</f>
        <v/>
      </c>
      <c r="AH108" s="37" t="str">
        <f t="shared" si="1"/>
        <v/>
      </c>
      <c r="AI108" s="39" t="str">
        <f ca="1">IF($A108="","",TRIM(IF(AND($U108&lt;&gt;"",$U108&lt;TODAY(),$W108&lt;&gt;"Schváleno",$W108&lt;&gt;"Odloženo",$W108&lt;&gt;"Zrušeno"),"Po termínu odevzdání. ","")&amp;IF(AND($W108="Schváleno",OR($X108="",$Y108="")),"Schváleno bez jména / data. ","")&amp;IF(OR($G108="",$H108="",$I108="",$F108=""),"Chybí zařazení (kategorie, typ, profil nebo měsíc). ","")&amp;IF(AND(OR($I108="Honza",$I108="Radek"),OR($J108="",$J108="Nevztahuje se")),"Doplnit charakter (osobní / pracovní). ","")&amp;IF(AND($W108="Schváleno",$AE108&gt;0),"Schváleno, ale má otevřené připomínky. ","")&amp;IF(AND($AA108="Publikováno",$AF108=0),"Publikováno bez záznamu v listu Publikace. ","")&amp;IF(AND($C108&lt;&gt;"",$D108=""),"Chybí číslo dílu série. ","")&amp;IF(AND($E108&lt;&gt;"",$W108&lt;&gt;"Schváleno",$W108&lt;&gt;"Odloženo",$W108&lt;&gt;"Zrušeno",IFERROR(VLOOKUP($E108,Nastavení!$A$30:$G$53,3,FALSE()),0)&gt;0,IFERROR(VLOOKUP($E108,Nastavení!$A$30:$G$53,3,FALSE()),0)&lt;TODAY()),"Neschváleno po termínu cyklu. ","")))</f>
        <v/>
      </c>
    </row>
    <row r="109" spans="1:35" x14ac:dyDescent="0.2">
      <c r="A109" s="35"/>
      <c r="B109" s="11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11"/>
      <c r="N109" s="11"/>
      <c r="O109" s="11"/>
      <c r="P109" s="11"/>
      <c r="Q109" s="11"/>
      <c r="R109" s="11"/>
      <c r="S109" s="11"/>
      <c r="T109" s="35"/>
      <c r="U109" s="36"/>
      <c r="V109" s="11"/>
      <c r="W109" s="35"/>
      <c r="X109" s="35"/>
      <c r="Y109" s="36"/>
      <c r="Z109" s="11"/>
      <c r="AA109" s="35"/>
      <c r="AB109" s="36"/>
      <c r="AC109" s="35"/>
      <c r="AD109" s="35"/>
      <c r="AE109" s="37" t="str">
        <f>IF($A109="","",COUNTIFS(Připomínky!$A$4:$A$503,$A109,Připomínky!$J$4:$J$503,"Nevyřešeno"))</f>
        <v/>
      </c>
      <c r="AF109" s="37" t="str">
        <f>IF($A109="","",COUNTIFS(Publikace!$A$4:$A$503,$A109))</f>
        <v/>
      </c>
      <c r="AG109" s="38" t="str">
        <f>IF($A109="","",IF(AF109=0,"",_xlfn.MINIFS(Publikace!$E$4:$E$503,Publikace!$A$4:$A$503,$A109)))</f>
        <v/>
      </c>
      <c r="AH109" s="37" t="str">
        <f t="shared" si="1"/>
        <v/>
      </c>
      <c r="AI109" s="39" t="str">
        <f ca="1">IF($A109="","",TRIM(IF(AND($U109&lt;&gt;"",$U109&lt;TODAY(),$W109&lt;&gt;"Schváleno",$W109&lt;&gt;"Odloženo",$W109&lt;&gt;"Zrušeno"),"Po termínu odevzdání. ","")&amp;IF(AND($W109="Schváleno",OR($X109="",$Y109="")),"Schváleno bez jména / data. ","")&amp;IF(OR($G109="",$H109="",$I109="",$F109=""),"Chybí zařazení (kategorie, typ, profil nebo měsíc). ","")&amp;IF(AND(OR($I109="Honza",$I109="Radek"),OR($J109="",$J109="Nevztahuje se")),"Doplnit charakter (osobní / pracovní). ","")&amp;IF(AND($W109="Schváleno",$AE109&gt;0),"Schváleno, ale má otevřené připomínky. ","")&amp;IF(AND($AA109="Publikováno",$AF109=0),"Publikováno bez záznamu v listu Publikace. ","")&amp;IF(AND($C109&lt;&gt;"",$D109=""),"Chybí číslo dílu série. ","")&amp;IF(AND($E109&lt;&gt;"",$W109&lt;&gt;"Schváleno",$W109&lt;&gt;"Odloženo",$W109&lt;&gt;"Zrušeno",IFERROR(VLOOKUP($E109,Nastavení!$A$30:$G$53,3,FALSE()),0)&gt;0,IFERROR(VLOOKUP($E109,Nastavení!$A$30:$G$53,3,FALSE()),0)&lt;TODAY()),"Neschváleno po termínu cyklu. ","")))</f>
        <v/>
      </c>
    </row>
    <row r="110" spans="1:35" x14ac:dyDescent="0.2">
      <c r="A110" s="35"/>
      <c r="B110" s="11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11"/>
      <c r="N110" s="11"/>
      <c r="O110" s="11"/>
      <c r="P110" s="11"/>
      <c r="Q110" s="11"/>
      <c r="R110" s="11"/>
      <c r="S110" s="11"/>
      <c r="T110" s="35"/>
      <c r="U110" s="36"/>
      <c r="V110" s="11"/>
      <c r="W110" s="35"/>
      <c r="X110" s="35"/>
      <c r="Y110" s="36"/>
      <c r="Z110" s="11"/>
      <c r="AA110" s="35"/>
      <c r="AB110" s="36"/>
      <c r="AC110" s="35"/>
      <c r="AD110" s="35"/>
      <c r="AE110" s="37" t="str">
        <f>IF($A110="","",COUNTIFS(Připomínky!$A$4:$A$503,$A110,Připomínky!$J$4:$J$503,"Nevyřešeno"))</f>
        <v/>
      </c>
      <c r="AF110" s="37" t="str">
        <f>IF($A110="","",COUNTIFS(Publikace!$A$4:$A$503,$A110))</f>
        <v/>
      </c>
      <c r="AG110" s="38" t="str">
        <f>IF($A110="","",IF(AF110=0,"",_xlfn.MINIFS(Publikace!$E$4:$E$503,Publikace!$A$4:$A$503,$A110)))</f>
        <v/>
      </c>
      <c r="AH110" s="37" t="str">
        <f t="shared" si="1"/>
        <v/>
      </c>
      <c r="AI110" s="39" t="str">
        <f ca="1">IF($A110="","",TRIM(IF(AND($U110&lt;&gt;"",$U110&lt;TODAY(),$W110&lt;&gt;"Schváleno",$W110&lt;&gt;"Odloženo",$W110&lt;&gt;"Zrušeno"),"Po termínu odevzdání. ","")&amp;IF(AND($W110="Schváleno",OR($X110="",$Y110="")),"Schváleno bez jména / data. ","")&amp;IF(OR($G110="",$H110="",$I110="",$F110=""),"Chybí zařazení (kategorie, typ, profil nebo měsíc). ","")&amp;IF(AND(OR($I110="Honza",$I110="Radek"),OR($J110="",$J110="Nevztahuje se")),"Doplnit charakter (osobní / pracovní). ","")&amp;IF(AND($W110="Schváleno",$AE110&gt;0),"Schváleno, ale má otevřené připomínky. ","")&amp;IF(AND($AA110="Publikováno",$AF110=0),"Publikováno bez záznamu v listu Publikace. ","")&amp;IF(AND($C110&lt;&gt;"",$D110=""),"Chybí číslo dílu série. ","")&amp;IF(AND($E110&lt;&gt;"",$W110&lt;&gt;"Schváleno",$W110&lt;&gt;"Odloženo",$W110&lt;&gt;"Zrušeno",IFERROR(VLOOKUP($E110,Nastavení!$A$30:$G$53,3,FALSE()),0)&gt;0,IFERROR(VLOOKUP($E110,Nastavení!$A$30:$G$53,3,FALSE()),0)&lt;TODAY()),"Neschváleno po termínu cyklu. ","")))</f>
        <v/>
      </c>
    </row>
    <row r="111" spans="1:35" x14ac:dyDescent="0.2">
      <c r="A111" s="35"/>
      <c r="B111" s="11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11"/>
      <c r="N111" s="11"/>
      <c r="O111" s="11"/>
      <c r="P111" s="11"/>
      <c r="Q111" s="11"/>
      <c r="R111" s="11"/>
      <c r="S111" s="11"/>
      <c r="T111" s="35"/>
      <c r="U111" s="36"/>
      <c r="V111" s="11"/>
      <c r="W111" s="35"/>
      <c r="X111" s="35"/>
      <c r="Y111" s="36"/>
      <c r="Z111" s="11"/>
      <c r="AA111" s="35"/>
      <c r="AB111" s="36"/>
      <c r="AC111" s="35"/>
      <c r="AD111" s="35"/>
      <c r="AE111" s="37" t="str">
        <f>IF($A111="","",COUNTIFS(Připomínky!$A$4:$A$503,$A111,Připomínky!$J$4:$J$503,"Nevyřešeno"))</f>
        <v/>
      </c>
      <c r="AF111" s="37" t="str">
        <f>IF($A111="","",COUNTIFS(Publikace!$A$4:$A$503,$A111))</f>
        <v/>
      </c>
      <c r="AG111" s="38" t="str">
        <f>IF($A111="","",IF(AF111=0,"",_xlfn.MINIFS(Publikace!$E$4:$E$503,Publikace!$A$4:$A$503,$A111)))</f>
        <v/>
      </c>
      <c r="AH111" s="37" t="str">
        <f t="shared" si="1"/>
        <v/>
      </c>
      <c r="AI111" s="39" t="str">
        <f ca="1">IF($A111="","",TRIM(IF(AND($U111&lt;&gt;"",$U111&lt;TODAY(),$W111&lt;&gt;"Schváleno",$W111&lt;&gt;"Odloženo",$W111&lt;&gt;"Zrušeno"),"Po termínu odevzdání. ","")&amp;IF(AND($W111="Schváleno",OR($X111="",$Y111="")),"Schváleno bez jména / data. ","")&amp;IF(OR($G111="",$H111="",$I111="",$F111=""),"Chybí zařazení (kategorie, typ, profil nebo měsíc). ","")&amp;IF(AND(OR($I111="Honza",$I111="Radek"),OR($J111="",$J111="Nevztahuje se")),"Doplnit charakter (osobní / pracovní). ","")&amp;IF(AND($W111="Schváleno",$AE111&gt;0),"Schváleno, ale má otevřené připomínky. ","")&amp;IF(AND($AA111="Publikováno",$AF111=0),"Publikováno bez záznamu v listu Publikace. ","")&amp;IF(AND($C111&lt;&gt;"",$D111=""),"Chybí číslo dílu série. ","")&amp;IF(AND($E111&lt;&gt;"",$W111&lt;&gt;"Schváleno",$W111&lt;&gt;"Odloženo",$W111&lt;&gt;"Zrušeno",IFERROR(VLOOKUP($E111,Nastavení!$A$30:$G$53,3,FALSE()),0)&gt;0,IFERROR(VLOOKUP($E111,Nastavení!$A$30:$G$53,3,FALSE()),0)&lt;TODAY()),"Neschváleno po termínu cyklu. ","")))</f>
        <v/>
      </c>
    </row>
    <row r="112" spans="1:35" x14ac:dyDescent="0.2">
      <c r="A112" s="35"/>
      <c r="B112" s="11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11"/>
      <c r="N112" s="11"/>
      <c r="O112" s="11"/>
      <c r="P112" s="11"/>
      <c r="Q112" s="11"/>
      <c r="R112" s="11"/>
      <c r="S112" s="11"/>
      <c r="T112" s="35"/>
      <c r="U112" s="36"/>
      <c r="V112" s="11"/>
      <c r="W112" s="35"/>
      <c r="X112" s="35"/>
      <c r="Y112" s="36"/>
      <c r="Z112" s="11"/>
      <c r="AA112" s="35"/>
      <c r="AB112" s="36"/>
      <c r="AC112" s="35"/>
      <c r="AD112" s="35"/>
      <c r="AE112" s="37" t="str">
        <f>IF($A112="","",COUNTIFS(Připomínky!$A$4:$A$503,$A112,Připomínky!$J$4:$J$503,"Nevyřešeno"))</f>
        <v/>
      </c>
      <c r="AF112" s="37" t="str">
        <f>IF($A112="","",COUNTIFS(Publikace!$A$4:$A$503,$A112))</f>
        <v/>
      </c>
      <c r="AG112" s="38" t="str">
        <f>IF($A112="","",IF(AF112=0,"",_xlfn.MINIFS(Publikace!$E$4:$E$503,Publikace!$A$4:$A$503,$A112)))</f>
        <v/>
      </c>
      <c r="AH112" s="37" t="str">
        <f t="shared" si="1"/>
        <v/>
      </c>
      <c r="AI112" s="39" t="str">
        <f ca="1">IF($A112="","",TRIM(IF(AND($U112&lt;&gt;"",$U112&lt;TODAY(),$W112&lt;&gt;"Schváleno",$W112&lt;&gt;"Odloženo",$W112&lt;&gt;"Zrušeno"),"Po termínu odevzdání. ","")&amp;IF(AND($W112="Schváleno",OR($X112="",$Y112="")),"Schváleno bez jména / data. ","")&amp;IF(OR($G112="",$H112="",$I112="",$F112=""),"Chybí zařazení (kategorie, typ, profil nebo měsíc). ","")&amp;IF(AND(OR($I112="Honza",$I112="Radek"),OR($J112="",$J112="Nevztahuje se")),"Doplnit charakter (osobní / pracovní). ","")&amp;IF(AND($W112="Schváleno",$AE112&gt;0),"Schváleno, ale má otevřené připomínky. ","")&amp;IF(AND($AA112="Publikováno",$AF112=0),"Publikováno bez záznamu v listu Publikace. ","")&amp;IF(AND($C112&lt;&gt;"",$D112=""),"Chybí číslo dílu série. ","")&amp;IF(AND($E112&lt;&gt;"",$W112&lt;&gt;"Schváleno",$W112&lt;&gt;"Odloženo",$W112&lt;&gt;"Zrušeno",IFERROR(VLOOKUP($E112,Nastavení!$A$30:$G$53,3,FALSE()),0)&gt;0,IFERROR(VLOOKUP($E112,Nastavení!$A$30:$G$53,3,FALSE()),0)&lt;TODAY()),"Neschváleno po termínu cyklu. ","")))</f>
        <v/>
      </c>
    </row>
    <row r="113" spans="1:35" x14ac:dyDescent="0.2">
      <c r="A113" s="35"/>
      <c r="B113" s="11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11"/>
      <c r="N113" s="11"/>
      <c r="O113" s="11"/>
      <c r="P113" s="11"/>
      <c r="Q113" s="11"/>
      <c r="R113" s="11"/>
      <c r="S113" s="11"/>
      <c r="T113" s="35"/>
      <c r="U113" s="36"/>
      <c r="V113" s="11"/>
      <c r="W113" s="35"/>
      <c r="X113" s="35"/>
      <c r="Y113" s="36"/>
      <c r="Z113" s="11"/>
      <c r="AA113" s="35"/>
      <c r="AB113" s="36"/>
      <c r="AC113" s="35"/>
      <c r="AD113" s="35"/>
      <c r="AE113" s="37" t="str">
        <f>IF($A113="","",COUNTIFS(Připomínky!$A$4:$A$503,$A113,Připomínky!$J$4:$J$503,"Nevyřešeno"))</f>
        <v/>
      </c>
      <c r="AF113" s="37" t="str">
        <f>IF($A113="","",COUNTIFS(Publikace!$A$4:$A$503,$A113))</f>
        <v/>
      </c>
      <c r="AG113" s="38" t="str">
        <f>IF($A113="","",IF(AF113=0,"",_xlfn.MINIFS(Publikace!$E$4:$E$503,Publikace!$A$4:$A$503,$A113)))</f>
        <v/>
      </c>
      <c r="AH113" s="37" t="str">
        <f t="shared" si="1"/>
        <v/>
      </c>
      <c r="AI113" s="39" t="str">
        <f ca="1">IF($A113="","",TRIM(IF(AND($U113&lt;&gt;"",$U113&lt;TODAY(),$W113&lt;&gt;"Schváleno",$W113&lt;&gt;"Odloženo",$W113&lt;&gt;"Zrušeno"),"Po termínu odevzdání. ","")&amp;IF(AND($W113="Schváleno",OR($X113="",$Y113="")),"Schváleno bez jména / data. ","")&amp;IF(OR($G113="",$H113="",$I113="",$F113=""),"Chybí zařazení (kategorie, typ, profil nebo měsíc). ","")&amp;IF(AND(OR($I113="Honza",$I113="Radek"),OR($J113="",$J113="Nevztahuje se")),"Doplnit charakter (osobní / pracovní). ","")&amp;IF(AND($W113="Schváleno",$AE113&gt;0),"Schváleno, ale má otevřené připomínky. ","")&amp;IF(AND($AA113="Publikováno",$AF113=0),"Publikováno bez záznamu v listu Publikace. ","")&amp;IF(AND($C113&lt;&gt;"",$D113=""),"Chybí číslo dílu série. ","")&amp;IF(AND($E113&lt;&gt;"",$W113&lt;&gt;"Schváleno",$W113&lt;&gt;"Odloženo",$W113&lt;&gt;"Zrušeno",IFERROR(VLOOKUP($E113,Nastavení!$A$30:$G$53,3,FALSE()),0)&gt;0,IFERROR(VLOOKUP($E113,Nastavení!$A$30:$G$53,3,FALSE()),0)&lt;TODAY()),"Neschváleno po termínu cyklu. ","")))</f>
        <v/>
      </c>
    </row>
    <row r="114" spans="1:35" x14ac:dyDescent="0.2">
      <c r="A114" s="35"/>
      <c r="B114" s="11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11"/>
      <c r="N114" s="11"/>
      <c r="O114" s="11"/>
      <c r="P114" s="11"/>
      <c r="Q114" s="11"/>
      <c r="R114" s="11"/>
      <c r="S114" s="11"/>
      <c r="T114" s="35"/>
      <c r="U114" s="36"/>
      <c r="V114" s="11"/>
      <c r="W114" s="35"/>
      <c r="X114" s="35"/>
      <c r="Y114" s="36"/>
      <c r="Z114" s="11"/>
      <c r="AA114" s="35"/>
      <c r="AB114" s="36"/>
      <c r="AC114" s="35"/>
      <c r="AD114" s="35"/>
      <c r="AE114" s="37" t="str">
        <f>IF($A114="","",COUNTIFS(Připomínky!$A$4:$A$503,$A114,Připomínky!$J$4:$J$503,"Nevyřešeno"))</f>
        <v/>
      </c>
      <c r="AF114" s="37" t="str">
        <f>IF($A114="","",COUNTIFS(Publikace!$A$4:$A$503,$A114))</f>
        <v/>
      </c>
      <c r="AG114" s="38" t="str">
        <f>IF($A114="","",IF(AF114=0,"",_xlfn.MINIFS(Publikace!$E$4:$E$503,Publikace!$A$4:$A$503,$A114)))</f>
        <v/>
      </c>
      <c r="AH114" s="37" t="str">
        <f t="shared" si="1"/>
        <v/>
      </c>
      <c r="AI114" s="39" t="str">
        <f ca="1">IF($A114="","",TRIM(IF(AND($U114&lt;&gt;"",$U114&lt;TODAY(),$W114&lt;&gt;"Schváleno",$W114&lt;&gt;"Odloženo",$W114&lt;&gt;"Zrušeno"),"Po termínu odevzdání. ","")&amp;IF(AND($W114="Schváleno",OR($X114="",$Y114="")),"Schváleno bez jména / data. ","")&amp;IF(OR($G114="",$H114="",$I114="",$F114=""),"Chybí zařazení (kategorie, typ, profil nebo měsíc). ","")&amp;IF(AND(OR($I114="Honza",$I114="Radek"),OR($J114="",$J114="Nevztahuje se")),"Doplnit charakter (osobní / pracovní). ","")&amp;IF(AND($W114="Schváleno",$AE114&gt;0),"Schváleno, ale má otevřené připomínky. ","")&amp;IF(AND($AA114="Publikováno",$AF114=0),"Publikováno bez záznamu v listu Publikace. ","")&amp;IF(AND($C114&lt;&gt;"",$D114=""),"Chybí číslo dílu série. ","")&amp;IF(AND($E114&lt;&gt;"",$W114&lt;&gt;"Schváleno",$W114&lt;&gt;"Odloženo",$W114&lt;&gt;"Zrušeno",IFERROR(VLOOKUP($E114,Nastavení!$A$30:$G$53,3,FALSE()),0)&gt;0,IFERROR(VLOOKUP($E114,Nastavení!$A$30:$G$53,3,FALSE()),0)&lt;TODAY()),"Neschváleno po termínu cyklu. ","")))</f>
        <v/>
      </c>
    </row>
    <row r="115" spans="1:35" x14ac:dyDescent="0.2">
      <c r="A115" s="35"/>
      <c r="B115" s="11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11"/>
      <c r="N115" s="11"/>
      <c r="O115" s="11"/>
      <c r="P115" s="11"/>
      <c r="Q115" s="11"/>
      <c r="R115" s="11"/>
      <c r="S115" s="11"/>
      <c r="T115" s="35"/>
      <c r="U115" s="36"/>
      <c r="V115" s="11"/>
      <c r="W115" s="35"/>
      <c r="X115" s="35"/>
      <c r="Y115" s="36"/>
      <c r="Z115" s="11"/>
      <c r="AA115" s="35"/>
      <c r="AB115" s="36"/>
      <c r="AC115" s="35"/>
      <c r="AD115" s="35"/>
      <c r="AE115" s="37" t="str">
        <f>IF($A115="","",COUNTIFS(Připomínky!$A$4:$A$503,$A115,Připomínky!$J$4:$J$503,"Nevyřešeno"))</f>
        <v/>
      </c>
      <c r="AF115" s="37" t="str">
        <f>IF($A115="","",COUNTIFS(Publikace!$A$4:$A$503,$A115))</f>
        <v/>
      </c>
      <c r="AG115" s="38" t="str">
        <f>IF($A115="","",IF(AF115=0,"",_xlfn.MINIFS(Publikace!$E$4:$E$503,Publikace!$A$4:$A$503,$A115)))</f>
        <v/>
      </c>
      <c r="AH115" s="37" t="str">
        <f t="shared" si="1"/>
        <v/>
      </c>
      <c r="AI115" s="39" t="str">
        <f ca="1">IF($A115="","",TRIM(IF(AND($U115&lt;&gt;"",$U115&lt;TODAY(),$W115&lt;&gt;"Schváleno",$W115&lt;&gt;"Odloženo",$W115&lt;&gt;"Zrušeno"),"Po termínu odevzdání. ","")&amp;IF(AND($W115="Schváleno",OR($X115="",$Y115="")),"Schváleno bez jména / data. ","")&amp;IF(OR($G115="",$H115="",$I115="",$F115=""),"Chybí zařazení (kategorie, typ, profil nebo měsíc). ","")&amp;IF(AND(OR($I115="Honza",$I115="Radek"),OR($J115="",$J115="Nevztahuje se")),"Doplnit charakter (osobní / pracovní). ","")&amp;IF(AND($W115="Schváleno",$AE115&gt;0),"Schváleno, ale má otevřené připomínky. ","")&amp;IF(AND($AA115="Publikováno",$AF115=0),"Publikováno bez záznamu v listu Publikace. ","")&amp;IF(AND($C115&lt;&gt;"",$D115=""),"Chybí číslo dílu série. ","")&amp;IF(AND($E115&lt;&gt;"",$W115&lt;&gt;"Schváleno",$W115&lt;&gt;"Odloženo",$W115&lt;&gt;"Zrušeno",IFERROR(VLOOKUP($E115,Nastavení!$A$30:$G$53,3,FALSE()),0)&gt;0,IFERROR(VLOOKUP($E115,Nastavení!$A$30:$G$53,3,FALSE()),0)&lt;TODAY()),"Neschváleno po termínu cyklu. ","")))</f>
        <v/>
      </c>
    </row>
    <row r="116" spans="1:35" x14ac:dyDescent="0.2">
      <c r="A116" s="35"/>
      <c r="B116" s="11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11"/>
      <c r="N116" s="11"/>
      <c r="O116" s="11"/>
      <c r="P116" s="11"/>
      <c r="Q116" s="11"/>
      <c r="R116" s="11"/>
      <c r="S116" s="11"/>
      <c r="T116" s="35"/>
      <c r="U116" s="36"/>
      <c r="V116" s="11"/>
      <c r="W116" s="35"/>
      <c r="X116" s="35"/>
      <c r="Y116" s="36"/>
      <c r="Z116" s="11"/>
      <c r="AA116" s="35"/>
      <c r="AB116" s="36"/>
      <c r="AC116" s="35"/>
      <c r="AD116" s="35"/>
      <c r="AE116" s="37" t="str">
        <f>IF($A116="","",COUNTIFS(Připomínky!$A$4:$A$503,$A116,Připomínky!$J$4:$J$503,"Nevyřešeno"))</f>
        <v/>
      </c>
      <c r="AF116" s="37" t="str">
        <f>IF($A116="","",COUNTIFS(Publikace!$A$4:$A$503,$A116))</f>
        <v/>
      </c>
      <c r="AG116" s="38" t="str">
        <f>IF($A116="","",IF(AF116=0,"",_xlfn.MINIFS(Publikace!$E$4:$E$503,Publikace!$A$4:$A$503,$A116)))</f>
        <v/>
      </c>
      <c r="AH116" s="37" t="str">
        <f t="shared" si="1"/>
        <v/>
      </c>
      <c r="AI116" s="39" t="str">
        <f ca="1">IF($A116="","",TRIM(IF(AND($U116&lt;&gt;"",$U116&lt;TODAY(),$W116&lt;&gt;"Schváleno",$W116&lt;&gt;"Odloženo",$W116&lt;&gt;"Zrušeno"),"Po termínu odevzdání. ","")&amp;IF(AND($W116="Schváleno",OR($X116="",$Y116="")),"Schváleno bez jména / data. ","")&amp;IF(OR($G116="",$H116="",$I116="",$F116=""),"Chybí zařazení (kategorie, typ, profil nebo měsíc). ","")&amp;IF(AND(OR($I116="Honza",$I116="Radek"),OR($J116="",$J116="Nevztahuje se")),"Doplnit charakter (osobní / pracovní). ","")&amp;IF(AND($W116="Schváleno",$AE116&gt;0),"Schváleno, ale má otevřené připomínky. ","")&amp;IF(AND($AA116="Publikováno",$AF116=0),"Publikováno bez záznamu v listu Publikace. ","")&amp;IF(AND($C116&lt;&gt;"",$D116=""),"Chybí číslo dílu série. ","")&amp;IF(AND($E116&lt;&gt;"",$W116&lt;&gt;"Schváleno",$W116&lt;&gt;"Odloženo",$W116&lt;&gt;"Zrušeno",IFERROR(VLOOKUP($E116,Nastavení!$A$30:$G$53,3,FALSE()),0)&gt;0,IFERROR(VLOOKUP($E116,Nastavení!$A$30:$G$53,3,FALSE()),0)&lt;TODAY()),"Neschváleno po termínu cyklu. ","")))</f>
        <v/>
      </c>
    </row>
    <row r="117" spans="1:35" x14ac:dyDescent="0.2">
      <c r="A117" s="35"/>
      <c r="B117" s="11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11"/>
      <c r="N117" s="11"/>
      <c r="O117" s="11"/>
      <c r="P117" s="11"/>
      <c r="Q117" s="11"/>
      <c r="R117" s="11"/>
      <c r="S117" s="11"/>
      <c r="T117" s="35"/>
      <c r="U117" s="36"/>
      <c r="V117" s="11"/>
      <c r="W117" s="35"/>
      <c r="X117" s="35"/>
      <c r="Y117" s="36"/>
      <c r="Z117" s="11"/>
      <c r="AA117" s="35"/>
      <c r="AB117" s="36"/>
      <c r="AC117" s="35"/>
      <c r="AD117" s="35"/>
      <c r="AE117" s="37" t="str">
        <f>IF($A117="","",COUNTIFS(Připomínky!$A$4:$A$503,$A117,Připomínky!$J$4:$J$503,"Nevyřešeno"))</f>
        <v/>
      </c>
      <c r="AF117" s="37" t="str">
        <f>IF($A117="","",COUNTIFS(Publikace!$A$4:$A$503,$A117))</f>
        <v/>
      </c>
      <c r="AG117" s="38" t="str">
        <f>IF($A117="","",IF(AF117=0,"",_xlfn.MINIFS(Publikace!$E$4:$E$503,Publikace!$A$4:$A$503,$A117)))</f>
        <v/>
      </c>
      <c r="AH117" s="37" t="str">
        <f t="shared" si="1"/>
        <v/>
      </c>
      <c r="AI117" s="39" t="str">
        <f ca="1">IF($A117="","",TRIM(IF(AND($U117&lt;&gt;"",$U117&lt;TODAY(),$W117&lt;&gt;"Schváleno",$W117&lt;&gt;"Odloženo",$W117&lt;&gt;"Zrušeno"),"Po termínu odevzdání. ","")&amp;IF(AND($W117="Schváleno",OR($X117="",$Y117="")),"Schváleno bez jména / data. ","")&amp;IF(OR($G117="",$H117="",$I117="",$F117=""),"Chybí zařazení (kategorie, typ, profil nebo měsíc). ","")&amp;IF(AND(OR($I117="Honza",$I117="Radek"),OR($J117="",$J117="Nevztahuje se")),"Doplnit charakter (osobní / pracovní). ","")&amp;IF(AND($W117="Schváleno",$AE117&gt;0),"Schváleno, ale má otevřené připomínky. ","")&amp;IF(AND($AA117="Publikováno",$AF117=0),"Publikováno bez záznamu v listu Publikace. ","")&amp;IF(AND($C117&lt;&gt;"",$D117=""),"Chybí číslo dílu série. ","")&amp;IF(AND($E117&lt;&gt;"",$W117&lt;&gt;"Schváleno",$W117&lt;&gt;"Odloženo",$W117&lt;&gt;"Zrušeno",IFERROR(VLOOKUP($E117,Nastavení!$A$30:$G$53,3,FALSE()),0)&gt;0,IFERROR(VLOOKUP($E117,Nastavení!$A$30:$G$53,3,FALSE()),0)&lt;TODAY()),"Neschváleno po termínu cyklu. ","")))</f>
        <v/>
      </c>
    </row>
    <row r="118" spans="1:35" x14ac:dyDescent="0.2">
      <c r="A118" s="35"/>
      <c r="B118" s="11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11"/>
      <c r="N118" s="11"/>
      <c r="O118" s="11"/>
      <c r="P118" s="11"/>
      <c r="Q118" s="11"/>
      <c r="R118" s="11"/>
      <c r="S118" s="11"/>
      <c r="T118" s="35"/>
      <c r="U118" s="36"/>
      <c r="V118" s="11"/>
      <c r="W118" s="35"/>
      <c r="X118" s="35"/>
      <c r="Y118" s="36"/>
      <c r="Z118" s="11"/>
      <c r="AA118" s="35"/>
      <c r="AB118" s="36"/>
      <c r="AC118" s="35"/>
      <c r="AD118" s="35"/>
      <c r="AE118" s="37" t="str">
        <f>IF($A118="","",COUNTIFS(Připomínky!$A$4:$A$503,$A118,Připomínky!$J$4:$J$503,"Nevyřešeno"))</f>
        <v/>
      </c>
      <c r="AF118" s="37" t="str">
        <f>IF($A118="","",COUNTIFS(Publikace!$A$4:$A$503,$A118))</f>
        <v/>
      </c>
      <c r="AG118" s="38" t="str">
        <f>IF($A118="","",IF(AF118=0,"",_xlfn.MINIFS(Publikace!$E$4:$E$503,Publikace!$A$4:$A$503,$A118)))</f>
        <v/>
      </c>
      <c r="AH118" s="37" t="str">
        <f t="shared" si="1"/>
        <v/>
      </c>
      <c r="AI118" s="39" t="str">
        <f ca="1">IF($A118="","",TRIM(IF(AND($U118&lt;&gt;"",$U118&lt;TODAY(),$W118&lt;&gt;"Schváleno",$W118&lt;&gt;"Odloženo",$W118&lt;&gt;"Zrušeno"),"Po termínu odevzdání. ","")&amp;IF(AND($W118="Schváleno",OR($X118="",$Y118="")),"Schváleno bez jména / data. ","")&amp;IF(OR($G118="",$H118="",$I118="",$F118=""),"Chybí zařazení (kategorie, typ, profil nebo měsíc). ","")&amp;IF(AND(OR($I118="Honza",$I118="Radek"),OR($J118="",$J118="Nevztahuje se")),"Doplnit charakter (osobní / pracovní). ","")&amp;IF(AND($W118="Schváleno",$AE118&gt;0),"Schváleno, ale má otevřené připomínky. ","")&amp;IF(AND($AA118="Publikováno",$AF118=0),"Publikováno bez záznamu v listu Publikace. ","")&amp;IF(AND($C118&lt;&gt;"",$D118=""),"Chybí číslo dílu série. ","")&amp;IF(AND($E118&lt;&gt;"",$W118&lt;&gt;"Schváleno",$W118&lt;&gt;"Odloženo",$W118&lt;&gt;"Zrušeno",IFERROR(VLOOKUP($E118,Nastavení!$A$30:$G$53,3,FALSE()),0)&gt;0,IFERROR(VLOOKUP($E118,Nastavení!$A$30:$G$53,3,FALSE()),0)&lt;TODAY()),"Neschváleno po termínu cyklu. ","")))</f>
        <v/>
      </c>
    </row>
    <row r="119" spans="1:35" x14ac:dyDescent="0.2">
      <c r="A119" s="35"/>
      <c r="B119" s="11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11"/>
      <c r="N119" s="11"/>
      <c r="O119" s="11"/>
      <c r="P119" s="11"/>
      <c r="Q119" s="11"/>
      <c r="R119" s="11"/>
      <c r="S119" s="11"/>
      <c r="T119" s="35"/>
      <c r="U119" s="36"/>
      <c r="V119" s="11"/>
      <c r="W119" s="35"/>
      <c r="X119" s="35"/>
      <c r="Y119" s="36"/>
      <c r="Z119" s="11"/>
      <c r="AA119" s="35"/>
      <c r="AB119" s="36"/>
      <c r="AC119" s="35"/>
      <c r="AD119" s="35"/>
      <c r="AE119" s="37" t="str">
        <f>IF($A119="","",COUNTIFS(Připomínky!$A$4:$A$503,$A119,Připomínky!$J$4:$J$503,"Nevyřešeno"))</f>
        <v/>
      </c>
      <c r="AF119" s="37" t="str">
        <f>IF($A119="","",COUNTIFS(Publikace!$A$4:$A$503,$A119))</f>
        <v/>
      </c>
      <c r="AG119" s="38" t="str">
        <f>IF($A119="","",IF(AF119=0,"",_xlfn.MINIFS(Publikace!$E$4:$E$503,Publikace!$A$4:$A$503,$A119)))</f>
        <v/>
      </c>
      <c r="AH119" s="37" t="str">
        <f t="shared" si="1"/>
        <v/>
      </c>
      <c r="AI119" s="39" t="str">
        <f ca="1">IF($A119="","",TRIM(IF(AND($U119&lt;&gt;"",$U119&lt;TODAY(),$W119&lt;&gt;"Schváleno",$W119&lt;&gt;"Odloženo",$W119&lt;&gt;"Zrušeno"),"Po termínu odevzdání. ","")&amp;IF(AND($W119="Schváleno",OR($X119="",$Y119="")),"Schváleno bez jména / data. ","")&amp;IF(OR($G119="",$H119="",$I119="",$F119=""),"Chybí zařazení (kategorie, typ, profil nebo měsíc). ","")&amp;IF(AND(OR($I119="Honza",$I119="Radek"),OR($J119="",$J119="Nevztahuje se")),"Doplnit charakter (osobní / pracovní). ","")&amp;IF(AND($W119="Schváleno",$AE119&gt;0),"Schváleno, ale má otevřené připomínky. ","")&amp;IF(AND($AA119="Publikováno",$AF119=0),"Publikováno bez záznamu v listu Publikace. ","")&amp;IF(AND($C119&lt;&gt;"",$D119=""),"Chybí číslo dílu série. ","")&amp;IF(AND($E119&lt;&gt;"",$W119&lt;&gt;"Schváleno",$W119&lt;&gt;"Odloženo",$W119&lt;&gt;"Zrušeno",IFERROR(VLOOKUP($E119,Nastavení!$A$30:$G$53,3,FALSE()),0)&gt;0,IFERROR(VLOOKUP($E119,Nastavení!$A$30:$G$53,3,FALSE()),0)&lt;TODAY()),"Neschváleno po termínu cyklu. ","")))</f>
        <v/>
      </c>
    </row>
    <row r="120" spans="1:35" x14ac:dyDescent="0.2">
      <c r="A120" s="35"/>
      <c r="B120" s="11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11"/>
      <c r="N120" s="11"/>
      <c r="O120" s="11"/>
      <c r="P120" s="11"/>
      <c r="Q120" s="11"/>
      <c r="R120" s="11"/>
      <c r="S120" s="11"/>
      <c r="T120" s="35"/>
      <c r="U120" s="36"/>
      <c r="V120" s="11"/>
      <c r="W120" s="35"/>
      <c r="X120" s="35"/>
      <c r="Y120" s="36"/>
      <c r="Z120" s="11"/>
      <c r="AA120" s="35"/>
      <c r="AB120" s="36"/>
      <c r="AC120" s="35"/>
      <c r="AD120" s="35"/>
      <c r="AE120" s="37" t="str">
        <f>IF($A120="","",COUNTIFS(Připomínky!$A$4:$A$503,$A120,Připomínky!$J$4:$J$503,"Nevyřešeno"))</f>
        <v/>
      </c>
      <c r="AF120" s="37" t="str">
        <f>IF($A120="","",COUNTIFS(Publikace!$A$4:$A$503,$A120))</f>
        <v/>
      </c>
      <c r="AG120" s="38" t="str">
        <f>IF($A120="","",IF(AF120=0,"",_xlfn.MINIFS(Publikace!$E$4:$E$503,Publikace!$A$4:$A$503,$A120)))</f>
        <v/>
      </c>
      <c r="AH120" s="37" t="str">
        <f t="shared" si="1"/>
        <v/>
      </c>
      <c r="AI120" s="39" t="str">
        <f ca="1">IF($A120="","",TRIM(IF(AND($U120&lt;&gt;"",$U120&lt;TODAY(),$W120&lt;&gt;"Schváleno",$W120&lt;&gt;"Odloženo",$W120&lt;&gt;"Zrušeno"),"Po termínu odevzdání. ","")&amp;IF(AND($W120="Schváleno",OR($X120="",$Y120="")),"Schváleno bez jména / data. ","")&amp;IF(OR($G120="",$H120="",$I120="",$F120=""),"Chybí zařazení (kategorie, typ, profil nebo měsíc). ","")&amp;IF(AND(OR($I120="Honza",$I120="Radek"),OR($J120="",$J120="Nevztahuje se")),"Doplnit charakter (osobní / pracovní). ","")&amp;IF(AND($W120="Schváleno",$AE120&gt;0),"Schváleno, ale má otevřené připomínky. ","")&amp;IF(AND($AA120="Publikováno",$AF120=0),"Publikováno bez záznamu v listu Publikace. ","")&amp;IF(AND($C120&lt;&gt;"",$D120=""),"Chybí číslo dílu série. ","")&amp;IF(AND($E120&lt;&gt;"",$W120&lt;&gt;"Schváleno",$W120&lt;&gt;"Odloženo",$W120&lt;&gt;"Zrušeno",IFERROR(VLOOKUP($E120,Nastavení!$A$30:$G$53,3,FALSE()),0)&gt;0,IFERROR(VLOOKUP($E120,Nastavení!$A$30:$G$53,3,FALSE()),0)&lt;TODAY()),"Neschváleno po termínu cyklu. ","")))</f>
        <v/>
      </c>
    </row>
    <row r="121" spans="1:35" x14ac:dyDescent="0.2">
      <c r="A121" s="35"/>
      <c r="B121" s="11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1"/>
      <c r="N121" s="11"/>
      <c r="O121" s="11"/>
      <c r="P121" s="11"/>
      <c r="Q121" s="11"/>
      <c r="R121" s="11"/>
      <c r="S121" s="11"/>
      <c r="T121" s="35"/>
      <c r="U121" s="36"/>
      <c r="V121" s="11"/>
      <c r="W121" s="35"/>
      <c r="X121" s="35"/>
      <c r="Y121" s="36"/>
      <c r="Z121" s="11"/>
      <c r="AA121" s="35"/>
      <c r="AB121" s="36"/>
      <c r="AC121" s="35"/>
      <c r="AD121" s="35"/>
      <c r="AE121" s="37" t="str">
        <f>IF($A121="","",COUNTIFS(Připomínky!$A$4:$A$503,$A121,Připomínky!$J$4:$J$503,"Nevyřešeno"))</f>
        <v/>
      </c>
      <c r="AF121" s="37" t="str">
        <f>IF($A121="","",COUNTIFS(Publikace!$A$4:$A$503,$A121))</f>
        <v/>
      </c>
      <c r="AG121" s="38" t="str">
        <f>IF($A121="","",IF(AF121=0,"",_xlfn.MINIFS(Publikace!$E$4:$E$503,Publikace!$A$4:$A$503,$A121)))</f>
        <v/>
      </c>
      <c r="AH121" s="37" t="str">
        <f t="shared" si="1"/>
        <v/>
      </c>
      <c r="AI121" s="39" t="str">
        <f ca="1">IF($A121="","",TRIM(IF(AND($U121&lt;&gt;"",$U121&lt;TODAY(),$W121&lt;&gt;"Schváleno",$W121&lt;&gt;"Odloženo",$W121&lt;&gt;"Zrušeno"),"Po termínu odevzdání. ","")&amp;IF(AND($W121="Schváleno",OR($X121="",$Y121="")),"Schváleno bez jména / data. ","")&amp;IF(OR($G121="",$H121="",$I121="",$F121=""),"Chybí zařazení (kategorie, typ, profil nebo měsíc). ","")&amp;IF(AND(OR($I121="Honza",$I121="Radek"),OR($J121="",$J121="Nevztahuje se")),"Doplnit charakter (osobní / pracovní). ","")&amp;IF(AND($W121="Schváleno",$AE121&gt;0),"Schváleno, ale má otevřené připomínky. ","")&amp;IF(AND($AA121="Publikováno",$AF121=0),"Publikováno bez záznamu v listu Publikace. ","")&amp;IF(AND($C121&lt;&gt;"",$D121=""),"Chybí číslo dílu série. ","")&amp;IF(AND($E121&lt;&gt;"",$W121&lt;&gt;"Schváleno",$W121&lt;&gt;"Odloženo",$W121&lt;&gt;"Zrušeno",IFERROR(VLOOKUP($E121,Nastavení!$A$30:$G$53,3,FALSE()),0)&gt;0,IFERROR(VLOOKUP($E121,Nastavení!$A$30:$G$53,3,FALSE()),0)&lt;TODAY()),"Neschváleno po termínu cyklu. ","")))</f>
        <v/>
      </c>
    </row>
    <row r="122" spans="1:35" x14ac:dyDescent="0.2">
      <c r="A122" s="35"/>
      <c r="B122" s="11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11"/>
      <c r="N122" s="11"/>
      <c r="O122" s="11"/>
      <c r="P122" s="11"/>
      <c r="Q122" s="11"/>
      <c r="R122" s="11"/>
      <c r="S122" s="11"/>
      <c r="T122" s="35"/>
      <c r="U122" s="36"/>
      <c r="V122" s="11"/>
      <c r="W122" s="35"/>
      <c r="X122" s="35"/>
      <c r="Y122" s="36"/>
      <c r="Z122" s="11"/>
      <c r="AA122" s="35"/>
      <c r="AB122" s="36"/>
      <c r="AC122" s="35"/>
      <c r="AD122" s="35"/>
      <c r="AE122" s="37" t="str">
        <f>IF($A122="","",COUNTIFS(Připomínky!$A$4:$A$503,$A122,Připomínky!$J$4:$J$503,"Nevyřešeno"))</f>
        <v/>
      </c>
      <c r="AF122" s="37" t="str">
        <f>IF($A122="","",COUNTIFS(Publikace!$A$4:$A$503,$A122))</f>
        <v/>
      </c>
      <c r="AG122" s="38" t="str">
        <f>IF($A122="","",IF(AF122=0,"",_xlfn.MINIFS(Publikace!$E$4:$E$503,Publikace!$A$4:$A$503,$A122)))</f>
        <v/>
      </c>
      <c r="AH122" s="37" t="str">
        <f t="shared" si="1"/>
        <v/>
      </c>
      <c r="AI122" s="39" t="str">
        <f ca="1">IF($A122="","",TRIM(IF(AND($U122&lt;&gt;"",$U122&lt;TODAY(),$W122&lt;&gt;"Schváleno",$W122&lt;&gt;"Odloženo",$W122&lt;&gt;"Zrušeno"),"Po termínu odevzdání. ","")&amp;IF(AND($W122="Schváleno",OR($X122="",$Y122="")),"Schváleno bez jména / data. ","")&amp;IF(OR($G122="",$H122="",$I122="",$F122=""),"Chybí zařazení (kategorie, typ, profil nebo měsíc). ","")&amp;IF(AND(OR($I122="Honza",$I122="Radek"),OR($J122="",$J122="Nevztahuje se")),"Doplnit charakter (osobní / pracovní). ","")&amp;IF(AND($W122="Schváleno",$AE122&gt;0),"Schváleno, ale má otevřené připomínky. ","")&amp;IF(AND($AA122="Publikováno",$AF122=0),"Publikováno bez záznamu v listu Publikace. ","")&amp;IF(AND($C122&lt;&gt;"",$D122=""),"Chybí číslo dílu série. ","")&amp;IF(AND($E122&lt;&gt;"",$W122&lt;&gt;"Schváleno",$W122&lt;&gt;"Odloženo",$W122&lt;&gt;"Zrušeno",IFERROR(VLOOKUP($E122,Nastavení!$A$30:$G$53,3,FALSE()),0)&gt;0,IFERROR(VLOOKUP($E122,Nastavení!$A$30:$G$53,3,FALSE()),0)&lt;TODAY()),"Neschváleno po termínu cyklu. ","")))</f>
        <v/>
      </c>
    </row>
    <row r="123" spans="1:35" x14ac:dyDescent="0.2">
      <c r="A123" s="35"/>
      <c r="B123" s="11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11"/>
      <c r="N123" s="11"/>
      <c r="O123" s="11"/>
      <c r="P123" s="11"/>
      <c r="Q123" s="11"/>
      <c r="R123" s="11"/>
      <c r="S123" s="11"/>
      <c r="T123" s="35"/>
      <c r="U123" s="36"/>
      <c r="V123" s="11"/>
      <c r="W123" s="35"/>
      <c r="X123" s="35"/>
      <c r="Y123" s="36"/>
      <c r="Z123" s="11"/>
      <c r="AA123" s="35"/>
      <c r="AB123" s="36"/>
      <c r="AC123" s="35"/>
      <c r="AD123" s="35"/>
      <c r="AE123" s="37" t="str">
        <f>IF($A123="","",COUNTIFS(Připomínky!$A$4:$A$503,$A123,Připomínky!$J$4:$J$503,"Nevyřešeno"))</f>
        <v/>
      </c>
      <c r="AF123" s="37" t="str">
        <f>IF($A123="","",COUNTIFS(Publikace!$A$4:$A$503,$A123))</f>
        <v/>
      </c>
      <c r="AG123" s="38" t="str">
        <f>IF($A123="","",IF(AF123=0,"",_xlfn.MINIFS(Publikace!$E$4:$E$503,Publikace!$A$4:$A$503,$A123)))</f>
        <v/>
      </c>
      <c r="AH123" s="37" t="str">
        <f t="shared" si="1"/>
        <v/>
      </c>
      <c r="AI123" s="39" t="str">
        <f ca="1">IF($A123="","",TRIM(IF(AND($U123&lt;&gt;"",$U123&lt;TODAY(),$W123&lt;&gt;"Schváleno",$W123&lt;&gt;"Odloženo",$W123&lt;&gt;"Zrušeno"),"Po termínu odevzdání. ","")&amp;IF(AND($W123="Schváleno",OR($X123="",$Y123="")),"Schváleno bez jména / data. ","")&amp;IF(OR($G123="",$H123="",$I123="",$F123=""),"Chybí zařazení (kategorie, typ, profil nebo měsíc). ","")&amp;IF(AND(OR($I123="Honza",$I123="Radek"),OR($J123="",$J123="Nevztahuje se")),"Doplnit charakter (osobní / pracovní). ","")&amp;IF(AND($W123="Schváleno",$AE123&gt;0),"Schváleno, ale má otevřené připomínky. ","")&amp;IF(AND($AA123="Publikováno",$AF123=0),"Publikováno bez záznamu v listu Publikace. ","")&amp;IF(AND($C123&lt;&gt;"",$D123=""),"Chybí číslo dílu série. ","")&amp;IF(AND($E123&lt;&gt;"",$W123&lt;&gt;"Schváleno",$W123&lt;&gt;"Odloženo",$W123&lt;&gt;"Zrušeno",IFERROR(VLOOKUP($E123,Nastavení!$A$30:$G$53,3,FALSE()),0)&gt;0,IFERROR(VLOOKUP($E123,Nastavení!$A$30:$G$53,3,FALSE()),0)&lt;TODAY()),"Neschváleno po termínu cyklu. ","")))</f>
        <v/>
      </c>
    </row>
    <row r="124" spans="1:35" x14ac:dyDescent="0.2">
      <c r="A124" s="35"/>
      <c r="B124" s="11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11"/>
      <c r="N124" s="11"/>
      <c r="O124" s="11"/>
      <c r="P124" s="11"/>
      <c r="Q124" s="11"/>
      <c r="R124" s="11"/>
      <c r="S124" s="11"/>
      <c r="T124" s="35"/>
      <c r="U124" s="36"/>
      <c r="V124" s="11"/>
      <c r="W124" s="35"/>
      <c r="X124" s="35"/>
      <c r="Y124" s="36"/>
      <c r="Z124" s="11"/>
      <c r="AA124" s="35"/>
      <c r="AB124" s="36"/>
      <c r="AC124" s="35"/>
      <c r="AD124" s="35"/>
      <c r="AE124" s="37" t="str">
        <f>IF($A124="","",COUNTIFS(Připomínky!$A$4:$A$503,$A124,Připomínky!$J$4:$J$503,"Nevyřešeno"))</f>
        <v/>
      </c>
      <c r="AF124" s="37" t="str">
        <f>IF($A124="","",COUNTIFS(Publikace!$A$4:$A$503,$A124))</f>
        <v/>
      </c>
      <c r="AG124" s="38" t="str">
        <f>IF($A124="","",IF(AF124=0,"",_xlfn.MINIFS(Publikace!$E$4:$E$503,Publikace!$A$4:$A$503,$A124)))</f>
        <v/>
      </c>
      <c r="AH124" s="37" t="str">
        <f t="shared" si="1"/>
        <v/>
      </c>
      <c r="AI124" s="39" t="str">
        <f ca="1">IF($A124="","",TRIM(IF(AND($U124&lt;&gt;"",$U124&lt;TODAY(),$W124&lt;&gt;"Schváleno",$W124&lt;&gt;"Odloženo",$W124&lt;&gt;"Zrušeno"),"Po termínu odevzdání. ","")&amp;IF(AND($W124="Schváleno",OR($X124="",$Y124="")),"Schváleno bez jména / data. ","")&amp;IF(OR($G124="",$H124="",$I124="",$F124=""),"Chybí zařazení (kategorie, typ, profil nebo měsíc). ","")&amp;IF(AND(OR($I124="Honza",$I124="Radek"),OR($J124="",$J124="Nevztahuje se")),"Doplnit charakter (osobní / pracovní). ","")&amp;IF(AND($W124="Schváleno",$AE124&gt;0),"Schváleno, ale má otevřené připomínky. ","")&amp;IF(AND($AA124="Publikováno",$AF124=0),"Publikováno bez záznamu v listu Publikace. ","")&amp;IF(AND($C124&lt;&gt;"",$D124=""),"Chybí číslo dílu série. ","")&amp;IF(AND($E124&lt;&gt;"",$W124&lt;&gt;"Schváleno",$W124&lt;&gt;"Odloženo",$W124&lt;&gt;"Zrušeno",IFERROR(VLOOKUP($E124,Nastavení!$A$30:$G$53,3,FALSE()),0)&gt;0,IFERROR(VLOOKUP($E124,Nastavení!$A$30:$G$53,3,FALSE()),0)&lt;TODAY()),"Neschváleno po termínu cyklu. ","")))</f>
        <v/>
      </c>
    </row>
    <row r="125" spans="1:35" x14ac:dyDescent="0.2">
      <c r="A125" s="35"/>
      <c r="B125" s="11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11"/>
      <c r="N125" s="11"/>
      <c r="O125" s="11"/>
      <c r="P125" s="11"/>
      <c r="Q125" s="11"/>
      <c r="R125" s="11"/>
      <c r="S125" s="11"/>
      <c r="T125" s="35"/>
      <c r="U125" s="36"/>
      <c r="V125" s="11"/>
      <c r="W125" s="35"/>
      <c r="X125" s="35"/>
      <c r="Y125" s="36"/>
      <c r="Z125" s="11"/>
      <c r="AA125" s="35"/>
      <c r="AB125" s="36"/>
      <c r="AC125" s="35"/>
      <c r="AD125" s="35"/>
      <c r="AE125" s="37" t="str">
        <f>IF($A125="","",COUNTIFS(Připomínky!$A$4:$A$503,$A125,Připomínky!$J$4:$J$503,"Nevyřešeno"))</f>
        <v/>
      </c>
      <c r="AF125" s="37" t="str">
        <f>IF($A125="","",COUNTIFS(Publikace!$A$4:$A$503,$A125))</f>
        <v/>
      </c>
      <c r="AG125" s="38" t="str">
        <f>IF($A125="","",IF(AF125=0,"",_xlfn.MINIFS(Publikace!$E$4:$E$503,Publikace!$A$4:$A$503,$A125)))</f>
        <v/>
      </c>
      <c r="AH125" s="37" t="str">
        <f t="shared" si="1"/>
        <v/>
      </c>
      <c r="AI125" s="39" t="str">
        <f ca="1">IF($A125="","",TRIM(IF(AND($U125&lt;&gt;"",$U125&lt;TODAY(),$W125&lt;&gt;"Schváleno",$W125&lt;&gt;"Odloženo",$W125&lt;&gt;"Zrušeno"),"Po termínu odevzdání. ","")&amp;IF(AND($W125="Schváleno",OR($X125="",$Y125="")),"Schváleno bez jména / data. ","")&amp;IF(OR($G125="",$H125="",$I125="",$F125=""),"Chybí zařazení (kategorie, typ, profil nebo měsíc). ","")&amp;IF(AND(OR($I125="Honza",$I125="Radek"),OR($J125="",$J125="Nevztahuje se")),"Doplnit charakter (osobní / pracovní). ","")&amp;IF(AND($W125="Schváleno",$AE125&gt;0),"Schváleno, ale má otevřené připomínky. ","")&amp;IF(AND($AA125="Publikováno",$AF125=0),"Publikováno bez záznamu v listu Publikace. ","")&amp;IF(AND($C125&lt;&gt;"",$D125=""),"Chybí číslo dílu série. ","")&amp;IF(AND($E125&lt;&gt;"",$W125&lt;&gt;"Schváleno",$W125&lt;&gt;"Odloženo",$W125&lt;&gt;"Zrušeno",IFERROR(VLOOKUP($E125,Nastavení!$A$30:$G$53,3,FALSE()),0)&gt;0,IFERROR(VLOOKUP($E125,Nastavení!$A$30:$G$53,3,FALSE()),0)&lt;TODAY()),"Neschváleno po termínu cyklu. ","")))</f>
        <v/>
      </c>
    </row>
    <row r="126" spans="1:35" x14ac:dyDescent="0.2">
      <c r="A126" s="35"/>
      <c r="B126" s="11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11"/>
      <c r="N126" s="11"/>
      <c r="O126" s="11"/>
      <c r="P126" s="11"/>
      <c r="Q126" s="11"/>
      <c r="R126" s="11"/>
      <c r="S126" s="11"/>
      <c r="T126" s="35"/>
      <c r="U126" s="36"/>
      <c r="V126" s="11"/>
      <c r="W126" s="35"/>
      <c r="X126" s="35"/>
      <c r="Y126" s="36"/>
      <c r="Z126" s="11"/>
      <c r="AA126" s="35"/>
      <c r="AB126" s="36"/>
      <c r="AC126" s="35"/>
      <c r="AD126" s="35"/>
      <c r="AE126" s="37" t="str">
        <f>IF($A126="","",COUNTIFS(Připomínky!$A$4:$A$503,$A126,Připomínky!$J$4:$J$503,"Nevyřešeno"))</f>
        <v/>
      </c>
      <c r="AF126" s="37" t="str">
        <f>IF($A126="","",COUNTIFS(Publikace!$A$4:$A$503,$A126))</f>
        <v/>
      </c>
      <c r="AG126" s="38" t="str">
        <f>IF($A126="","",IF(AF126=0,"",_xlfn.MINIFS(Publikace!$E$4:$E$503,Publikace!$A$4:$A$503,$A126)))</f>
        <v/>
      </c>
      <c r="AH126" s="37" t="str">
        <f t="shared" si="1"/>
        <v/>
      </c>
      <c r="AI126" s="39" t="str">
        <f ca="1">IF($A126="","",TRIM(IF(AND($U126&lt;&gt;"",$U126&lt;TODAY(),$W126&lt;&gt;"Schváleno",$W126&lt;&gt;"Odloženo",$W126&lt;&gt;"Zrušeno"),"Po termínu odevzdání. ","")&amp;IF(AND($W126="Schváleno",OR($X126="",$Y126="")),"Schváleno bez jména / data. ","")&amp;IF(OR($G126="",$H126="",$I126="",$F126=""),"Chybí zařazení (kategorie, typ, profil nebo měsíc). ","")&amp;IF(AND(OR($I126="Honza",$I126="Radek"),OR($J126="",$J126="Nevztahuje se")),"Doplnit charakter (osobní / pracovní). ","")&amp;IF(AND($W126="Schváleno",$AE126&gt;0),"Schváleno, ale má otevřené připomínky. ","")&amp;IF(AND($AA126="Publikováno",$AF126=0),"Publikováno bez záznamu v listu Publikace. ","")&amp;IF(AND($C126&lt;&gt;"",$D126=""),"Chybí číslo dílu série. ","")&amp;IF(AND($E126&lt;&gt;"",$W126&lt;&gt;"Schváleno",$W126&lt;&gt;"Odloženo",$W126&lt;&gt;"Zrušeno",IFERROR(VLOOKUP($E126,Nastavení!$A$30:$G$53,3,FALSE()),0)&gt;0,IFERROR(VLOOKUP($E126,Nastavení!$A$30:$G$53,3,FALSE()),0)&lt;TODAY()),"Neschváleno po termínu cyklu. ","")))</f>
        <v/>
      </c>
    </row>
    <row r="127" spans="1:35" x14ac:dyDescent="0.2">
      <c r="A127" s="35"/>
      <c r="B127" s="11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11"/>
      <c r="N127" s="11"/>
      <c r="O127" s="11"/>
      <c r="P127" s="11"/>
      <c r="Q127" s="11"/>
      <c r="R127" s="11"/>
      <c r="S127" s="11"/>
      <c r="T127" s="35"/>
      <c r="U127" s="36"/>
      <c r="V127" s="11"/>
      <c r="W127" s="35"/>
      <c r="X127" s="35"/>
      <c r="Y127" s="36"/>
      <c r="Z127" s="11"/>
      <c r="AA127" s="35"/>
      <c r="AB127" s="36"/>
      <c r="AC127" s="35"/>
      <c r="AD127" s="35"/>
      <c r="AE127" s="37" t="str">
        <f>IF($A127="","",COUNTIFS(Připomínky!$A$4:$A$503,$A127,Připomínky!$J$4:$J$503,"Nevyřešeno"))</f>
        <v/>
      </c>
      <c r="AF127" s="37" t="str">
        <f>IF($A127="","",COUNTIFS(Publikace!$A$4:$A$503,$A127))</f>
        <v/>
      </c>
      <c r="AG127" s="38" t="str">
        <f>IF($A127="","",IF(AF127=0,"",_xlfn.MINIFS(Publikace!$E$4:$E$503,Publikace!$A$4:$A$503,$A127)))</f>
        <v/>
      </c>
      <c r="AH127" s="37" t="str">
        <f t="shared" si="1"/>
        <v/>
      </c>
      <c r="AI127" s="39" t="str">
        <f ca="1">IF($A127="","",TRIM(IF(AND($U127&lt;&gt;"",$U127&lt;TODAY(),$W127&lt;&gt;"Schváleno",$W127&lt;&gt;"Odloženo",$W127&lt;&gt;"Zrušeno"),"Po termínu odevzdání. ","")&amp;IF(AND($W127="Schváleno",OR($X127="",$Y127="")),"Schváleno bez jména / data. ","")&amp;IF(OR($G127="",$H127="",$I127="",$F127=""),"Chybí zařazení (kategorie, typ, profil nebo měsíc). ","")&amp;IF(AND(OR($I127="Honza",$I127="Radek"),OR($J127="",$J127="Nevztahuje se")),"Doplnit charakter (osobní / pracovní). ","")&amp;IF(AND($W127="Schváleno",$AE127&gt;0),"Schváleno, ale má otevřené připomínky. ","")&amp;IF(AND($AA127="Publikováno",$AF127=0),"Publikováno bez záznamu v listu Publikace. ","")&amp;IF(AND($C127&lt;&gt;"",$D127=""),"Chybí číslo dílu série. ","")&amp;IF(AND($E127&lt;&gt;"",$W127&lt;&gt;"Schváleno",$W127&lt;&gt;"Odloženo",$W127&lt;&gt;"Zrušeno",IFERROR(VLOOKUP($E127,Nastavení!$A$30:$G$53,3,FALSE()),0)&gt;0,IFERROR(VLOOKUP($E127,Nastavení!$A$30:$G$53,3,FALSE()),0)&lt;TODAY()),"Neschváleno po termínu cyklu. ","")))</f>
        <v/>
      </c>
    </row>
    <row r="128" spans="1:35" x14ac:dyDescent="0.2">
      <c r="A128" s="35"/>
      <c r="B128" s="11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11"/>
      <c r="N128" s="11"/>
      <c r="O128" s="11"/>
      <c r="P128" s="11"/>
      <c r="Q128" s="11"/>
      <c r="R128" s="11"/>
      <c r="S128" s="11"/>
      <c r="T128" s="35"/>
      <c r="U128" s="36"/>
      <c r="V128" s="11"/>
      <c r="W128" s="35"/>
      <c r="X128" s="35"/>
      <c r="Y128" s="36"/>
      <c r="Z128" s="11"/>
      <c r="AA128" s="35"/>
      <c r="AB128" s="36"/>
      <c r="AC128" s="35"/>
      <c r="AD128" s="35"/>
      <c r="AE128" s="37" t="str">
        <f>IF($A128="","",COUNTIFS(Připomínky!$A$4:$A$503,$A128,Připomínky!$J$4:$J$503,"Nevyřešeno"))</f>
        <v/>
      </c>
      <c r="AF128" s="37" t="str">
        <f>IF($A128="","",COUNTIFS(Publikace!$A$4:$A$503,$A128))</f>
        <v/>
      </c>
      <c r="AG128" s="38" t="str">
        <f>IF($A128="","",IF(AF128=0,"",_xlfn.MINIFS(Publikace!$E$4:$E$503,Publikace!$A$4:$A$503,$A128)))</f>
        <v/>
      </c>
      <c r="AH128" s="37" t="str">
        <f t="shared" si="1"/>
        <v/>
      </c>
      <c r="AI128" s="39" t="str">
        <f ca="1">IF($A128="","",TRIM(IF(AND($U128&lt;&gt;"",$U128&lt;TODAY(),$W128&lt;&gt;"Schváleno",$W128&lt;&gt;"Odloženo",$W128&lt;&gt;"Zrušeno"),"Po termínu odevzdání. ","")&amp;IF(AND($W128="Schváleno",OR($X128="",$Y128="")),"Schváleno bez jména / data. ","")&amp;IF(OR($G128="",$H128="",$I128="",$F128=""),"Chybí zařazení (kategorie, typ, profil nebo měsíc). ","")&amp;IF(AND(OR($I128="Honza",$I128="Radek"),OR($J128="",$J128="Nevztahuje se")),"Doplnit charakter (osobní / pracovní). ","")&amp;IF(AND($W128="Schváleno",$AE128&gt;0),"Schváleno, ale má otevřené připomínky. ","")&amp;IF(AND($AA128="Publikováno",$AF128=0),"Publikováno bez záznamu v listu Publikace. ","")&amp;IF(AND($C128&lt;&gt;"",$D128=""),"Chybí číslo dílu série. ","")&amp;IF(AND($E128&lt;&gt;"",$W128&lt;&gt;"Schváleno",$W128&lt;&gt;"Odloženo",$W128&lt;&gt;"Zrušeno",IFERROR(VLOOKUP($E128,Nastavení!$A$30:$G$53,3,FALSE()),0)&gt;0,IFERROR(VLOOKUP($E128,Nastavení!$A$30:$G$53,3,FALSE()),0)&lt;TODAY()),"Neschváleno po termínu cyklu. ","")))</f>
        <v/>
      </c>
    </row>
    <row r="129" spans="1:35" x14ac:dyDescent="0.2">
      <c r="A129" s="35"/>
      <c r="B129" s="11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11"/>
      <c r="N129" s="11"/>
      <c r="O129" s="11"/>
      <c r="P129" s="11"/>
      <c r="Q129" s="11"/>
      <c r="R129" s="11"/>
      <c r="S129" s="11"/>
      <c r="T129" s="35"/>
      <c r="U129" s="36"/>
      <c r="V129" s="11"/>
      <c r="W129" s="35"/>
      <c r="X129" s="35"/>
      <c r="Y129" s="36"/>
      <c r="Z129" s="11"/>
      <c r="AA129" s="35"/>
      <c r="AB129" s="36"/>
      <c r="AC129" s="35"/>
      <c r="AD129" s="35"/>
      <c r="AE129" s="37" t="str">
        <f>IF($A129="","",COUNTIFS(Připomínky!$A$4:$A$503,$A129,Připomínky!$J$4:$J$503,"Nevyřešeno"))</f>
        <v/>
      </c>
      <c r="AF129" s="37" t="str">
        <f>IF($A129="","",COUNTIFS(Publikace!$A$4:$A$503,$A129))</f>
        <v/>
      </c>
      <c r="AG129" s="38" t="str">
        <f>IF($A129="","",IF(AF129=0,"",_xlfn.MINIFS(Publikace!$E$4:$E$503,Publikace!$A$4:$A$503,$A129)))</f>
        <v/>
      </c>
      <c r="AH129" s="37" t="str">
        <f t="shared" si="1"/>
        <v/>
      </c>
      <c r="AI129" s="39" t="str">
        <f ca="1">IF($A129="","",TRIM(IF(AND($U129&lt;&gt;"",$U129&lt;TODAY(),$W129&lt;&gt;"Schváleno",$W129&lt;&gt;"Odloženo",$W129&lt;&gt;"Zrušeno"),"Po termínu odevzdání. ","")&amp;IF(AND($W129="Schváleno",OR($X129="",$Y129="")),"Schváleno bez jména / data. ","")&amp;IF(OR($G129="",$H129="",$I129="",$F129=""),"Chybí zařazení (kategorie, typ, profil nebo měsíc). ","")&amp;IF(AND(OR($I129="Honza",$I129="Radek"),OR($J129="",$J129="Nevztahuje se")),"Doplnit charakter (osobní / pracovní). ","")&amp;IF(AND($W129="Schváleno",$AE129&gt;0),"Schváleno, ale má otevřené připomínky. ","")&amp;IF(AND($AA129="Publikováno",$AF129=0),"Publikováno bez záznamu v listu Publikace. ","")&amp;IF(AND($C129&lt;&gt;"",$D129=""),"Chybí číslo dílu série. ","")&amp;IF(AND($E129&lt;&gt;"",$W129&lt;&gt;"Schváleno",$W129&lt;&gt;"Odloženo",$W129&lt;&gt;"Zrušeno",IFERROR(VLOOKUP($E129,Nastavení!$A$30:$G$53,3,FALSE()),0)&gt;0,IFERROR(VLOOKUP($E129,Nastavení!$A$30:$G$53,3,FALSE()),0)&lt;TODAY()),"Neschváleno po termínu cyklu. ","")))</f>
        <v/>
      </c>
    </row>
    <row r="130" spans="1:35" x14ac:dyDescent="0.2">
      <c r="A130" s="35"/>
      <c r="B130" s="11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11"/>
      <c r="N130" s="11"/>
      <c r="O130" s="11"/>
      <c r="P130" s="11"/>
      <c r="Q130" s="11"/>
      <c r="R130" s="11"/>
      <c r="S130" s="11"/>
      <c r="T130" s="35"/>
      <c r="U130" s="36"/>
      <c r="V130" s="11"/>
      <c r="W130" s="35"/>
      <c r="X130" s="35"/>
      <c r="Y130" s="36"/>
      <c r="Z130" s="11"/>
      <c r="AA130" s="35"/>
      <c r="AB130" s="36"/>
      <c r="AC130" s="35"/>
      <c r="AD130" s="35"/>
      <c r="AE130" s="37" t="str">
        <f>IF($A130="","",COUNTIFS(Připomínky!$A$4:$A$503,$A130,Připomínky!$J$4:$J$503,"Nevyřešeno"))</f>
        <v/>
      </c>
      <c r="AF130" s="37" t="str">
        <f>IF($A130="","",COUNTIFS(Publikace!$A$4:$A$503,$A130))</f>
        <v/>
      </c>
      <c r="AG130" s="38" t="str">
        <f>IF($A130="","",IF(AF130=0,"",_xlfn.MINIFS(Publikace!$E$4:$E$503,Publikace!$A$4:$A$503,$A130)))</f>
        <v/>
      </c>
      <c r="AH130" s="37" t="str">
        <f t="shared" si="1"/>
        <v/>
      </c>
      <c r="AI130" s="39" t="str">
        <f ca="1">IF($A130="","",TRIM(IF(AND($U130&lt;&gt;"",$U130&lt;TODAY(),$W130&lt;&gt;"Schváleno",$W130&lt;&gt;"Odloženo",$W130&lt;&gt;"Zrušeno"),"Po termínu odevzdání. ","")&amp;IF(AND($W130="Schváleno",OR($X130="",$Y130="")),"Schváleno bez jména / data. ","")&amp;IF(OR($G130="",$H130="",$I130="",$F130=""),"Chybí zařazení (kategorie, typ, profil nebo měsíc). ","")&amp;IF(AND(OR($I130="Honza",$I130="Radek"),OR($J130="",$J130="Nevztahuje se")),"Doplnit charakter (osobní / pracovní). ","")&amp;IF(AND($W130="Schváleno",$AE130&gt;0),"Schváleno, ale má otevřené připomínky. ","")&amp;IF(AND($AA130="Publikováno",$AF130=0),"Publikováno bez záznamu v listu Publikace. ","")&amp;IF(AND($C130&lt;&gt;"",$D130=""),"Chybí číslo dílu série. ","")&amp;IF(AND($E130&lt;&gt;"",$W130&lt;&gt;"Schváleno",$W130&lt;&gt;"Odloženo",$W130&lt;&gt;"Zrušeno",IFERROR(VLOOKUP($E130,Nastavení!$A$30:$G$53,3,FALSE()),0)&gt;0,IFERROR(VLOOKUP($E130,Nastavení!$A$30:$G$53,3,FALSE()),0)&lt;TODAY()),"Neschváleno po termínu cyklu. ","")))</f>
        <v/>
      </c>
    </row>
    <row r="131" spans="1:35" x14ac:dyDescent="0.2">
      <c r="A131" s="35"/>
      <c r="B131" s="11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11"/>
      <c r="N131" s="11"/>
      <c r="O131" s="11"/>
      <c r="P131" s="11"/>
      <c r="Q131" s="11"/>
      <c r="R131" s="11"/>
      <c r="S131" s="11"/>
      <c r="T131" s="35"/>
      <c r="U131" s="36"/>
      <c r="V131" s="11"/>
      <c r="W131" s="35"/>
      <c r="X131" s="35"/>
      <c r="Y131" s="36"/>
      <c r="Z131" s="11"/>
      <c r="AA131" s="35"/>
      <c r="AB131" s="36"/>
      <c r="AC131" s="35"/>
      <c r="AD131" s="35"/>
      <c r="AE131" s="37" t="str">
        <f>IF($A131="","",COUNTIFS(Připomínky!$A$4:$A$503,$A131,Připomínky!$J$4:$J$503,"Nevyřešeno"))</f>
        <v/>
      </c>
      <c r="AF131" s="37" t="str">
        <f>IF($A131="","",COUNTIFS(Publikace!$A$4:$A$503,$A131))</f>
        <v/>
      </c>
      <c r="AG131" s="38" t="str">
        <f>IF($A131="","",IF(AF131=0,"",_xlfn.MINIFS(Publikace!$E$4:$E$503,Publikace!$A$4:$A$503,$A131)))</f>
        <v/>
      </c>
      <c r="AH131" s="37" t="str">
        <f t="shared" si="1"/>
        <v/>
      </c>
      <c r="AI131" s="39" t="str">
        <f ca="1">IF($A131="","",TRIM(IF(AND($U131&lt;&gt;"",$U131&lt;TODAY(),$W131&lt;&gt;"Schváleno",$W131&lt;&gt;"Odloženo",$W131&lt;&gt;"Zrušeno"),"Po termínu odevzdání. ","")&amp;IF(AND($W131="Schváleno",OR($X131="",$Y131="")),"Schváleno bez jména / data. ","")&amp;IF(OR($G131="",$H131="",$I131="",$F131=""),"Chybí zařazení (kategorie, typ, profil nebo měsíc). ","")&amp;IF(AND(OR($I131="Honza",$I131="Radek"),OR($J131="",$J131="Nevztahuje se")),"Doplnit charakter (osobní / pracovní). ","")&amp;IF(AND($W131="Schváleno",$AE131&gt;0),"Schváleno, ale má otevřené připomínky. ","")&amp;IF(AND($AA131="Publikováno",$AF131=0),"Publikováno bez záznamu v listu Publikace. ","")&amp;IF(AND($C131&lt;&gt;"",$D131=""),"Chybí číslo dílu série. ","")&amp;IF(AND($E131&lt;&gt;"",$W131&lt;&gt;"Schváleno",$W131&lt;&gt;"Odloženo",$W131&lt;&gt;"Zrušeno",IFERROR(VLOOKUP($E131,Nastavení!$A$30:$G$53,3,FALSE()),0)&gt;0,IFERROR(VLOOKUP($E131,Nastavení!$A$30:$G$53,3,FALSE()),0)&lt;TODAY()),"Neschváleno po termínu cyklu. ","")))</f>
        <v/>
      </c>
    </row>
    <row r="132" spans="1:35" x14ac:dyDescent="0.2">
      <c r="A132" s="35"/>
      <c r="B132" s="11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11"/>
      <c r="N132" s="11"/>
      <c r="O132" s="11"/>
      <c r="P132" s="11"/>
      <c r="Q132" s="11"/>
      <c r="R132" s="11"/>
      <c r="S132" s="11"/>
      <c r="T132" s="35"/>
      <c r="U132" s="36"/>
      <c r="V132" s="11"/>
      <c r="W132" s="35"/>
      <c r="X132" s="35"/>
      <c r="Y132" s="36"/>
      <c r="Z132" s="11"/>
      <c r="AA132" s="35"/>
      <c r="AB132" s="36"/>
      <c r="AC132" s="35"/>
      <c r="AD132" s="35"/>
      <c r="AE132" s="37" t="str">
        <f>IF($A132="","",COUNTIFS(Připomínky!$A$4:$A$503,$A132,Připomínky!$J$4:$J$503,"Nevyřešeno"))</f>
        <v/>
      </c>
      <c r="AF132" s="37" t="str">
        <f>IF($A132="","",COUNTIFS(Publikace!$A$4:$A$503,$A132))</f>
        <v/>
      </c>
      <c r="AG132" s="38" t="str">
        <f>IF($A132="","",IF(AF132=0,"",_xlfn.MINIFS(Publikace!$E$4:$E$503,Publikace!$A$4:$A$503,$A132)))</f>
        <v/>
      </c>
      <c r="AH132" s="37" t="str">
        <f t="shared" ref="AH132:AH195" si="2">IF(AG132="","",YEAR(AG132)&amp;"-"&amp;TEXT(MONTH(AG132),"00"))</f>
        <v/>
      </c>
      <c r="AI132" s="39" t="str">
        <f ca="1">IF($A132="","",TRIM(IF(AND($U132&lt;&gt;"",$U132&lt;TODAY(),$W132&lt;&gt;"Schváleno",$W132&lt;&gt;"Odloženo",$W132&lt;&gt;"Zrušeno"),"Po termínu odevzdání. ","")&amp;IF(AND($W132="Schváleno",OR($X132="",$Y132="")),"Schváleno bez jména / data. ","")&amp;IF(OR($G132="",$H132="",$I132="",$F132=""),"Chybí zařazení (kategorie, typ, profil nebo měsíc). ","")&amp;IF(AND(OR($I132="Honza",$I132="Radek"),OR($J132="",$J132="Nevztahuje se")),"Doplnit charakter (osobní / pracovní). ","")&amp;IF(AND($W132="Schváleno",$AE132&gt;0),"Schváleno, ale má otevřené připomínky. ","")&amp;IF(AND($AA132="Publikováno",$AF132=0),"Publikováno bez záznamu v listu Publikace. ","")&amp;IF(AND($C132&lt;&gt;"",$D132=""),"Chybí číslo dílu série. ","")&amp;IF(AND($E132&lt;&gt;"",$W132&lt;&gt;"Schváleno",$W132&lt;&gt;"Odloženo",$W132&lt;&gt;"Zrušeno",IFERROR(VLOOKUP($E132,Nastavení!$A$30:$G$53,3,FALSE()),0)&gt;0,IFERROR(VLOOKUP($E132,Nastavení!$A$30:$G$53,3,FALSE()),0)&lt;TODAY()),"Neschváleno po termínu cyklu. ","")))</f>
        <v/>
      </c>
    </row>
    <row r="133" spans="1:35" x14ac:dyDescent="0.2">
      <c r="A133" s="35"/>
      <c r="B133" s="11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11"/>
      <c r="N133" s="11"/>
      <c r="O133" s="11"/>
      <c r="P133" s="11"/>
      <c r="Q133" s="11"/>
      <c r="R133" s="11"/>
      <c r="S133" s="11"/>
      <c r="T133" s="35"/>
      <c r="U133" s="36"/>
      <c r="V133" s="11"/>
      <c r="W133" s="35"/>
      <c r="X133" s="35"/>
      <c r="Y133" s="36"/>
      <c r="Z133" s="11"/>
      <c r="AA133" s="35"/>
      <c r="AB133" s="36"/>
      <c r="AC133" s="35"/>
      <c r="AD133" s="35"/>
      <c r="AE133" s="37" t="str">
        <f>IF($A133="","",COUNTIFS(Připomínky!$A$4:$A$503,$A133,Připomínky!$J$4:$J$503,"Nevyřešeno"))</f>
        <v/>
      </c>
      <c r="AF133" s="37" t="str">
        <f>IF($A133="","",COUNTIFS(Publikace!$A$4:$A$503,$A133))</f>
        <v/>
      </c>
      <c r="AG133" s="38" t="str">
        <f>IF($A133="","",IF(AF133=0,"",_xlfn.MINIFS(Publikace!$E$4:$E$503,Publikace!$A$4:$A$503,$A133)))</f>
        <v/>
      </c>
      <c r="AH133" s="37" t="str">
        <f t="shared" si="2"/>
        <v/>
      </c>
      <c r="AI133" s="39" t="str">
        <f ca="1">IF($A133="","",TRIM(IF(AND($U133&lt;&gt;"",$U133&lt;TODAY(),$W133&lt;&gt;"Schváleno",$W133&lt;&gt;"Odloženo",$W133&lt;&gt;"Zrušeno"),"Po termínu odevzdání. ","")&amp;IF(AND($W133="Schváleno",OR($X133="",$Y133="")),"Schváleno bez jména / data. ","")&amp;IF(OR($G133="",$H133="",$I133="",$F133=""),"Chybí zařazení (kategorie, typ, profil nebo měsíc). ","")&amp;IF(AND(OR($I133="Honza",$I133="Radek"),OR($J133="",$J133="Nevztahuje se")),"Doplnit charakter (osobní / pracovní). ","")&amp;IF(AND($W133="Schváleno",$AE133&gt;0),"Schváleno, ale má otevřené připomínky. ","")&amp;IF(AND($AA133="Publikováno",$AF133=0),"Publikováno bez záznamu v listu Publikace. ","")&amp;IF(AND($C133&lt;&gt;"",$D133=""),"Chybí číslo dílu série. ","")&amp;IF(AND($E133&lt;&gt;"",$W133&lt;&gt;"Schváleno",$W133&lt;&gt;"Odloženo",$W133&lt;&gt;"Zrušeno",IFERROR(VLOOKUP($E133,Nastavení!$A$30:$G$53,3,FALSE()),0)&gt;0,IFERROR(VLOOKUP($E133,Nastavení!$A$30:$G$53,3,FALSE()),0)&lt;TODAY()),"Neschváleno po termínu cyklu. ","")))</f>
        <v/>
      </c>
    </row>
    <row r="134" spans="1:35" x14ac:dyDescent="0.2">
      <c r="A134" s="35"/>
      <c r="B134" s="11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11"/>
      <c r="N134" s="11"/>
      <c r="O134" s="11"/>
      <c r="P134" s="11"/>
      <c r="Q134" s="11"/>
      <c r="R134" s="11"/>
      <c r="S134" s="11"/>
      <c r="T134" s="35"/>
      <c r="U134" s="36"/>
      <c r="V134" s="11"/>
      <c r="W134" s="35"/>
      <c r="X134" s="35"/>
      <c r="Y134" s="36"/>
      <c r="Z134" s="11"/>
      <c r="AA134" s="35"/>
      <c r="AB134" s="36"/>
      <c r="AC134" s="35"/>
      <c r="AD134" s="35"/>
      <c r="AE134" s="37" t="str">
        <f>IF($A134="","",COUNTIFS(Připomínky!$A$4:$A$503,$A134,Připomínky!$J$4:$J$503,"Nevyřešeno"))</f>
        <v/>
      </c>
      <c r="AF134" s="37" t="str">
        <f>IF($A134="","",COUNTIFS(Publikace!$A$4:$A$503,$A134))</f>
        <v/>
      </c>
      <c r="AG134" s="38" t="str">
        <f>IF($A134="","",IF(AF134=0,"",_xlfn.MINIFS(Publikace!$E$4:$E$503,Publikace!$A$4:$A$503,$A134)))</f>
        <v/>
      </c>
      <c r="AH134" s="37" t="str">
        <f t="shared" si="2"/>
        <v/>
      </c>
      <c r="AI134" s="39" t="str">
        <f ca="1">IF($A134="","",TRIM(IF(AND($U134&lt;&gt;"",$U134&lt;TODAY(),$W134&lt;&gt;"Schváleno",$W134&lt;&gt;"Odloženo",$W134&lt;&gt;"Zrušeno"),"Po termínu odevzdání. ","")&amp;IF(AND($W134="Schváleno",OR($X134="",$Y134="")),"Schváleno bez jména / data. ","")&amp;IF(OR($G134="",$H134="",$I134="",$F134=""),"Chybí zařazení (kategorie, typ, profil nebo měsíc). ","")&amp;IF(AND(OR($I134="Honza",$I134="Radek"),OR($J134="",$J134="Nevztahuje se")),"Doplnit charakter (osobní / pracovní). ","")&amp;IF(AND($W134="Schváleno",$AE134&gt;0),"Schváleno, ale má otevřené připomínky. ","")&amp;IF(AND($AA134="Publikováno",$AF134=0),"Publikováno bez záznamu v listu Publikace. ","")&amp;IF(AND($C134&lt;&gt;"",$D134=""),"Chybí číslo dílu série. ","")&amp;IF(AND($E134&lt;&gt;"",$W134&lt;&gt;"Schváleno",$W134&lt;&gt;"Odloženo",$W134&lt;&gt;"Zrušeno",IFERROR(VLOOKUP($E134,Nastavení!$A$30:$G$53,3,FALSE()),0)&gt;0,IFERROR(VLOOKUP($E134,Nastavení!$A$30:$G$53,3,FALSE()),0)&lt;TODAY()),"Neschváleno po termínu cyklu. ","")))</f>
        <v/>
      </c>
    </row>
    <row r="135" spans="1:35" x14ac:dyDescent="0.2">
      <c r="A135" s="35"/>
      <c r="B135" s="11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11"/>
      <c r="N135" s="11"/>
      <c r="O135" s="11"/>
      <c r="P135" s="11"/>
      <c r="Q135" s="11"/>
      <c r="R135" s="11"/>
      <c r="S135" s="11"/>
      <c r="T135" s="35"/>
      <c r="U135" s="36"/>
      <c r="V135" s="11"/>
      <c r="W135" s="35"/>
      <c r="X135" s="35"/>
      <c r="Y135" s="36"/>
      <c r="Z135" s="11"/>
      <c r="AA135" s="35"/>
      <c r="AB135" s="36"/>
      <c r="AC135" s="35"/>
      <c r="AD135" s="35"/>
      <c r="AE135" s="37" t="str">
        <f>IF($A135="","",COUNTIFS(Připomínky!$A$4:$A$503,$A135,Připomínky!$J$4:$J$503,"Nevyřešeno"))</f>
        <v/>
      </c>
      <c r="AF135" s="37" t="str">
        <f>IF($A135="","",COUNTIFS(Publikace!$A$4:$A$503,$A135))</f>
        <v/>
      </c>
      <c r="AG135" s="38" t="str">
        <f>IF($A135="","",IF(AF135=0,"",_xlfn.MINIFS(Publikace!$E$4:$E$503,Publikace!$A$4:$A$503,$A135)))</f>
        <v/>
      </c>
      <c r="AH135" s="37" t="str">
        <f t="shared" si="2"/>
        <v/>
      </c>
      <c r="AI135" s="39" t="str">
        <f ca="1">IF($A135="","",TRIM(IF(AND($U135&lt;&gt;"",$U135&lt;TODAY(),$W135&lt;&gt;"Schváleno",$W135&lt;&gt;"Odloženo",$W135&lt;&gt;"Zrušeno"),"Po termínu odevzdání. ","")&amp;IF(AND($W135="Schváleno",OR($X135="",$Y135="")),"Schváleno bez jména / data. ","")&amp;IF(OR($G135="",$H135="",$I135="",$F135=""),"Chybí zařazení (kategorie, typ, profil nebo měsíc). ","")&amp;IF(AND(OR($I135="Honza",$I135="Radek"),OR($J135="",$J135="Nevztahuje se")),"Doplnit charakter (osobní / pracovní). ","")&amp;IF(AND($W135="Schváleno",$AE135&gt;0),"Schváleno, ale má otevřené připomínky. ","")&amp;IF(AND($AA135="Publikováno",$AF135=0),"Publikováno bez záznamu v listu Publikace. ","")&amp;IF(AND($C135&lt;&gt;"",$D135=""),"Chybí číslo dílu série. ","")&amp;IF(AND($E135&lt;&gt;"",$W135&lt;&gt;"Schváleno",$W135&lt;&gt;"Odloženo",$W135&lt;&gt;"Zrušeno",IFERROR(VLOOKUP($E135,Nastavení!$A$30:$G$53,3,FALSE()),0)&gt;0,IFERROR(VLOOKUP($E135,Nastavení!$A$30:$G$53,3,FALSE()),0)&lt;TODAY()),"Neschváleno po termínu cyklu. ","")))</f>
        <v/>
      </c>
    </row>
    <row r="136" spans="1:35" x14ac:dyDescent="0.2">
      <c r="A136" s="35"/>
      <c r="B136" s="11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11"/>
      <c r="N136" s="11"/>
      <c r="O136" s="11"/>
      <c r="P136" s="11"/>
      <c r="Q136" s="11"/>
      <c r="R136" s="11"/>
      <c r="S136" s="11"/>
      <c r="T136" s="35"/>
      <c r="U136" s="36"/>
      <c r="V136" s="11"/>
      <c r="W136" s="35"/>
      <c r="X136" s="35"/>
      <c r="Y136" s="36"/>
      <c r="Z136" s="11"/>
      <c r="AA136" s="35"/>
      <c r="AB136" s="36"/>
      <c r="AC136" s="35"/>
      <c r="AD136" s="35"/>
      <c r="AE136" s="37" t="str">
        <f>IF($A136="","",COUNTIFS(Připomínky!$A$4:$A$503,$A136,Připomínky!$J$4:$J$503,"Nevyřešeno"))</f>
        <v/>
      </c>
      <c r="AF136" s="37" t="str">
        <f>IF($A136="","",COUNTIFS(Publikace!$A$4:$A$503,$A136))</f>
        <v/>
      </c>
      <c r="AG136" s="38" t="str">
        <f>IF($A136="","",IF(AF136=0,"",_xlfn.MINIFS(Publikace!$E$4:$E$503,Publikace!$A$4:$A$503,$A136)))</f>
        <v/>
      </c>
      <c r="AH136" s="37" t="str">
        <f t="shared" si="2"/>
        <v/>
      </c>
      <c r="AI136" s="39" t="str">
        <f ca="1">IF($A136="","",TRIM(IF(AND($U136&lt;&gt;"",$U136&lt;TODAY(),$W136&lt;&gt;"Schváleno",$W136&lt;&gt;"Odloženo",$W136&lt;&gt;"Zrušeno"),"Po termínu odevzdání. ","")&amp;IF(AND($W136="Schváleno",OR($X136="",$Y136="")),"Schváleno bez jména / data. ","")&amp;IF(OR($G136="",$H136="",$I136="",$F136=""),"Chybí zařazení (kategorie, typ, profil nebo měsíc). ","")&amp;IF(AND(OR($I136="Honza",$I136="Radek"),OR($J136="",$J136="Nevztahuje se")),"Doplnit charakter (osobní / pracovní). ","")&amp;IF(AND($W136="Schváleno",$AE136&gt;0),"Schváleno, ale má otevřené připomínky. ","")&amp;IF(AND($AA136="Publikováno",$AF136=0),"Publikováno bez záznamu v listu Publikace. ","")&amp;IF(AND($C136&lt;&gt;"",$D136=""),"Chybí číslo dílu série. ","")&amp;IF(AND($E136&lt;&gt;"",$W136&lt;&gt;"Schváleno",$W136&lt;&gt;"Odloženo",$W136&lt;&gt;"Zrušeno",IFERROR(VLOOKUP($E136,Nastavení!$A$30:$G$53,3,FALSE()),0)&gt;0,IFERROR(VLOOKUP($E136,Nastavení!$A$30:$G$53,3,FALSE()),0)&lt;TODAY()),"Neschváleno po termínu cyklu. ","")))</f>
        <v/>
      </c>
    </row>
    <row r="137" spans="1:35" x14ac:dyDescent="0.2">
      <c r="A137" s="35"/>
      <c r="B137" s="11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11"/>
      <c r="N137" s="11"/>
      <c r="O137" s="11"/>
      <c r="P137" s="11"/>
      <c r="Q137" s="11"/>
      <c r="R137" s="11"/>
      <c r="S137" s="11"/>
      <c r="T137" s="35"/>
      <c r="U137" s="36"/>
      <c r="V137" s="11"/>
      <c r="W137" s="35"/>
      <c r="X137" s="35"/>
      <c r="Y137" s="36"/>
      <c r="Z137" s="11"/>
      <c r="AA137" s="35"/>
      <c r="AB137" s="36"/>
      <c r="AC137" s="35"/>
      <c r="AD137" s="35"/>
      <c r="AE137" s="37" t="str">
        <f>IF($A137="","",COUNTIFS(Připomínky!$A$4:$A$503,$A137,Připomínky!$J$4:$J$503,"Nevyřešeno"))</f>
        <v/>
      </c>
      <c r="AF137" s="37" t="str">
        <f>IF($A137="","",COUNTIFS(Publikace!$A$4:$A$503,$A137))</f>
        <v/>
      </c>
      <c r="AG137" s="38" t="str">
        <f>IF($A137="","",IF(AF137=0,"",_xlfn.MINIFS(Publikace!$E$4:$E$503,Publikace!$A$4:$A$503,$A137)))</f>
        <v/>
      </c>
      <c r="AH137" s="37" t="str">
        <f t="shared" si="2"/>
        <v/>
      </c>
      <c r="AI137" s="39" t="str">
        <f ca="1">IF($A137="","",TRIM(IF(AND($U137&lt;&gt;"",$U137&lt;TODAY(),$W137&lt;&gt;"Schváleno",$W137&lt;&gt;"Odloženo",$W137&lt;&gt;"Zrušeno"),"Po termínu odevzdání. ","")&amp;IF(AND($W137="Schváleno",OR($X137="",$Y137="")),"Schváleno bez jména / data. ","")&amp;IF(OR($G137="",$H137="",$I137="",$F137=""),"Chybí zařazení (kategorie, typ, profil nebo měsíc). ","")&amp;IF(AND(OR($I137="Honza",$I137="Radek"),OR($J137="",$J137="Nevztahuje se")),"Doplnit charakter (osobní / pracovní). ","")&amp;IF(AND($W137="Schváleno",$AE137&gt;0),"Schváleno, ale má otevřené připomínky. ","")&amp;IF(AND($AA137="Publikováno",$AF137=0),"Publikováno bez záznamu v listu Publikace. ","")&amp;IF(AND($C137&lt;&gt;"",$D137=""),"Chybí číslo dílu série. ","")&amp;IF(AND($E137&lt;&gt;"",$W137&lt;&gt;"Schváleno",$W137&lt;&gt;"Odloženo",$W137&lt;&gt;"Zrušeno",IFERROR(VLOOKUP($E137,Nastavení!$A$30:$G$53,3,FALSE()),0)&gt;0,IFERROR(VLOOKUP($E137,Nastavení!$A$30:$G$53,3,FALSE()),0)&lt;TODAY()),"Neschváleno po termínu cyklu. ","")))</f>
        <v/>
      </c>
    </row>
    <row r="138" spans="1:35" x14ac:dyDescent="0.2">
      <c r="A138" s="35"/>
      <c r="B138" s="11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11"/>
      <c r="N138" s="11"/>
      <c r="O138" s="11"/>
      <c r="P138" s="11"/>
      <c r="Q138" s="11"/>
      <c r="R138" s="11"/>
      <c r="S138" s="11"/>
      <c r="T138" s="35"/>
      <c r="U138" s="36"/>
      <c r="V138" s="11"/>
      <c r="W138" s="35"/>
      <c r="X138" s="35"/>
      <c r="Y138" s="36"/>
      <c r="Z138" s="11"/>
      <c r="AA138" s="35"/>
      <c r="AB138" s="36"/>
      <c r="AC138" s="35"/>
      <c r="AD138" s="35"/>
      <c r="AE138" s="37" t="str">
        <f>IF($A138="","",COUNTIFS(Připomínky!$A$4:$A$503,$A138,Připomínky!$J$4:$J$503,"Nevyřešeno"))</f>
        <v/>
      </c>
      <c r="AF138" s="37" t="str">
        <f>IF($A138="","",COUNTIFS(Publikace!$A$4:$A$503,$A138))</f>
        <v/>
      </c>
      <c r="AG138" s="38" t="str">
        <f>IF($A138="","",IF(AF138=0,"",_xlfn.MINIFS(Publikace!$E$4:$E$503,Publikace!$A$4:$A$503,$A138)))</f>
        <v/>
      </c>
      <c r="AH138" s="37" t="str">
        <f t="shared" si="2"/>
        <v/>
      </c>
      <c r="AI138" s="39" t="str">
        <f ca="1">IF($A138="","",TRIM(IF(AND($U138&lt;&gt;"",$U138&lt;TODAY(),$W138&lt;&gt;"Schváleno",$W138&lt;&gt;"Odloženo",$W138&lt;&gt;"Zrušeno"),"Po termínu odevzdání. ","")&amp;IF(AND($W138="Schváleno",OR($X138="",$Y138="")),"Schváleno bez jména / data. ","")&amp;IF(OR($G138="",$H138="",$I138="",$F138=""),"Chybí zařazení (kategorie, typ, profil nebo měsíc). ","")&amp;IF(AND(OR($I138="Honza",$I138="Radek"),OR($J138="",$J138="Nevztahuje se")),"Doplnit charakter (osobní / pracovní). ","")&amp;IF(AND($W138="Schváleno",$AE138&gt;0),"Schváleno, ale má otevřené připomínky. ","")&amp;IF(AND($AA138="Publikováno",$AF138=0),"Publikováno bez záznamu v listu Publikace. ","")&amp;IF(AND($C138&lt;&gt;"",$D138=""),"Chybí číslo dílu série. ","")&amp;IF(AND($E138&lt;&gt;"",$W138&lt;&gt;"Schváleno",$W138&lt;&gt;"Odloženo",$W138&lt;&gt;"Zrušeno",IFERROR(VLOOKUP($E138,Nastavení!$A$30:$G$53,3,FALSE()),0)&gt;0,IFERROR(VLOOKUP($E138,Nastavení!$A$30:$G$53,3,FALSE()),0)&lt;TODAY()),"Neschváleno po termínu cyklu. ","")))</f>
        <v/>
      </c>
    </row>
    <row r="139" spans="1:35" x14ac:dyDescent="0.2">
      <c r="A139" s="35"/>
      <c r="B139" s="11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11"/>
      <c r="N139" s="11"/>
      <c r="O139" s="11"/>
      <c r="P139" s="11"/>
      <c r="Q139" s="11"/>
      <c r="R139" s="11"/>
      <c r="S139" s="11"/>
      <c r="T139" s="35"/>
      <c r="U139" s="36"/>
      <c r="V139" s="11"/>
      <c r="W139" s="35"/>
      <c r="X139" s="35"/>
      <c r="Y139" s="36"/>
      <c r="Z139" s="11"/>
      <c r="AA139" s="35"/>
      <c r="AB139" s="36"/>
      <c r="AC139" s="35"/>
      <c r="AD139" s="35"/>
      <c r="AE139" s="37" t="str">
        <f>IF($A139="","",COUNTIFS(Připomínky!$A$4:$A$503,$A139,Připomínky!$J$4:$J$503,"Nevyřešeno"))</f>
        <v/>
      </c>
      <c r="AF139" s="37" t="str">
        <f>IF($A139="","",COUNTIFS(Publikace!$A$4:$A$503,$A139))</f>
        <v/>
      </c>
      <c r="AG139" s="38" t="str">
        <f>IF($A139="","",IF(AF139=0,"",_xlfn.MINIFS(Publikace!$E$4:$E$503,Publikace!$A$4:$A$503,$A139)))</f>
        <v/>
      </c>
      <c r="AH139" s="37" t="str">
        <f t="shared" si="2"/>
        <v/>
      </c>
      <c r="AI139" s="39" t="str">
        <f ca="1">IF($A139="","",TRIM(IF(AND($U139&lt;&gt;"",$U139&lt;TODAY(),$W139&lt;&gt;"Schváleno",$W139&lt;&gt;"Odloženo",$W139&lt;&gt;"Zrušeno"),"Po termínu odevzdání. ","")&amp;IF(AND($W139="Schváleno",OR($X139="",$Y139="")),"Schváleno bez jména / data. ","")&amp;IF(OR($G139="",$H139="",$I139="",$F139=""),"Chybí zařazení (kategorie, typ, profil nebo měsíc). ","")&amp;IF(AND(OR($I139="Honza",$I139="Radek"),OR($J139="",$J139="Nevztahuje se")),"Doplnit charakter (osobní / pracovní). ","")&amp;IF(AND($W139="Schváleno",$AE139&gt;0),"Schváleno, ale má otevřené připomínky. ","")&amp;IF(AND($AA139="Publikováno",$AF139=0),"Publikováno bez záznamu v listu Publikace. ","")&amp;IF(AND($C139&lt;&gt;"",$D139=""),"Chybí číslo dílu série. ","")&amp;IF(AND($E139&lt;&gt;"",$W139&lt;&gt;"Schváleno",$W139&lt;&gt;"Odloženo",$W139&lt;&gt;"Zrušeno",IFERROR(VLOOKUP($E139,Nastavení!$A$30:$G$53,3,FALSE()),0)&gt;0,IFERROR(VLOOKUP($E139,Nastavení!$A$30:$G$53,3,FALSE()),0)&lt;TODAY()),"Neschváleno po termínu cyklu. ","")))</f>
        <v/>
      </c>
    </row>
    <row r="140" spans="1:35" x14ac:dyDescent="0.2">
      <c r="A140" s="35"/>
      <c r="B140" s="11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11"/>
      <c r="N140" s="11"/>
      <c r="O140" s="11"/>
      <c r="P140" s="11"/>
      <c r="Q140" s="11"/>
      <c r="R140" s="11"/>
      <c r="S140" s="11"/>
      <c r="T140" s="35"/>
      <c r="U140" s="36"/>
      <c r="V140" s="11"/>
      <c r="W140" s="35"/>
      <c r="X140" s="35"/>
      <c r="Y140" s="36"/>
      <c r="Z140" s="11"/>
      <c r="AA140" s="35"/>
      <c r="AB140" s="36"/>
      <c r="AC140" s="35"/>
      <c r="AD140" s="35"/>
      <c r="AE140" s="37" t="str">
        <f>IF($A140="","",COUNTIFS(Připomínky!$A$4:$A$503,$A140,Připomínky!$J$4:$J$503,"Nevyřešeno"))</f>
        <v/>
      </c>
      <c r="AF140" s="37" t="str">
        <f>IF($A140="","",COUNTIFS(Publikace!$A$4:$A$503,$A140))</f>
        <v/>
      </c>
      <c r="AG140" s="38" t="str">
        <f>IF($A140="","",IF(AF140=0,"",_xlfn.MINIFS(Publikace!$E$4:$E$503,Publikace!$A$4:$A$503,$A140)))</f>
        <v/>
      </c>
      <c r="AH140" s="37" t="str">
        <f t="shared" si="2"/>
        <v/>
      </c>
      <c r="AI140" s="39" t="str">
        <f ca="1">IF($A140="","",TRIM(IF(AND($U140&lt;&gt;"",$U140&lt;TODAY(),$W140&lt;&gt;"Schváleno",$W140&lt;&gt;"Odloženo",$W140&lt;&gt;"Zrušeno"),"Po termínu odevzdání. ","")&amp;IF(AND($W140="Schváleno",OR($X140="",$Y140="")),"Schváleno bez jména / data. ","")&amp;IF(OR($G140="",$H140="",$I140="",$F140=""),"Chybí zařazení (kategorie, typ, profil nebo měsíc). ","")&amp;IF(AND(OR($I140="Honza",$I140="Radek"),OR($J140="",$J140="Nevztahuje se")),"Doplnit charakter (osobní / pracovní). ","")&amp;IF(AND($W140="Schváleno",$AE140&gt;0),"Schváleno, ale má otevřené připomínky. ","")&amp;IF(AND($AA140="Publikováno",$AF140=0),"Publikováno bez záznamu v listu Publikace. ","")&amp;IF(AND($C140&lt;&gt;"",$D140=""),"Chybí číslo dílu série. ","")&amp;IF(AND($E140&lt;&gt;"",$W140&lt;&gt;"Schváleno",$W140&lt;&gt;"Odloženo",$W140&lt;&gt;"Zrušeno",IFERROR(VLOOKUP($E140,Nastavení!$A$30:$G$53,3,FALSE()),0)&gt;0,IFERROR(VLOOKUP($E140,Nastavení!$A$30:$G$53,3,FALSE()),0)&lt;TODAY()),"Neschváleno po termínu cyklu. ","")))</f>
        <v/>
      </c>
    </row>
    <row r="141" spans="1:35" x14ac:dyDescent="0.2">
      <c r="A141" s="35"/>
      <c r="B141" s="11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11"/>
      <c r="N141" s="11"/>
      <c r="O141" s="11"/>
      <c r="P141" s="11"/>
      <c r="Q141" s="11"/>
      <c r="R141" s="11"/>
      <c r="S141" s="11"/>
      <c r="T141" s="35"/>
      <c r="U141" s="36"/>
      <c r="V141" s="11"/>
      <c r="W141" s="35"/>
      <c r="X141" s="35"/>
      <c r="Y141" s="36"/>
      <c r="Z141" s="11"/>
      <c r="AA141" s="35"/>
      <c r="AB141" s="36"/>
      <c r="AC141" s="35"/>
      <c r="AD141" s="35"/>
      <c r="AE141" s="37" t="str">
        <f>IF($A141="","",COUNTIFS(Připomínky!$A$4:$A$503,$A141,Připomínky!$J$4:$J$503,"Nevyřešeno"))</f>
        <v/>
      </c>
      <c r="AF141" s="37" t="str">
        <f>IF($A141="","",COUNTIFS(Publikace!$A$4:$A$503,$A141))</f>
        <v/>
      </c>
      <c r="AG141" s="38" t="str">
        <f>IF($A141="","",IF(AF141=0,"",_xlfn.MINIFS(Publikace!$E$4:$E$503,Publikace!$A$4:$A$503,$A141)))</f>
        <v/>
      </c>
      <c r="AH141" s="37" t="str">
        <f t="shared" si="2"/>
        <v/>
      </c>
      <c r="AI141" s="39" t="str">
        <f ca="1">IF($A141="","",TRIM(IF(AND($U141&lt;&gt;"",$U141&lt;TODAY(),$W141&lt;&gt;"Schváleno",$W141&lt;&gt;"Odloženo",$W141&lt;&gt;"Zrušeno"),"Po termínu odevzdání. ","")&amp;IF(AND($W141="Schváleno",OR($X141="",$Y141="")),"Schváleno bez jména / data. ","")&amp;IF(OR($G141="",$H141="",$I141="",$F141=""),"Chybí zařazení (kategorie, typ, profil nebo měsíc). ","")&amp;IF(AND(OR($I141="Honza",$I141="Radek"),OR($J141="",$J141="Nevztahuje se")),"Doplnit charakter (osobní / pracovní). ","")&amp;IF(AND($W141="Schváleno",$AE141&gt;0),"Schváleno, ale má otevřené připomínky. ","")&amp;IF(AND($AA141="Publikováno",$AF141=0),"Publikováno bez záznamu v listu Publikace. ","")&amp;IF(AND($C141&lt;&gt;"",$D141=""),"Chybí číslo dílu série. ","")&amp;IF(AND($E141&lt;&gt;"",$W141&lt;&gt;"Schváleno",$W141&lt;&gt;"Odloženo",$W141&lt;&gt;"Zrušeno",IFERROR(VLOOKUP($E141,Nastavení!$A$30:$G$53,3,FALSE()),0)&gt;0,IFERROR(VLOOKUP($E141,Nastavení!$A$30:$G$53,3,FALSE()),0)&lt;TODAY()),"Neschváleno po termínu cyklu. ","")))</f>
        <v/>
      </c>
    </row>
    <row r="142" spans="1:35" x14ac:dyDescent="0.2">
      <c r="A142" s="35"/>
      <c r="B142" s="11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11"/>
      <c r="N142" s="11"/>
      <c r="O142" s="11"/>
      <c r="P142" s="11"/>
      <c r="Q142" s="11"/>
      <c r="R142" s="11"/>
      <c r="S142" s="11"/>
      <c r="T142" s="35"/>
      <c r="U142" s="36"/>
      <c r="V142" s="11"/>
      <c r="W142" s="35"/>
      <c r="X142" s="35"/>
      <c r="Y142" s="36"/>
      <c r="Z142" s="11"/>
      <c r="AA142" s="35"/>
      <c r="AB142" s="36"/>
      <c r="AC142" s="35"/>
      <c r="AD142" s="35"/>
      <c r="AE142" s="37" t="str">
        <f>IF($A142="","",COUNTIFS(Připomínky!$A$4:$A$503,$A142,Připomínky!$J$4:$J$503,"Nevyřešeno"))</f>
        <v/>
      </c>
      <c r="AF142" s="37" t="str">
        <f>IF($A142="","",COUNTIFS(Publikace!$A$4:$A$503,$A142))</f>
        <v/>
      </c>
      <c r="AG142" s="38" t="str">
        <f>IF($A142="","",IF(AF142=0,"",_xlfn.MINIFS(Publikace!$E$4:$E$503,Publikace!$A$4:$A$503,$A142)))</f>
        <v/>
      </c>
      <c r="AH142" s="37" t="str">
        <f t="shared" si="2"/>
        <v/>
      </c>
      <c r="AI142" s="39" t="str">
        <f ca="1">IF($A142="","",TRIM(IF(AND($U142&lt;&gt;"",$U142&lt;TODAY(),$W142&lt;&gt;"Schváleno",$W142&lt;&gt;"Odloženo",$W142&lt;&gt;"Zrušeno"),"Po termínu odevzdání. ","")&amp;IF(AND($W142="Schváleno",OR($X142="",$Y142="")),"Schváleno bez jména / data. ","")&amp;IF(OR($G142="",$H142="",$I142="",$F142=""),"Chybí zařazení (kategorie, typ, profil nebo měsíc). ","")&amp;IF(AND(OR($I142="Honza",$I142="Radek"),OR($J142="",$J142="Nevztahuje se")),"Doplnit charakter (osobní / pracovní). ","")&amp;IF(AND($W142="Schváleno",$AE142&gt;0),"Schváleno, ale má otevřené připomínky. ","")&amp;IF(AND($AA142="Publikováno",$AF142=0),"Publikováno bez záznamu v listu Publikace. ","")&amp;IF(AND($C142&lt;&gt;"",$D142=""),"Chybí číslo dílu série. ","")&amp;IF(AND($E142&lt;&gt;"",$W142&lt;&gt;"Schváleno",$W142&lt;&gt;"Odloženo",$W142&lt;&gt;"Zrušeno",IFERROR(VLOOKUP($E142,Nastavení!$A$30:$G$53,3,FALSE()),0)&gt;0,IFERROR(VLOOKUP($E142,Nastavení!$A$30:$G$53,3,FALSE()),0)&lt;TODAY()),"Neschváleno po termínu cyklu. ","")))</f>
        <v/>
      </c>
    </row>
    <row r="143" spans="1:35" x14ac:dyDescent="0.2">
      <c r="A143" s="35"/>
      <c r="B143" s="11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11"/>
      <c r="N143" s="11"/>
      <c r="O143" s="11"/>
      <c r="P143" s="11"/>
      <c r="Q143" s="11"/>
      <c r="R143" s="11"/>
      <c r="S143" s="11"/>
      <c r="T143" s="35"/>
      <c r="U143" s="36"/>
      <c r="V143" s="11"/>
      <c r="W143" s="35"/>
      <c r="X143" s="35"/>
      <c r="Y143" s="36"/>
      <c r="Z143" s="11"/>
      <c r="AA143" s="35"/>
      <c r="AB143" s="36"/>
      <c r="AC143" s="35"/>
      <c r="AD143" s="35"/>
      <c r="AE143" s="37" t="str">
        <f>IF($A143="","",COUNTIFS(Připomínky!$A$4:$A$503,$A143,Připomínky!$J$4:$J$503,"Nevyřešeno"))</f>
        <v/>
      </c>
      <c r="AF143" s="37" t="str">
        <f>IF($A143="","",COUNTIFS(Publikace!$A$4:$A$503,$A143))</f>
        <v/>
      </c>
      <c r="AG143" s="38" t="str">
        <f>IF($A143="","",IF(AF143=0,"",_xlfn.MINIFS(Publikace!$E$4:$E$503,Publikace!$A$4:$A$503,$A143)))</f>
        <v/>
      </c>
      <c r="AH143" s="37" t="str">
        <f t="shared" si="2"/>
        <v/>
      </c>
      <c r="AI143" s="39" t="str">
        <f ca="1">IF($A143="","",TRIM(IF(AND($U143&lt;&gt;"",$U143&lt;TODAY(),$W143&lt;&gt;"Schváleno",$W143&lt;&gt;"Odloženo",$W143&lt;&gt;"Zrušeno"),"Po termínu odevzdání. ","")&amp;IF(AND($W143="Schváleno",OR($X143="",$Y143="")),"Schváleno bez jména / data. ","")&amp;IF(OR($G143="",$H143="",$I143="",$F143=""),"Chybí zařazení (kategorie, typ, profil nebo měsíc). ","")&amp;IF(AND(OR($I143="Honza",$I143="Radek"),OR($J143="",$J143="Nevztahuje se")),"Doplnit charakter (osobní / pracovní). ","")&amp;IF(AND($W143="Schváleno",$AE143&gt;0),"Schváleno, ale má otevřené připomínky. ","")&amp;IF(AND($AA143="Publikováno",$AF143=0),"Publikováno bez záznamu v listu Publikace. ","")&amp;IF(AND($C143&lt;&gt;"",$D143=""),"Chybí číslo dílu série. ","")&amp;IF(AND($E143&lt;&gt;"",$W143&lt;&gt;"Schváleno",$W143&lt;&gt;"Odloženo",$W143&lt;&gt;"Zrušeno",IFERROR(VLOOKUP($E143,Nastavení!$A$30:$G$53,3,FALSE()),0)&gt;0,IFERROR(VLOOKUP($E143,Nastavení!$A$30:$G$53,3,FALSE()),0)&lt;TODAY()),"Neschváleno po termínu cyklu. ","")))</f>
        <v/>
      </c>
    </row>
    <row r="144" spans="1:35" x14ac:dyDescent="0.2">
      <c r="A144" s="35"/>
      <c r="B144" s="11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11"/>
      <c r="N144" s="11"/>
      <c r="O144" s="11"/>
      <c r="P144" s="11"/>
      <c r="Q144" s="11"/>
      <c r="R144" s="11"/>
      <c r="S144" s="11"/>
      <c r="T144" s="35"/>
      <c r="U144" s="36"/>
      <c r="V144" s="11"/>
      <c r="W144" s="35"/>
      <c r="X144" s="35"/>
      <c r="Y144" s="36"/>
      <c r="Z144" s="11"/>
      <c r="AA144" s="35"/>
      <c r="AB144" s="36"/>
      <c r="AC144" s="35"/>
      <c r="AD144" s="35"/>
      <c r="AE144" s="37" t="str">
        <f>IF($A144="","",COUNTIFS(Připomínky!$A$4:$A$503,$A144,Připomínky!$J$4:$J$503,"Nevyřešeno"))</f>
        <v/>
      </c>
      <c r="AF144" s="37" t="str">
        <f>IF($A144="","",COUNTIFS(Publikace!$A$4:$A$503,$A144))</f>
        <v/>
      </c>
      <c r="AG144" s="38" t="str">
        <f>IF($A144="","",IF(AF144=0,"",_xlfn.MINIFS(Publikace!$E$4:$E$503,Publikace!$A$4:$A$503,$A144)))</f>
        <v/>
      </c>
      <c r="AH144" s="37" t="str">
        <f t="shared" si="2"/>
        <v/>
      </c>
      <c r="AI144" s="39" t="str">
        <f ca="1">IF($A144="","",TRIM(IF(AND($U144&lt;&gt;"",$U144&lt;TODAY(),$W144&lt;&gt;"Schváleno",$W144&lt;&gt;"Odloženo",$W144&lt;&gt;"Zrušeno"),"Po termínu odevzdání. ","")&amp;IF(AND($W144="Schváleno",OR($X144="",$Y144="")),"Schváleno bez jména / data. ","")&amp;IF(OR($G144="",$H144="",$I144="",$F144=""),"Chybí zařazení (kategorie, typ, profil nebo měsíc). ","")&amp;IF(AND(OR($I144="Honza",$I144="Radek"),OR($J144="",$J144="Nevztahuje se")),"Doplnit charakter (osobní / pracovní). ","")&amp;IF(AND($W144="Schváleno",$AE144&gt;0),"Schváleno, ale má otevřené připomínky. ","")&amp;IF(AND($AA144="Publikováno",$AF144=0),"Publikováno bez záznamu v listu Publikace. ","")&amp;IF(AND($C144&lt;&gt;"",$D144=""),"Chybí číslo dílu série. ","")&amp;IF(AND($E144&lt;&gt;"",$W144&lt;&gt;"Schváleno",$W144&lt;&gt;"Odloženo",$W144&lt;&gt;"Zrušeno",IFERROR(VLOOKUP($E144,Nastavení!$A$30:$G$53,3,FALSE()),0)&gt;0,IFERROR(VLOOKUP($E144,Nastavení!$A$30:$G$53,3,FALSE()),0)&lt;TODAY()),"Neschváleno po termínu cyklu. ","")))</f>
        <v/>
      </c>
    </row>
    <row r="145" spans="1:35" x14ac:dyDescent="0.2">
      <c r="A145" s="35"/>
      <c r="B145" s="11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11"/>
      <c r="N145" s="11"/>
      <c r="O145" s="11"/>
      <c r="P145" s="11"/>
      <c r="Q145" s="11"/>
      <c r="R145" s="11"/>
      <c r="S145" s="11"/>
      <c r="T145" s="35"/>
      <c r="U145" s="36"/>
      <c r="V145" s="11"/>
      <c r="W145" s="35"/>
      <c r="X145" s="35"/>
      <c r="Y145" s="36"/>
      <c r="Z145" s="11"/>
      <c r="AA145" s="35"/>
      <c r="AB145" s="36"/>
      <c r="AC145" s="35"/>
      <c r="AD145" s="35"/>
      <c r="AE145" s="37" t="str">
        <f>IF($A145="","",COUNTIFS(Připomínky!$A$4:$A$503,$A145,Připomínky!$J$4:$J$503,"Nevyřešeno"))</f>
        <v/>
      </c>
      <c r="AF145" s="37" t="str">
        <f>IF($A145="","",COUNTIFS(Publikace!$A$4:$A$503,$A145))</f>
        <v/>
      </c>
      <c r="AG145" s="38" t="str">
        <f>IF($A145="","",IF(AF145=0,"",_xlfn.MINIFS(Publikace!$E$4:$E$503,Publikace!$A$4:$A$503,$A145)))</f>
        <v/>
      </c>
      <c r="AH145" s="37" t="str">
        <f t="shared" si="2"/>
        <v/>
      </c>
      <c r="AI145" s="39" t="str">
        <f ca="1">IF($A145="","",TRIM(IF(AND($U145&lt;&gt;"",$U145&lt;TODAY(),$W145&lt;&gt;"Schváleno",$W145&lt;&gt;"Odloženo",$W145&lt;&gt;"Zrušeno"),"Po termínu odevzdání. ","")&amp;IF(AND($W145="Schváleno",OR($X145="",$Y145="")),"Schváleno bez jména / data. ","")&amp;IF(OR($G145="",$H145="",$I145="",$F145=""),"Chybí zařazení (kategorie, typ, profil nebo měsíc). ","")&amp;IF(AND(OR($I145="Honza",$I145="Radek"),OR($J145="",$J145="Nevztahuje se")),"Doplnit charakter (osobní / pracovní). ","")&amp;IF(AND($W145="Schváleno",$AE145&gt;0),"Schváleno, ale má otevřené připomínky. ","")&amp;IF(AND($AA145="Publikováno",$AF145=0),"Publikováno bez záznamu v listu Publikace. ","")&amp;IF(AND($C145&lt;&gt;"",$D145=""),"Chybí číslo dílu série. ","")&amp;IF(AND($E145&lt;&gt;"",$W145&lt;&gt;"Schváleno",$W145&lt;&gt;"Odloženo",$W145&lt;&gt;"Zrušeno",IFERROR(VLOOKUP($E145,Nastavení!$A$30:$G$53,3,FALSE()),0)&gt;0,IFERROR(VLOOKUP($E145,Nastavení!$A$30:$G$53,3,FALSE()),0)&lt;TODAY()),"Neschváleno po termínu cyklu. ","")))</f>
        <v/>
      </c>
    </row>
    <row r="146" spans="1:35" x14ac:dyDescent="0.2">
      <c r="A146" s="35"/>
      <c r="B146" s="11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11"/>
      <c r="N146" s="11"/>
      <c r="O146" s="11"/>
      <c r="P146" s="11"/>
      <c r="Q146" s="11"/>
      <c r="R146" s="11"/>
      <c r="S146" s="11"/>
      <c r="T146" s="35"/>
      <c r="U146" s="36"/>
      <c r="V146" s="11"/>
      <c r="W146" s="35"/>
      <c r="X146" s="35"/>
      <c r="Y146" s="36"/>
      <c r="Z146" s="11"/>
      <c r="AA146" s="35"/>
      <c r="AB146" s="36"/>
      <c r="AC146" s="35"/>
      <c r="AD146" s="35"/>
      <c r="AE146" s="37" t="str">
        <f>IF($A146="","",COUNTIFS(Připomínky!$A$4:$A$503,$A146,Připomínky!$J$4:$J$503,"Nevyřešeno"))</f>
        <v/>
      </c>
      <c r="AF146" s="37" t="str">
        <f>IF($A146="","",COUNTIFS(Publikace!$A$4:$A$503,$A146))</f>
        <v/>
      </c>
      <c r="AG146" s="38" t="str">
        <f>IF($A146="","",IF(AF146=0,"",_xlfn.MINIFS(Publikace!$E$4:$E$503,Publikace!$A$4:$A$503,$A146)))</f>
        <v/>
      </c>
      <c r="AH146" s="37" t="str">
        <f t="shared" si="2"/>
        <v/>
      </c>
      <c r="AI146" s="39" t="str">
        <f ca="1">IF($A146="","",TRIM(IF(AND($U146&lt;&gt;"",$U146&lt;TODAY(),$W146&lt;&gt;"Schváleno",$W146&lt;&gt;"Odloženo",$W146&lt;&gt;"Zrušeno"),"Po termínu odevzdání. ","")&amp;IF(AND($W146="Schváleno",OR($X146="",$Y146="")),"Schváleno bez jména / data. ","")&amp;IF(OR($G146="",$H146="",$I146="",$F146=""),"Chybí zařazení (kategorie, typ, profil nebo měsíc). ","")&amp;IF(AND(OR($I146="Honza",$I146="Radek"),OR($J146="",$J146="Nevztahuje se")),"Doplnit charakter (osobní / pracovní). ","")&amp;IF(AND($W146="Schváleno",$AE146&gt;0),"Schváleno, ale má otevřené připomínky. ","")&amp;IF(AND($AA146="Publikováno",$AF146=0),"Publikováno bez záznamu v listu Publikace. ","")&amp;IF(AND($C146&lt;&gt;"",$D146=""),"Chybí číslo dílu série. ","")&amp;IF(AND($E146&lt;&gt;"",$W146&lt;&gt;"Schváleno",$W146&lt;&gt;"Odloženo",$W146&lt;&gt;"Zrušeno",IFERROR(VLOOKUP($E146,Nastavení!$A$30:$G$53,3,FALSE()),0)&gt;0,IFERROR(VLOOKUP($E146,Nastavení!$A$30:$G$53,3,FALSE()),0)&lt;TODAY()),"Neschváleno po termínu cyklu. ","")))</f>
        <v/>
      </c>
    </row>
    <row r="147" spans="1:35" x14ac:dyDescent="0.2">
      <c r="A147" s="35"/>
      <c r="B147" s="11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11"/>
      <c r="N147" s="11"/>
      <c r="O147" s="11"/>
      <c r="P147" s="11"/>
      <c r="Q147" s="11"/>
      <c r="R147" s="11"/>
      <c r="S147" s="11"/>
      <c r="T147" s="35"/>
      <c r="U147" s="36"/>
      <c r="V147" s="11"/>
      <c r="W147" s="35"/>
      <c r="X147" s="35"/>
      <c r="Y147" s="36"/>
      <c r="Z147" s="11"/>
      <c r="AA147" s="35"/>
      <c r="AB147" s="36"/>
      <c r="AC147" s="35"/>
      <c r="AD147" s="35"/>
      <c r="AE147" s="37" t="str">
        <f>IF($A147="","",COUNTIFS(Připomínky!$A$4:$A$503,$A147,Připomínky!$J$4:$J$503,"Nevyřešeno"))</f>
        <v/>
      </c>
      <c r="AF147" s="37" t="str">
        <f>IF($A147="","",COUNTIFS(Publikace!$A$4:$A$503,$A147))</f>
        <v/>
      </c>
      <c r="AG147" s="38" t="str">
        <f>IF($A147="","",IF(AF147=0,"",_xlfn.MINIFS(Publikace!$E$4:$E$503,Publikace!$A$4:$A$503,$A147)))</f>
        <v/>
      </c>
      <c r="AH147" s="37" t="str">
        <f t="shared" si="2"/>
        <v/>
      </c>
      <c r="AI147" s="39" t="str">
        <f ca="1">IF($A147="","",TRIM(IF(AND($U147&lt;&gt;"",$U147&lt;TODAY(),$W147&lt;&gt;"Schváleno",$W147&lt;&gt;"Odloženo",$W147&lt;&gt;"Zrušeno"),"Po termínu odevzdání. ","")&amp;IF(AND($W147="Schváleno",OR($X147="",$Y147="")),"Schváleno bez jména / data. ","")&amp;IF(OR($G147="",$H147="",$I147="",$F147=""),"Chybí zařazení (kategorie, typ, profil nebo měsíc). ","")&amp;IF(AND(OR($I147="Honza",$I147="Radek"),OR($J147="",$J147="Nevztahuje se")),"Doplnit charakter (osobní / pracovní). ","")&amp;IF(AND($W147="Schváleno",$AE147&gt;0),"Schváleno, ale má otevřené připomínky. ","")&amp;IF(AND($AA147="Publikováno",$AF147=0),"Publikováno bez záznamu v listu Publikace. ","")&amp;IF(AND($C147&lt;&gt;"",$D147=""),"Chybí číslo dílu série. ","")&amp;IF(AND($E147&lt;&gt;"",$W147&lt;&gt;"Schváleno",$W147&lt;&gt;"Odloženo",$W147&lt;&gt;"Zrušeno",IFERROR(VLOOKUP($E147,Nastavení!$A$30:$G$53,3,FALSE()),0)&gt;0,IFERROR(VLOOKUP($E147,Nastavení!$A$30:$G$53,3,FALSE()),0)&lt;TODAY()),"Neschváleno po termínu cyklu. ","")))</f>
        <v/>
      </c>
    </row>
    <row r="148" spans="1:35" x14ac:dyDescent="0.2">
      <c r="A148" s="35"/>
      <c r="B148" s="11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11"/>
      <c r="N148" s="11"/>
      <c r="O148" s="11"/>
      <c r="P148" s="11"/>
      <c r="Q148" s="11"/>
      <c r="R148" s="11"/>
      <c r="S148" s="11"/>
      <c r="T148" s="35"/>
      <c r="U148" s="36"/>
      <c r="V148" s="11"/>
      <c r="W148" s="35"/>
      <c r="X148" s="35"/>
      <c r="Y148" s="36"/>
      <c r="Z148" s="11"/>
      <c r="AA148" s="35"/>
      <c r="AB148" s="36"/>
      <c r="AC148" s="35"/>
      <c r="AD148" s="35"/>
      <c r="AE148" s="37" t="str">
        <f>IF($A148="","",COUNTIFS(Připomínky!$A$4:$A$503,$A148,Připomínky!$J$4:$J$503,"Nevyřešeno"))</f>
        <v/>
      </c>
      <c r="AF148" s="37" t="str">
        <f>IF($A148="","",COUNTIFS(Publikace!$A$4:$A$503,$A148))</f>
        <v/>
      </c>
      <c r="AG148" s="38" t="str">
        <f>IF($A148="","",IF(AF148=0,"",_xlfn.MINIFS(Publikace!$E$4:$E$503,Publikace!$A$4:$A$503,$A148)))</f>
        <v/>
      </c>
      <c r="AH148" s="37" t="str">
        <f t="shared" si="2"/>
        <v/>
      </c>
      <c r="AI148" s="39" t="str">
        <f ca="1">IF($A148="","",TRIM(IF(AND($U148&lt;&gt;"",$U148&lt;TODAY(),$W148&lt;&gt;"Schváleno",$W148&lt;&gt;"Odloženo",$W148&lt;&gt;"Zrušeno"),"Po termínu odevzdání. ","")&amp;IF(AND($W148="Schváleno",OR($X148="",$Y148="")),"Schváleno bez jména / data. ","")&amp;IF(OR($G148="",$H148="",$I148="",$F148=""),"Chybí zařazení (kategorie, typ, profil nebo měsíc). ","")&amp;IF(AND(OR($I148="Honza",$I148="Radek"),OR($J148="",$J148="Nevztahuje se")),"Doplnit charakter (osobní / pracovní). ","")&amp;IF(AND($W148="Schváleno",$AE148&gt;0),"Schváleno, ale má otevřené připomínky. ","")&amp;IF(AND($AA148="Publikováno",$AF148=0),"Publikováno bez záznamu v listu Publikace. ","")&amp;IF(AND($C148&lt;&gt;"",$D148=""),"Chybí číslo dílu série. ","")&amp;IF(AND($E148&lt;&gt;"",$W148&lt;&gt;"Schváleno",$W148&lt;&gt;"Odloženo",$W148&lt;&gt;"Zrušeno",IFERROR(VLOOKUP($E148,Nastavení!$A$30:$G$53,3,FALSE()),0)&gt;0,IFERROR(VLOOKUP($E148,Nastavení!$A$30:$G$53,3,FALSE()),0)&lt;TODAY()),"Neschváleno po termínu cyklu. ","")))</f>
        <v/>
      </c>
    </row>
    <row r="149" spans="1:35" x14ac:dyDescent="0.2">
      <c r="A149" s="35"/>
      <c r="B149" s="11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11"/>
      <c r="N149" s="11"/>
      <c r="O149" s="11"/>
      <c r="P149" s="11"/>
      <c r="Q149" s="11"/>
      <c r="R149" s="11"/>
      <c r="S149" s="11"/>
      <c r="T149" s="35"/>
      <c r="U149" s="36"/>
      <c r="V149" s="11"/>
      <c r="W149" s="35"/>
      <c r="X149" s="35"/>
      <c r="Y149" s="36"/>
      <c r="Z149" s="11"/>
      <c r="AA149" s="35"/>
      <c r="AB149" s="36"/>
      <c r="AC149" s="35"/>
      <c r="AD149" s="35"/>
      <c r="AE149" s="37" t="str">
        <f>IF($A149="","",COUNTIFS(Připomínky!$A$4:$A$503,$A149,Připomínky!$J$4:$J$503,"Nevyřešeno"))</f>
        <v/>
      </c>
      <c r="AF149" s="37" t="str">
        <f>IF($A149="","",COUNTIFS(Publikace!$A$4:$A$503,$A149))</f>
        <v/>
      </c>
      <c r="AG149" s="38" t="str">
        <f>IF($A149="","",IF(AF149=0,"",_xlfn.MINIFS(Publikace!$E$4:$E$503,Publikace!$A$4:$A$503,$A149)))</f>
        <v/>
      </c>
      <c r="AH149" s="37" t="str">
        <f t="shared" si="2"/>
        <v/>
      </c>
      <c r="AI149" s="39" t="str">
        <f ca="1">IF($A149="","",TRIM(IF(AND($U149&lt;&gt;"",$U149&lt;TODAY(),$W149&lt;&gt;"Schváleno",$W149&lt;&gt;"Odloženo",$W149&lt;&gt;"Zrušeno"),"Po termínu odevzdání. ","")&amp;IF(AND($W149="Schváleno",OR($X149="",$Y149="")),"Schváleno bez jména / data. ","")&amp;IF(OR($G149="",$H149="",$I149="",$F149=""),"Chybí zařazení (kategorie, typ, profil nebo měsíc). ","")&amp;IF(AND(OR($I149="Honza",$I149="Radek"),OR($J149="",$J149="Nevztahuje se")),"Doplnit charakter (osobní / pracovní). ","")&amp;IF(AND($W149="Schváleno",$AE149&gt;0),"Schváleno, ale má otevřené připomínky. ","")&amp;IF(AND($AA149="Publikováno",$AF149=0),"Publikováno bez záznamu v listu Publikace. ","")&amp;IF(AND($C149&lt;&gt;"",$D149=""),"Chybí číslo dílu série. ","")&amp;IF(AND($E149&lt;&gt;"",$W149&lt;&gt;"Schváleno",$W149&lt;&gt;"Odloženo",$W149&lt;&gt;"Zrušeno",IFERROR(VLOOKUP($E149,Nastavení!$A$30:$G$53,3,FALSE()),0)&gt;0,IFERROR(VLOOKUP($E149,Nastavení!$A$30:$G$53,3,FALSE()),0)&lt;TODAY()),"Neschváleno po termínu cyklu. ","")))</f>
        <v/>
      </c>
    </row>
    <row r="150" spans="1:35" x14ac:dyDescent="0.2">
      <c r="A150" s="35"/>
      <c r="B150" s="11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11"/>
      <c r="N150" s="11"/>
      <c r="O150" s="11"/>
      <c r="P150" s="11"/>
      <c r="Q150" s="11"/>
      <c r="R150" s="11"/>
      <c r="S150" s="11"/>
      <c r="T150" s="35"/>
      <c r="U150" s="36"/>
      <c r="V150" s="11"/>
      <c r="W150" s="35"/>
      <c r="X150" s="35"/>
      <c r="Y150" s="36"/>
      <c r="Z150" s="11"/>
      <c r="AA150" s="35"/>
      <c r="AB150" s="36"/>
      <c r="AC150" s="35"/>
      <c r="AD150" s="35"/>
      <c r="AE150" s="37" t="str">
        <f>IF($A150="","",COUNTIFS(Připomínky!$A$4:$A$503,$A150,Připomínky!$J$4:$J$503,"Nevyřešeno"))</f>
        <v/>
      </c>
      <c r="AF150" s="37" t="str">
        <f>IF($A150="","",COUNTIFS(Publikace!$A$4:$A$503,$A150))</f>
        <v/>
      </c>
      <c r="AG150" s="38" t="str">
        <f>IF($A150="","",IF(AF150=0,"",_xlfn.MINIFS(Publikace!$E$4:$E$503,Publikace!$A$4:$A$503,$A150)))</f>
        <v/>
      </c>
      <c r="AH150" s="37" t="str">
        <f t="shared" si="2"/>
        <v/>
      </c>
      <c r="AI150" s="39" t="str">
        <f ca="1">IF($A150="","",TRIM(IF(AND($U150&lt;&gt;"",$U150&lt;TODAY(),$W150&lt;&gt;"Schváleno",$W150&lt;&gt;"Odloženo",$W150&lt;&gt;"Zrušeno"),"Po termínu odevzdání. ","")&amp;IF(AND($W150="Schváleno",OR($X150="",$Y150="")),"Schváleno bez jména / data. ","")&amp;IF(OR($G150="",$H150="",$I150="",$F150=""),"Chybí zařazení (kategorie, typ, profil nebo měsíc). ","")&amp;IF(AND(OR($I150="Honza",$I150="Radek"),OR($J150="",$J150="Nevztahuje se")),"Doplnit charakter (osobní / pracovní). ","")&amp;IF(AND($W150="Schváleno",$AE150&gt;0),"Schváleno, ale má otevřené připomínky. ","")&amp;IF(AND($AA150="Publikováno",$AF150=0),"Publikováno bez záznamu v listu Publikace. ","")&amp;IF(AND($C150&lt;&gt;"",$D150=""),"Chybí číslo dílu série. ","")&amp;IF(AND($E150&lt;&gt;"",$W150&lt;&gt;"Schváleno",$W150&lt;&gt;"Odloženo",$W150&lt;&gt;"Zrušeno",IFERROR(VLOOKUP($E150,Nastavení!$A$30:$G$53,3,FALSE()),0)&gt;0,IFERROR(VLOOKUP($E150,Nastavení!$A$30:$G$53,3,FALSE()),0)&lt;TODAY()),"Neschváleno po termínu cyklu. ","")))</f>
        <v/>
      </c>
    </row>
    <row r="151" spans="1:35" x14ac:dyDescent="0.2">
      <c r="A151" s="35"/>
      <c r="B151" s="11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11"/>
      <c r="N151" s="11"/>
      <c r="O151" s="11"/>
      <c r="P151" s="11"/>
      <c r="Q151" s="11"/>
      <c r="R151" s="11"/>
      <c r="S151" s="11"/>
      <c r="T151" s="35"/>
      <c r="U151" s="36"/>
      <c r="V151" s="11"/>
      <c r="W151" s="35"/>
      <c r="X151" s="35"/>
      <c r="Y151" s="36"/>
      <c r="Z151" s="11"/>
      <c r="AA151" s="35"/>
      <c r="AB151" s="36"/>
      <c r="AC151" s="35"/>
      <c r="AD151" s="35"/>
      <c r="AE151" s="37" t="str">
        <f>IF($A151="","",COUNTIFS(Připomínky!$A$4:$A$503,$A151,Připomínky!$J$4:$J$503,"Nevyřešeno"))</f>
        <v/>
      </c>
      <c r="AF151" s="37" t="str">
        <f>IF($A151="","",COUNTIFS(Publikace!$A$4:$A$503,$A151))</f>
        <v/>
      </c>
      <c r="AG151" s="38" t="str">
        <f>IF($A151="","",IF(AF151=0,"",_xlfn.MINIFS(Publikace!$E$4:$E$503,Publikace!$A$4:$A$503,$A151)))</f>
        <v/>
      </c>
      <c r="AH151" s="37" t="str">
        <f t="shared" si="2"/>
        <v/>
      </c>
      <c r="AI151" s="39" t="str">
        <f ca="1">IF($A151="","",TRIM(IF(AND($U151&lt;&gt;"",$U151&lt;TODAY(),$W151&lt;&gt;"Schváleno",$W151&lt;&gt;"Odloženo",$W151&lt;&gt;"Zrušeno"),"Po termínu odevzdání. ","")&amp;IF(AND($W151="Schváleno",OR($X151="",$Y151="")),"Schváleno bez jména / data. ","")&amp;IF(OR($G151="",$H151="",$I151="",$F151=""),"Chybí zařazení (kategorie, typ, profil nebo měsíc). ","")&amp;IF(AND(OR($I151="Honza",$I151="Radek"),OR($J151="",$J151="Nevztahuje se")),"Doplnit charakter (osobní / pracovní). ","")&amp;IF(AND($W151="Schváleno",$AE151&gt;0),"Schváleno, ale má otevřené připomínky. ","")&amp;IF(AND($AA151="Publikováno",$AF151=0),"Publikováno bez záznamu v listu Publikace. ","")&amp;IF(AND($C151&lt;&gt;"",$D151=""),"Chybí číslo dílu série. ","")&amp;IF(AND($E151&lt;&gt;"",$W151&lt;&gt;"Schváleno",$W151&lt;&gt;"Odloženo",$W151&lt;&gt;"Zrušeno",IFERROR(VLOOKUP($E151,Nastavení!$A$30:$G$53,3,FALSE()),0)&gt;0,IFERROR(VLOOKUP($E151,Nastavení!$A$30:$G$53,3,FALSE()),0)&lt;TODAY()),"Neschváleno po termínu cyklu. ","")))</f>
        <v/>
      </c>
    </row>
    <row r="152" spans="1:35" x14ac:dyDescent="0.2">
      <c r="A152" s="35"/>
      <c r="B152" s="11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11"/>
      <c r="N152" s="11"/>
      <c r="O152" s="11"/>
      <c r="P152" s="11"/>
      <c r="Q152" s="11"/>
      <c r="R152" s="11"/>
      <c r="S152" s="11"/>
      <c r="T152" s="35"/>
      <c r="U152" s="36"/>
      <c r="V152" s="11"/>
      <c r="W152" s="35"/>
      <c r="X152" s="35"/>
      <c r="Y152" s="36"/>
      <c r="Z152" s="11"/>
      <c r="AA152" s="35"/>
      <c r="AB152" s="36"/>
      <c r="AC152" s="35"/>
      <c r="AD152" s="35"/>
      <c r="AE152" s="37" t="str">
        <f>IF($A152="","",COUNTIFS(Připomínky!$A$4:$A$503,$A152,Připomínky!$J$4:$J$503,"Nevyřešeno"))</f>
        <v/>
      </c>
      <c r="AF152" s="37" t="str">
        <f>IF($A152="","",COUNTIFS(Publikace!$A$4:$A$503,$A152))</f>
        <v/>
      </c>
      <c r="AG152" s="38" t="str">
        <f>IF($A152="","",IF(AF152=0,"",_xlfn.MINIFS(Publikace!$E$4:$E$503,Publikace!$A$4:$A$503,$A152)))</f>
        <v/>
      </c>
      <c r="AH152" s="37" t="str">
        <f t="shared" si="2"/>
        <v/>
      </c>
      <c r="AI152" s="39" t="str">
        <f ca="1">IF($A152="","",TRIM(IF(AND($U152&lt;&gt;"",$U152&lt;TODAY(),$W152&lt;&gt;"Schváleno",$W152&lt;&gt;"Odloženo",$W152&lt;&gt;"Zrušeno"),"Po termínu odevzdání. ","")&amp;IF(AND($W152="Schváleno",OR($X152="",$Y152="")),"Schváleno bez jména / data. ","")&amp;IF(OR($G152="",$H152="",$I152="",$F152=""),"Chybí zařazení (kategorie, typ, profil nebo měsíc). ","")&amp;IF(AND(OR($I152="Honza",$I152="Radek"),OR($J152="",$J152="Nevztahuje se")),"Doplnit charakter (osobní / pracovní). ","")&amp;IF(AND($W152="Schváleno",$AE152&gt;0),"Schváleno, ale má otevřené připomínky. ","")&amp;IF(AND($AA152="Publikováno",$AF152=0),"Publikováno bez záznamu v listu Publikace. ","")&amp;IF(AND($C152&lt;&gt;"",$D152=""),"Chybí číslo dílu série. ","")&amp;IF(AND($E152&lt;&gt;"",$W152&lt;&gt;"Schváleno",$W152&lt;&gt;"Odloženo",$W152&lt;&gt;"Zrušeno",IFERROR(VLOOKUP($E152,Nastavení!$A$30:$G$53,3,FALSE()),0)&gt;0,IFERROR(VLOOKUP($E152,Nastavení!$A$30:$G$53,3,FALSE()),0)&lt;TODAY()),"Neschváleno po termínu cyklu. ","")))</f>
        <v/>
      </c>
    </row>
    <row r="153" spans="1:35" x14ac:dyDescent="0.2">
      <c r="A153" s="35"/>
      <c r="B153" s="11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11"/>
      <c r="N153" s="11"/>
      <c r="O153" s="11"/>
      <c r="P153" s="11"/>
      <c r="Q153" s="11"/>
      <c r="R153" s="11"/>
      <c r="S153" s="11"/>
      <c r="T153" s="35"/>
      <c r="U153" s="36"/>
      <c r="V153" s="11"/>
      <c r="W153" s="35"/>
      <c r="X153" s="35"/>
      <c r="Y153" s="36"/>
      <c r="Z153" s="11"/>
      <c r="AA153" s="35"/>
      <c r="AB153" s="36"/>
      <c r="AC153" s="35"/>
      <c r="AD153" s="35"/>
      <c r="AE153" s="37" t="str">
        <f>IF($A153="","",COUNTIFS(Připomínky!$A$4:$A$503,$A153,Připomínky!$J$4:$J$503,"Nevyřešeno"))</f>
        <v/>
      </c>
      <c r="AF153" s="37" t="str">
        <f>IF($A153="","",COUNTIFS(Publikace!$A$4:$A$503,$A153))</f>
        <v/>
      </c>
      <c r="AG153" s="38" t="str">
        <f>IF($A153="","",IF(AF153=0,"",_xlfn.MINIFS(Publikace!$E$4:$E$503,Publikace!$A$4:$A$503,$A153)))</f>
        <v/>
      </c>
      <c r="AH153" s="37" t="str">
        <f t="shared" si="2"/>
        <v/>
      </c>
      <c r="AI153" s="39" t="str">
        <f ca="1">IF($A153="","",TRIM(IF(AND($U153&lt;&gt;"",$U153&lt;TODAY(),$W153&lt;&gt;"Schváleno",$W153&lt;&gt;"Odloženo",$W153&lt;&gt;"Zrušeno"),"Po termínu odevzdání. ","")&amp;IF(AND($W153="Schváleno",OR($X153="",$Y153="")),"Schváleno bez jména / data. ","")&amp;IF(OR($G153="",$H153="",$I153="",$F153=""),"Chybí zařazení (kategorie, typ, profil nebo měsíc). ","")&amp;IF(AND(OR($I153="Honza",$I153="Radek"),OR($J153="",$J153="Nevztahuje se")),"Doplnit charakter (osobní / pracovní). ","")&amp;IF(AND($W153="Schváleno",$AE153&gt;0),"Schváleno, ale má otevřené připomínky. ","")&amp;IF(AND($AA153="Publikováno",$AF153=0),"Publikováno bez záznamu v listu Publikace. ","")&amp;IF(AND($C153&lt;&gt;"",$D153=""),"Chybí číslo dílu série. ","")&amp;IF(AND($E153&lt;&gt;"",$W153&lt;&gt;"Schváleno",$W153&lt;&gt;"Odloženo",$W153&lt;&gt;"Zrušeno",IFERROR(VLOOKUP($E153,Nastavení!$A$30:$G$53,3,FALSE()),0)&gt;0,IFERROR(VLOOKUP($E153,Nastavení!$A$30:$G$53,3,FALSE()),0)&lt;TODAY()),"Neschváleno po termínu cyklu. ","")))</f>
        <v/>
      </c>
    </row>
    <row r="154" spans="1:35" x14ac:dyDescent="0.2">
      <c r="A154" s="35"/>
      <c r="B154" s="11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11"/>
      <c r="N154" s="11"/>
      <c r="O154" s="11"/>
      <c r="P154" s="11"/>
      <c r="Q154" s="11"/>
      <c r="R154" s="11"/>
      <c r="S154" s="11"/>
      <c r="T154" s="35"/>
      <c r="U154" s="36"/>
      <c r="V154" s="11"/>
      <c r="W154" s="35"/>
      <c r="X154" s="35"/>
      <c r="Y154" s="36"/>
      <c r="Z154" s="11"/>
      <c r="AA154" s="35"/>
      <c r="AB154" s="36"/>
      <c r="AC154" s="35"/>
      <c r="AD154" s="35"/>
      <c r="AE154" s="37" t="str">
        <f>IF($A154="","",COUNTIFS(Připomínky!$A$4:$A$503,$A154,Připomínky!$J$4:$J$503,"Nevyřešeno"))</f>
        <v/>
      </c>
      <c r="AF154" s="37" t="str">
        <f>IF($A154="","",COUNTIFS(Publikace!$A$4:$A$503,$A154))</f>
        <v/>
      </c>
      <c r="AG154" s="38" t="str">
        <f>IF($A154="","",IF(AF154=0,"",_xlfn.MINIFS(Publikace!$E$4:$E$503,Publikace!$A$4:$A$503,$A154)))</f>
        <v/>
      </c>
      <c r="AH154" s="37" t="str">
        <f t="shared" si="2"/>
        <v/>
      </c>
      <c r="AI154" s="39" t="str">
        <f ca="1">IF($A154="","",TRIM(IF(AND($U154&lt;&gt;"",$U154&lt;TODAY(),$W154&lt;&gt;"Schváleno",$W154&lt;&gt;"Odloženo",$W154&lt;&gt;"Zrušeno"),"Po termínu odevzdání. ","")&amp;IF(AND($W154="Schváleno",OR($X154="",$Y154="")),"Schváleno bez jména / data. ","")&amp;IF(OR($G154="",$H154="",$I154="",$F154=""),"Chybí zařazení (kategorie, typ, profil nebo měsíc). ","")&amp;IF(AND(OR($I154="Honza",$I154="Radek"),OR($J154="",$J154="Nevztahuje se")),"Doplnit charakter (osobní / pracovní). ","")&amp;IF(AND($W154="Schváleno",$AE154&gt;0),"Schváleno, ale má otevřené připomínky. ","")&amp;IF(AND($AA154="Publikováno",$AF154=0),"Publikováno bez záznamu v listu Publikace. ","")&amp;IF(AND($C154&lt;&gt;"",$D154=""),"Chybí číslo dílu série. ","")&amp;IF(AND($E154&lt;&gt;"",$W154&lt;&gt;"Schváleno",$W154&lt;&gt;"Odloženo",$W154&lt;&gt;"Zrušeno",IFERROR(VLOOKUP($E154,Nastavení!$A$30:$G$53,3,FALSE()),0)&gt;0,IFERROR(VLOOKUP($E154,Nastavení!$A$30:$G$53,3,FALSE()),0)&lt;TODAY()),"Neschváleno po termínu cyklu. ","")))</f>
        <v/>
      </c>
    </row>
    <row r="155" spans="1:35" x14ac:dyDescent="0.2">
      <c r="A155" s="35"/>
      <c r="B155" s="11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11"/>
      <c r="N155" s="11"/>
      <c r="O155" s="11"/>
      <c r="P155" s="11"/>
      <c r="Q155" s="11"/>
      <c r="R155" s="11"/>
      <c r="S155" s="11"/>
      <c r="T155" s="35"/>
      <c r="U155" s="36"/>
      <c r="V155" s="11"/>
      <c r="W155" s="35"/>
      <c r="X155" s="35"/>
      <c r="Y155" s="36"/>
      <c r="Z155" s="11"/>
      <c r="AA155" s="35"/>
      <c r="AB155" s="36"/>
      <c r="AC155" s="35"/>
      <c r="AD155" s="35"/>
      <c r="AE155" s="37" t="str">
        <f>IF($A155="","",COUNTIFS(Připomínky!$A$4:$A$503,$A155,Připomínky!$J$4:$J$503,"Nevyřešeno"))</f>
        <v/>
      </c>
      <c r="AF155" s="37" t="str">
        <f>IF($A155="","",COUNTIFS(Publikace!$A$4:$A$503,$A155))</f>
        <v/>
      </c>
      <c r="AG155" s="38" t="str">
        <f>IF($A155="","",IF(AF155=0,"",_xlfn.MINIFS(Publikace!$E$4:$E$503,Publikace!$A$4:$A$503,$A155)))</f>
        <v/>
      </c>
      <c r="AH155" s="37" t="str">
        <f t="shared" si="2"/>
        <v/>
      </c>
      <c r="AI155" s="39" t="str">
        <f ca="1">IF($A155="","",TRIM(IF(AND($U155&lt;&gt;"",$U155&lt;TODAY(),$W155&lt;&gt;"Schváleno",$W155&lt;&gt;"Odloženo",$W155&lt;&gt;"Zrušeno"),"Po termínu odevzdání. ","")&amp;IF(AND($W155="Schváleno",OR($X155="",$Y155="")),"Schváleno bez jména / data. ","")&amp;IF(OR($G155="",$H155="",$I155="",$F155=""),"Chybí zařazení (kategorie, typ, profil nebo měsíc). ","")&amp;IF(AND(OR($I155="Honza",$I155="Radek"),OR($J155="",$J155="Nevztahuje se")),"Doplnit charakter (osobní / pracovní). ","")&amp;IF(AND($W155="Schváleno",$AE155&gt;0),"Schváleno, ale má otevřené připomínky. ","")&amp;IF(AND($AA155="Publikováno",$AF155=0),"Publikováno bez záznamu v listu Publikace. ","")&amp;IF(AND($C155&lt;&gt;"",$D155=""),"Chybí číslo dílu série. ","")&amp;IF(AND($E155&lt;&gt;"",$W155&lt;&gt;"Schváleno",$W155&lt;&gt;"Odloženo",$W155&lt;&gt;"Zrušeno",IFERROR(VLOOKUP($E155,Nastavení!$A$30:$G$53,3,FALSE()),0)&gt;0,IFERROR(VLOOKUP($E155,Nastavení!$A$30:$G$53,3,FALSE()),0)&lt;TODAY()),"Neschváleno po termínu cyklu. ","")))</f>
        <v/>
      </c>
    </row>
    <row r="156" spans="1:35" x14ac:dyDescent="0.2">
      <c r="A156" s="35"/>
      <c r="B156" s="11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11"/>
      <c r="N156" s="11"/>
      <c r="O156" s="11"/>
      <c r="P156" s="11"/>
      <c r="Q156" s="11"/>
      <c r="R156" s="11"/>
      <c r="S156" s="11"/>
      <c r="T156" s="35"/>
      <c r="U156" s="36"/>
      <c r="V156" s="11"/>
      <c r="W156" s="35"/>
      <c r="X156" s="35"/>
      <c r="Y156" s="36"/>
      <c r="Z156" s="11"/>
      <c r="AA156" s="35"/>
      <c r="AB156" s="36"/>
      <c r="AC156" s="35"/>
      <c r="AD156" s="35"/>
      <c r="AE156" s="37" t="str">
        <f>IF($A156="","",COUNTIFS(Připomínky!$A$4:$A$503,$A156,Připomínky!$J$4:$J$503,"Nevyřešeno"))</f>
        <v/>
      </c>
      <c r="AF156" s="37" t="str">
        <f>IF($A156="","",COUNTIFS(Publikace!$A$4:$A$503,$A156))</f>
        <v/>
      </c>
      <c r="AG156" s="38" t="str">
        <f>IF($A156="","",IF(AF156=0,"",_xlfn.MINIFS(Publikace!$E$4:$E$503,Publikace!$A$4:$A$503,$A156)))</f>
        <v/>
      </c>
      <c r="AH156" s="37" t="str">
        <f t="shared" si="2"/>
        <v/>
      </c>
      <c r="AI156" s="39" t="str">
        <f ca="1">IF($A156="","",TRIM(IF(AND($U156&lt;&gt;"",$U156&lt;TODAY(),$W156&lt;&gt;"Schváleno",$W156&lt;&gt;"Odloženo",$W156&lt;&gt;"Zrušeno"),"Po termínu odevzdání. ","")&amp;IF(AND($W156="Schváleno",OR($X156="",$Y156="")),"Schváleno bez jména / data. ","")&amp;IF(OR($G156="",$H156="",$I156="",$F156=""),"Chybí zařazení (kategorie, typ, profil nebo měsíc). ","")&amp;IF(AND(OR($I156="Honza",$I156="Radek"),OR($J156="",$J156="Nevztahuje se")),"Doplnit charakter (osobní / pracovní). ","")&amp;IF(AND($W156="Schváleno",$AE156&gt;0),"Schváleno, ale má otevřené připomínky. ","")&amp;IF(AND($AA156="Publikováno",$AF156=0),"Publikováno bez záznamu v listu Publikace. ","")&amp;IF(AND($C156&lt;&gt;"",$D156=""),"Chybí číslo dílu série. ","")&amp;IF(AND($E156&lt;&gt;"",$W156&lt;&gt;"Schváleno",$W156&lt;&gt;"Odloženo",$W156&lt;&gt;"Zrušeno",IFERROR(VLOOKUP($E156,Nastavení!$A$30:$G$53,3,FALSE()),0)&gt;0,IFERROR(VLOOKUP($E156,Nastavení!$A$30:$G$53,3,FALSE()),0)&lt;TODAY()),"Neschváleno po termínu cyklu. ","")))</f>
        <v/>
      </c>
    </row>
    <row r="157" spans="1:35" x14ac:dyDescent="0.2">
      <c r="A157" s="35"/>
      <c r="B157" s="11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11"/>
      <c r="N157" s="11"/>
      <c r="O157" s="11"/>
      <c r="P157" s="11"/>
      <c r="Q157" s="11"/>
      <c r="R157" s="11"/>
      <c r="S157" s="11"/>
      <c r="T157" s="35"/>
      <c r="U157" s="36"/>
      <c r="V157" s="11"/>
      <c r="W157" s="35"/>
      <c r="X157" s="35"/>
      <c r="Y157" s="36"/>
      <c r="Z157" s="11"/>
      <c r="AA157" s="35"/>
      <c r="AB157" s="36"/>
      <c r="AC157" s="35"/>
      <c r="AD157" s="35"/>
      <c r="AE157" s="37" t="str">
        <f>IF($A157="","",COUNTIFS(Připomínky!$A$4:$A$503,$A157,Připomínky!$J$4:$J$503,"Nevyřešeno"))</f>
        <v/>
      </c>
      <c r="AF157" s="37" t="str">
        <f>IF($A157="","",COUNTIFS(Publikace!$A$4:$A$503,$A157))</f>
        <v/>
      </c>
      <c r="AG157" s="38" t="str">
        <f>IF($A157="","",IF(AF157=0,"",_xlfn.MINIFS(Publikace!$E$4:$E$503,Publikace!$A$4:$A$503,$A157)))</f>
        <v/>
      </c>
      <c r="AH157" s="37" t="str">
        <f t="shared" si="2"/>
        <v/>
      </c>
      <c r="AI157" s="39" t="str">
        <f ca="1">IF($A157="","",TRIM(IF(AND($U157&lt;&gt;"",$U157&lt;TODAY(),$W157&lt;&gt;"Schváleno",$W157&lt;&gt;"Odloženo",$W157&lt;&gt;"Zrušeno"),"Po termínu odevzdání. ","")&amp;IF(AND($W157="Schváleno",OR($X157="",$Y157="")),"Schváleno bez jména / data. ","")&amp;IF(OR($G157="",$H157="",$I157="",$F157=""),"Chybí zařazení (kategorie, typ, profil nebo měsíc). ","")&amp;IF(AND(OR($I157="Honza",$I157="Radek"),OR($J157="",$J157="Nevztahuje se")),"Doplnit charakter (osobní / pracovní). ","")&amp;IF(AND($W157="Schváleno",$AE157&gt;0),"Schváleno, ale má otevřené připomínky. ","")&amp;IF(AND($AA157="Publikováno",$AF157=0),"Publikováno bez záznamu v listu Publikace. ","")&amp;IF(AND($C157&lt;&gt;"",$D157=""),"Chybí číslo dílu série. ","")&amp;IF(AND($E157&lt;&gt;"",$W157&lt;&gt;"Schváleno",$W157&lt;&gt;"Odloženo",$W157&lt;&gt;"Zrušeno",IFERROR(VLOOKUP($E157,Nastavení!$A$30:$G$53,3,FALSE()),0)&gt;0,IFERROR(VLOOKUP($E157,Nastavení!$A$30:$G$53,3,FALSE()),0)&lt;TODAY()),"Neschváleno po termínu cyklu. ","")))</f>
        <v/>
      </c>
    </row>
    <row r="158" spans="1:35" x14ac:dyDescent="0.2">
      <c r="A158" s="35"/>
      <c r="B158" s="11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11"/>
      <c r="N158" s="11"/>
      <c r="O158" s="11"/>
      <c r="P158" s="11"/>
      <c r="Q158" s="11"/>
      <c r="R158" s="11"/>
      <c r="S158" s="11"/>
      <c r="T158" s="35"/>
      <c r="U158" s="36"/>
      <c r="V158" s="11"/>
      <c r="W158" s="35"/>
      <c r="X158" s="35"/>
      <c r="Y158" s="36"/>
      <c r="Z158" s="11"/>
      <c r="AA158" s="35"/>
      <c r="AB158" s="36"/>
      <c r="AC158" s="35"/>
      <c r="AD158" s="35"/>
      <c r="AE158" s="37" t="str">
        <f>IF($A158="","",COUNTIFS(Připomínky!$A$4:$A$503,$A158,Připomínky!$J$4:$J$503,"Nevyřešeno"))</f>
        <v/>
      </c>
      <c r="AF158" s="37" t="str">
        <f>IF($A158="","",COUNTIFS(Publikace!$A$4:$A$503,$A158))</f>
        <v/>
      </c>
      <c r="AG158" s="38" t="str">
        <f>IF($A158="","",IF(AF158=0,"",_xlfn.MINIFS(Publikace!$E$4:$E$503,Publikace!$A$4:$A$503,$A158)))</f>
        <v/>
      </c>
      <c r="AH158" s="37" t="str">
        <f t="shared" si="2"/>
        <v/>
      </c>
      <c r="AI158" s="39" t="str">
        <f ca="1">IF($A158="","",TRIM(IF(AND($U158&lt;&gt;"",$U158&lt;TODAY(),$W158&lt;&gt;"Schváleno",$W158&lt;&gt;"Odloženo",$W158&lt;&gt;"Zrušeno"),"Po termínu odevzdání. ","")&amp;IF(AND($W158="Schváleno",OR($X158="",$Y158="")),"Schváleno bez jména / data. ","")&amp;IF(OR($G158="",$H158="",$I158="",$F158=""),"Chybí zařazení (kategorie, typ, profil nebo měsíc). ","")&amp;IF(AND(OR($I158="Honza",$I158="Radek"),OR($J158="",$J158="Nevztahuje se")),"Doplnit charakter (osobní / pracovní). ","")&amp;IF(AND($W158="Schváleno",$AE158&gt;0),"Schváleno, ale má otevřené připomínky. ","")&amp;IF(AND($AA158="Publikováno",$AF158=0),"Publikováno bez záznamu v listu Publikace. ","")&amp;IF(AND($C158&lt;&gt;"",$D158=""),"Chybí číslo dílu série. ","")&amp;IF(AND($E158&lt;&gt;"",$W158&lt;&gt;"Schváleno",$W158&lt;&gt;"Odloženo",$W158&lt;&gt;"Zrušeno",IFERROR(VLOOKUP($E158,Nastavení!$A$30:$G$53,3,FALSE()),0)&gt;0,IFERROR(VLOOKUP($E158,Nastavení!$A$30:$G$53,3,FALSE()),0)&lt;TODAY()),"Neschváleno po termínu cyklu. ","")))</f>
        <v/>
      </c>
    </row>
    <row r="159" spans="1:35" x14ac:dyDescent="0.2">
      <c r="A159" s="35"/>
      <c r="B159" s="11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11"/>
      <c r="N159" s="11"/>
      <c r="O159" s="11"/>
      <c r="P159" s="11"/>
      <c r="Q159" s="11"/>
      <c r="R159" s="11"/>
      <c r="S159" s="11"/>
      <c r="T159" s="35"/>
      <c r="U159" s="36"/>
      <c r="V159" s="11"/>
      <c r="W159" s="35"/>
      <c r="X159" s="35"/>
      <c r="Y159" s="36"/>
      <c r="Z159" s="11"/>
      <c r="AA159" s="35"/>
      <c r="AB159" s="36"/>
      <c r="AC159" s="35"/>
      <c r="AD159" s="35"/>
      <c r="AE159" s="37" t="str">
        <f>IF($A159="","",COUNTIFS(Připomínky!$A$4:$A$503,$A159,Připomínky!$J$4:$J$503,"Nevyřešeno"))</f>
        <v/>
      </c>
      <c r="AF159" s="37" t="str">
        <f>IF($A159="","",COUNTIFS(Publikace!$A$4:$A$503,$A159))</f>
        <v/>
      </c>
      <c r="AG159" s="38" t="str">
        <f>IF($A159="","",IF(AF159=0,"",_xlfn.MINIFS(Publikace!$E$4:$E$503,Publikace!$A$4:$A$503,$A159)))</f>
        <v/>
      </c>
      <c r="AH159" s="37" t="str">
        <f t="shared" si="2"/>
        <v/>
      </c>
      <c r="AI159" s="39" t="str">
        <f ca="1">IF($A159="","",TRIM(IF(AND($U159&lt;&gt;"",$U159&lt;TODAY(),$W159&lt;&gt;"Schváleno",$W159&lt;&gt;"Odloženo",$W159&lt;&gt;"Zrušeno"),"Po termínu odevzdání. ","")&amp;IF(AND($W159="Schváleno",OR($X159="",$Y159="")),"Schváleno bez jména / data. ","")&amp;IF(OR($G159="",$H159="",$I159="",$F159=""),"Chybí zařazení (kategorie, typ, profil nebo měsíc). ","")&amp;IF(AND(OR($I159="Honza",$I159="Radek"),OR($J159="",$J159="Nevztahuje se")),"Doplnit charakter (osobní / pracovní). ","")&amp;IF(AND($W159="Schváleno",$AE159&gt;0),"Schváleno, ale má otevřené připomínky. ","")&amp;IF(AND($AA159="Publikováno",$AF159=0),"Publikováno bez záznamu v listu Publikace. ","")&amp;IF(AND($C159&lt;&gt;"",$D159=""),"Chybí číslo dílu série. ","")&amp;IF(AND($E159&lt;&gt;"",$W159&lt;&gt;"Schváleno",$W159&lt;&gt;"Odloženo",$W159&lt;&gt;"Zrušeno",IFERROR(VLOOKUP($E159,Nastavení!$A$30:$G$53,3,FALSE()),0)&gt;0,IFERROR(VLOOKUP($E159,Nastavení!$A$30:$G$53,3,FALSE()),0)&lt;TODAY()),"Neschváleno po termínu cyklu. ","")))</f>
        <v/>
      </c>
    </row>
    <row r="160" spans="1:35" x14ac:dyDescent="0.2">
      <c r="A160" s="35"/>
      <c r="B160" s="11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11"/>
      <c r="N160" s="11"/>
      <c r="O160" s="11"/>
      <c r="P160" s="11"/>
      <c r="Q160" s="11"/>
      <c r="R160" s="11"/>
      <c r="S160" s="11"/>
      <c r="T160" s="35"/>
      <c r="U160" s="36"/>
      <c r="V160" s="11"/>
      <c r="W160" s="35"/>
      <c r="X160" s="35"/>
      <c r="Y160" s="36"/>
      <c r="Z160" s="11"/>
      <c r="AA160" s="35"/>
      <c r="AB160" s="36"/>
      <c r="AC160" s="35"/>
      <c r="AD160" s="35"/>
      <c r="AE160" s="37" t="str">
        <f>IF($A160="","",COUNTIFS(Připomínky!$A$4:$A$503,$A160,Připomínky!$J$4:$J$503,"Nevyřešeno"))</f>
        <v/>
      </c>
      <c r="AF160" s="37" t="str">
        <f>IF($A160="","",COUNTIFS(Publikace!$A$4:$A$503,$A160))</f>
        <v/>
      </c>
      <c r="AG160" s="38" t="str">
        <f>IF($A160="","",IF(AF160=0,"",_xlfn.MINIFS(Publikace!$E$4:$E$503,Publikace!$A$4:$A$503,$A160)))</f>
        <v/>
      </c>
      <c r="AH160" s="37" t="str">
        <f t="shared" si="2"/>
        <v/>
      </c>
      <c r="AI160" s="39" t="str">
        <f ca="1">IF($A160="","",TRIM(IF(AND($U160&lt;&gt;"",$U160&lt;TODAY(),$W160&lt;&gt;"Schváleno",$W160&lt;&gt;"Odloženo",$W160&lt;&gt;"Zrušeno"),"Po termínu odevzdání. ","")&amp;IF(AND($W160="Schváleno",OR($X160="",$Y160="")),"Schváleno bez jména / data. ","")&amp;IF(OR($G160="",$H160="",$I160="",$F160=""),"Chybí zařazení (kategorie, typ, profil nebo měsíc). ","")&amp;IF(AND(OR($I160="Honza",$I160="Radek"),OR($J160="",$J160="Nevztahuje se")),"Doplnit charakter (osobní / pracovní). ","")&amp;IF(AND($W160="Schváleno",$AE160&gt;0),"Schváleno, ale má otevřené připomínky. ","")&amp;IF(AND($AA160="Publikováno",$AF160=0),"Publikováno bez záznamu v listu Publikace. ","")&amp;IF(AND($C160&lt;&gt;"",$D160=""),"Chybí číslo dílu série. ","")&amp;IF(AND($E160&lt;&gt;"",$W160&lt;&gt;"Schváleno",$W160&lt;&gt;"Odloženo",$W160&lt;&gt;"Zrušeno",IFERROR(VLOOKUP($E160,Nastavení!$A$30:$G$53,3,FALSE()),0)&gt;0,IFERROR(VLOOKUP($E160,Nastavení!$A$30:$G$53,3,FALSE()),0)&lt;TODAY()),"Neschváleno po termínu cyklu. ","")))</f>
        <v/>
      </c>
    </row>
    <row r="161" spans="1:35" x14ac:dyDescent="0.2">
      <c r="A161" s="35"/>
      <c r="B161" s="11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11"/>
      <c r="N161" s="11"/>
      <c r="O161" s="11"/>
      <c r="P161" s="11"/>
      <c r="Q161" s="11"/>
      <c r="R161" s="11"/>
      <c r="S161" s="11"/>
      <c r="T161" s="35"/>
      <c r="U161" s="36"/>
      <c r="V161" s="11"/>
      <c r="W161" s="35"/>
      <c r="X161" s="35"/>
      <c r="Y161" s="36"/>
      <c r="Z161" s="11"/>
      <c r="AA161" s="35"/>
      <c r="AB161" s="36"/>
      <c r="AC161" s="35"/>
      <c r="AD161" s="35"/>
      <c r="AE161" s="37" t="str">
        <f>IF($A161="","",COUNTIFS(Připomínky!$A$4:$A$503,$A161,Připomínky!$J$4:$J$503,"Nevyřešeno"))</f>
        <v/>
      </c>
      <c r="AF161" s="37" t="str">
        <f>IF($A161="","",COUNTIFS(Publikace!$A$4:$A$503,$A161))</f>
        <v/>
      </c>
      <c r="AG161" s="38" t="str">
        <f>IF($A161="","",IF(AF161=0,"",_xlfn.MINIFS(Publikace!$E$4:$E$503,Publikace!$A$4:$A$503,$A161)))</f>
        <v/>
      </c>
      <c r="AH161" s="37" t="str">
        <f t="shared" si="2"/>
        <v/>
      </c>
      <c r="AI161" s="39" t="str">
        <f ca="1">IF($A161="","",TRIM(IF(AND($U161&lt;&gt;"",$U161&lt;TODAY(),$W161&lt;&gt;"Schváleno",$W161&lt;&gt;"Odloženo",$W161&lt;&gt;"Zrušeno"),"Po termínu odevzdání. ","")&amp;IF(AND($W161="Schváleno",OR($X161="",$Y161="")),"Schváleno bez jména / data. ","")&amp;IF(OR($G161="",$H161="",$I161="",$F161=""),"Chybí zařazení (kategorie, typ, profil nebo měsíc). ","")&amp;IF(AND(OR($I161="Honza",$I161="Radek"),OR($J161="",$J161="Nevztahuje se")),"Doplnit charakter (osobní / pracovní). ","")&amp;IF(AND($W161="Schváleno",$AE161&gt;0),"Schváleno, ale má otevřené připomínky. ","")&amp;IF(AND($AA161="Publikováno",$AF161=0),"Publikováno bez záznamu v listu Publikace. ","")&amp;IF(AND($C161&lt;&gt;"",$D161=""),"Chybí číslo dílu série. ","")&amp;IF(AND($E161&lt;&gt;"",$W161&lt;&gt;"Schváleno",$W161&lt;&gt;"Odloženo",$W161&lt;&gt;"Zrušeno",IFERROR(VLOOKUP($E161,Nastavení!$A$30:$G$53,3,FALSE()),0)&gt;0,IFERROR(VLOOKUP($E161,Nastavení!$A$30:$G$53,3,FALSE()),0)&lt;TODAY()),"Neschváleno po termínu cyklu. ","")))</f>
        <v/>
      </c>
    </row>
    <row r="162" spans="1:35" x14ac:dyDescent="0.2">
      <c r="A162" s="35"/>
      <c r="B162" s="11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11"/>
      <c r="N162" s="11"/>
      <c r="O162" s="11"/>
      <c r="P162" s="11"/>
      <c r="Q162" s="11"/>
      <c r="R162" s="11"/>
      <c r="S162" s="11"/>
      <c r="T162" s="35"/>
      <c r="U162" s="36"/>
      <c r="V162" s="11"/>
      <c r="W162" s="35"/>
      <c r="X162" s="35"/>
      <c r="Y162" s="36"/>
      <c r="Z162" s="11"/>
      <c r="AA162" s="35"/>
      <c r="AB162" s="36"/>
      <c r="AC162" s="35"/>
      <c r="AD162" s="35"/>
      <c r="AE162" s="37" t="str">
        <f>IF($A162="","",COUNTIFS(Připomínky!$A$4:$A$503,$A162,Připomínky!$J$4:$J$503,"Nevyřešeno"))</f>
        <v/>
      </c>
      <c r="AF162" s="37" t="str">
        <f>IF($A162="","",COUNTIFS(Publikace!$A$4:$A$503,$A162))</f>
        <v/>
      </c>
      <c r="AG162" s="38" t="str">
        <f>IF($A162="","",IF(AF162=0,"",_xlfn.MINIFS(Publikace!$E$4:$E$503,Publikace!$A$4:$A$503,$A162)))</f>
        <v/>
      </c>
      <c r="AH162" s="37" t="str">
        <f t="shared" si="2"/>
        <v/>
      </c>
      <c r="AI162" s="39" t="str">
        <f ca="1">IF($A162="","",TRIM(IF(AND($U162&lt;&gt;"",$U162&lt;TODAY(),$W162&lt;&gt;"Schváleno",$W162&lt;&gt;"Odloženo",$W162&lt;&gt;"Zrušeno"),"Po termínu odevzdání. ","")&amp;IF(AND($W162="Schváleno",OR($X162="",$Y162="")),"Schváleno bez jména / data. ","")&amp;IF(OR($G162="",$H162="",$I162="",$F162=""),"Chybí zařazení (kategorie, typ, profil nebo měsíc). ","")&amp;IF(AND(OR($I162="Honza",$I162="Radek"),OR($J162="",$J162="Nevztahuje se")),"Doplnit charakter (osobní / pracovní). ","")&amp;IF(AND($W162="Schváleno",$AE162&gt;0),"Schváleno, ale má otevřené připomínky. ","")&amp;IF(AND($AA162="Publikováno",$AF162=0),"Publikováno bez záznamu v listu Publikace. ","")&amp;IF(AND($C162&lt;&gt;"",$D162=""),"Chybí číslo dílu série. ","")&amp;IF(AND($E162&lt;&gt;"",$W162&lt;&gt;"Schváleno",$W162&lt;&gt;"Odloženo",$W162&lt;&gt;"Zrušeno",IFERROR(VLOOKUP($E162,Nastavení!$A$30:$G$53,3,FALSE()),0)&gt;0,IFERROR(VLOOKUP($E162,Nastavení!$A$30:$G$53,3,FALSE()),0)&lt;TODAY()),"Neschváleno po termínu cyklu. ","")))</f>
        <v/>
      </c>
    </row>
    <row r="163" spans="1:35" x14ac:dyDescent="0.2">
      <c r="A163" s="35"/>
      <c r="B163" s="11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11"/>
      <c r="N163" s="11"/>
      <c r="O163" s="11"/>
      <c r="P163" s="11"/>
      <c r="Q163" s="11"/>
      <c r="R163" s="11"/>
      <c r="S163" s="11"/>
      <c r="T163" s="35"/>
      <c r="U163" s="36"/>
      <c r="V163" s="11"/>
      <c r="W163" s="35"/>
      <c r="X163" s="35"/>
      <c r="Y163" s="36"/>
      <c r="Z163" s="11"/>
      <c r="AA163" s="35"/>
      <c r="AB163" s="36"/>
      <c r="AC163" s="35"/>
      <c r="AD163" s="35"/>
      <c r="AE163" s="37" t="str">
        <f>IF($A163="","",COUNTIFS(Připomínky!$A$4:$A$503,$A163,Připomínky!$J$4:$J$503,"Nevyřešeno"))</f>
        <v/>
      </c>
      <c r="AF163" s="37" t="str">
        <f>IF($A163="","",COUNTIFS(Publikace!$A$4:$A$503,$A163))</f>
        <v/>
      </c>
      <c r="AG163" s="38" t="str">
        <f>IF($A163="","",IF(AF163=0,"",_xlfn.MINIFS(Publikace!$E$4:$E$503,Publikace!$A$4:$A$503,$A163)))</f>
        <v/>
      </c>
      <c r="AH163" s="37" t="str">
        <f t="shared" si="2"/>
        <v/>
      </c>
      <c r="AI163" s="39" t="str">
        <f ca="1">IF($A163="","",TRIM(IF(AND($U163&lt;&gt;"",$U163&lt;TODAY(),$W163&lt;&gt;"Schváleno",$W163&lt;&gt;"Odloženo",$W163&lt;&gt;"Zrušeno"),"Po termínu odevzdání. ","")&amp;IF(AND($W163="Schváleno",OR($X163="",$Y163="")),"Schváleno bez jména / data. ","")&amp;IF(OR($G163="",$H163="",$I163="",$F163=""),"Chybí zařazení (kategorie, typ, profil nebo měsíc). ","")&amp;IF(AND(OR($I163="Honza",$I163="Radek"),OR($J163="",$J163="Nevztahuje se")),"Doplnit charakter (osobní / pracovní). ","")&amp;IF(AND($W163="Schváleno",$AE163&gt;0),"Schváleno, ale má otevřené připomínky. ","")&amp;IF(AND($AA163="Publikováno",$AF163=0),"Publikováno bez záznamu v listu Publikace. ","")&amp;IF(AND($C163&lt;&gt;"",$D163=""),"Chybí číslo dílu série. ","")&amp;IF(AND($E163&lt;&gt;"",$W163&lt;&gt;"Schváleno",$W163&lt;&gt;"Odloženo",$W163&lt;&gt;"Zrušeno",IFERROR(VLOOKUP($E163,Nastavení!$A$30:$G$53,3,FALSE()),0)&gt;0,IFERROR(VLOOKUP($E163,Nastavení!$A$30:$G$53,3,FALSE()),0)&lt;TODAY()),"Neschváleno po termínu cyklu. ","")))</f>
        <v/>
      </c>
    </row>
    <row r="164" spans="1:35" x14ac:dyDescent="0.2">
      <c r="A164" s="35"/>
      <c r="B164" s="11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11"/>
      <c r="N164" s="11"/>
      <c r="O164" s="11"/>
      <c r="P164" s="11"/>
      <c r="Q164" s="11"/>
      <c r="R164" s="11"/>
      <c r="S164" s="11"/>
      <c r="T164" s="35"/>
      <c r="U164" s="36"/>
      <c r="V164" s="11"/>
      <c r="W164" s="35"/>
      <c r="X164" s="35"/>
      <c r="Y164" s="36"/>
      <c r="Z164" s="11"/>
      <c r="AA164" s="35"/>
      <c r="AB164" s="36"/>
      <c r="AC164" s="35"/>
      <c r="AD164" s="35"/>
      <c r="AE164" s="37" t="str">
        <f>IF($A164="","",COUNTIFS(Připomínky!$A$4:$A$503,$A164,Připomínky!$J$4:$J$503,"Nevyřešeno"))</f>
        <v/>
      </c>
      <c r="AF164" s="37" t="str">
        <f>IF($A164="","",COUNTIFS(Publikace!$A$4:$A$503,$A164))</f>
        <v/>
      </c>
      <c r="AG164" s="38" t="str">
        <f>IF($A164="","",IF(AF164=0,"",_xlfn.MINIFS(Publikace!$E$4:$E$503,Publikace!$A$4:$A$503,$A164)))</f>
        <v/>
      </c>
      <c r="AH164" s="37" t="str">
        <f t="shared" si="2"/>
        <v/>
      </c>
      <c r="AI164" s="39" t="str">
        <f ca="1">IF($A164="","",TRIM(IF(AND($U164&lt;&gt;"",$U164&lt;TODAY(),$W164&lt;&gt;"Schváleno",$W164&lt;&gt;"Odloženo",$W164&lt;&gt;"Zrušeno"),"Po termínu odevzdání. ","")&amp;IF(AND($W164="Schváleno",OR($X164="",$Y164="")),"Schváleno bez jména / data. ","")&amp;IF(OR($G164="",$H164="",$I164="",$F164=""),"Chybí zařazení (kategorie, typ, profil nebo měsíc). ","")&amp;IF(AND(OR($I164="Honza",$I164="Radek"),OR($J164="",$J164="Nevztahuje se")),"Doplnit charakter (osobní / pracovní). ","")&amp;IF(AND($W164="Schváleno",$AE164&gt;0),"Schváleno, ale má otevřené připomínky. ","")&amp;IF(AND($AA164="Publikováno",$AF164=0),"Publikováno bez záznamu v listu Publikace. ","")&amp;IF(AND($C164&lt;&gt;"",$D164=""),"Chybí číslo dílu série. ","")&amp;IF(AND($E164&lt;&gt;"",$W164&lt;&gt;"Schváleno",$W164&lt;&gt;"Odloženo",$W164&lt;&gt;"Zrušeno",IFERROR(VLOOKUP($E164,Nastavení!$A$30:$G$53,3,FALSE()),0)&gt;0,IFERROR(VLOOKUP($E164,Nastavení!$A$30:$G$53,3,FALSE()),0)&lt;TODAY()),"Neschváleno po termínu cyklu. ","")))</f>
        <v/>
      </c>
    </row>
    <row r="165" spans="1:35" x14ac:dyDescent="0.2">
      <c r="A165" s="35"/>
      <c r="B165" s="11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11"/>
      <c r="N165" s="11"/>
      <c r="O165" s="11"/>
      <c r="P165" s="11"/>
      <c r="Q165" s="11"/>
      <c r="R165" s="11"/>
      <c r="S165" s="11"/>
      <c r="T165" s="35"/>
      <c r="U165" s="36"/>
      <c r="V165" s="11"/>
      <c r="W165" s="35"/>
      <c r="X165" s="35"/>
      <c r="Y165" s="36"/>
      <c r="Z165" s="11"/>
      <c r="AA165" s="35"/>
      <c r="AB165" s="36"/>
      <c r="AC165" s="35"/>
      <c r="AD165" s="35"/>
      <c r="AE165" s="37" t="str">
        <f>IF($A165="","",COUNTIFS(Připomínky!$A$4:$A$503,$A165,Připomínky!$J$4:$J$503,"Nevyřešeno"))</f>
        <v/>
      </c>
      <c r="AF165" s="37" t="str">
        <f>IF($A165="","",COUNTIFS(Publikace!$A$4:$A$503,$A165))</f>
        <v/>
      </c>
      <c r="AG165" s="38" t="str">
        <f>IF($A165="","",IF(AF165=0,"",_xlfn.MINIFS(Publikace!$E$4:$E$503,Publikace!$A$4:$A$503,$A165)))</f>
        <v/>
      </c>
      <c r="AH165" s="37" t="str">
        <f t="shared" si="2"/>
        <v/>
      </c>
      <c r="AI165" s="39" t="str">
        <f ca="1">IF($A165="","",TRIM(IF(AND($U165&lt;&gt;"",$U165&lt;TODAY(),$W165&lt;&gt;"Schváleno",$W165&lt;&gt;"Odloženo",$W165&lt;&gt;"Zrušeno"),"Po termínu odevzdání. ","")&amp;IF(AND($W165="Schváleno",OR($X165="",$Y165="")),"Schváleno bez jména / data. ","")&amp;IF(OR($G165="",$H165="",$I165="",$F165=""),"Chybí zařazení (kategorie, typ, profil nebo měsíc). ","")&amp;IF(AND(OR($I165="Honza",$I165="Radek"),OR($J165="",$J165="Nevztahuje se")),"Doplnit charakter (osobní / pracovní). ","")&amp;IF(AND($W165="Schváleno",$AE165&gt;0),"Schváleno, ale má otevřené připomínky. ","")&amp;IF(AND($AA165="Publikováno",$AF165=0),"Publikováno bez záznamu v listu Publikace. ","")&amp;IF(AND($C165&lt;&gt;"",$D165=""),"Chybí číslo dílu série. ","")&amp;IF(AND($E165&lt;&gt;"",$W165&lt;&gt;"Schváleno",$W165&lt;&gt;"Odloženo",$W165&lt;&gt;"Zrušeno",IFERROR(VLOOKUP($E165,Nastavení!$A$30:$G$53,3,FALSE()),0)&gt;0,IFERROR(VLOOKUP($E165,Nastavení!$A$30:$G$53,3,FALSE()),0)&lt;TODAY()),"Neschváleno po termínu cyklu. ","")))</f>
        <v/>
      </c>
    </row>
    <row r="166" spans="1:35" x14ac:dyDescent="0.2">
      <c r="A166" s="35"/>
      <c r="B166" s="11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11"/>
      <c r="N166" s="11"/>
      <c r="O166" s="11"/>
      <c r="P166" s="11"/>
      <c r="Q166" s="11"/>
      <c r="R166" s="11"/>
      <c r="S166" s="11"/>
      <c r="T166" s="35"/>
      <c r="U166" s="36"/>
      <c r="V166" s="11"/>
      <c r="W166" s="35"/>
      <c r="X166" s="35"/>
      <c r="Y166" s="36"/>
      <c r="Z166" s="11"/>
      <c r="AA166" s="35"/>
      <c r="AB166" s="36"/>
      <c r="AC166" s="35"/>
      <c r="AD166" s="35"/>
      <c r="AE166" s="37" t="str">
        <f>IF($A166="","",COUNTIFS(Připomínky!$A$4:$A$503,$A166,Připomínky!$J$4:$J$503,"Nevyřešeno"))</f>
        <v/>
      </c>
      <c r="AF166" s="37" t="str">
        <f>IF($A166="","",COUNTIFS(Publikace!$A$4:$A$503,$A166))</f>
        <v/>
      </c>
      <c r="AG166" s="38" t="str">
        <f>IF($A166="","",IF(AF166=0,"",_xlfn.MINIFS(Publikace!$E$4:$E$503,Publikace!$A$4:$A$503,$A166)))</f>
        <v/>
      </c>
      <c r="AH166" s="37" t="str">
        <f t="shared" si="2"/>
        <v/>
      </c>
      <c r="AI166" s="39" t="str">
        <f ca="1">IF($A166="","",TRIM(IF(AND($U166&lt;&gt;"",$U166&lt;TODAY(),$W166&lt;&gt;"Schváleno",$W166&lt;&gt;"Odloženo",$W166&lt;&gt;"Zrušeno"),"Po termínu odevzdání. ","")&amp;IF(AND($W166="Schváleno",OR($X166="",$Y166="")),"Schváleno bez jména / data. ","")&amp;IF(OR($G166="",$H166="",$I166="",$F166=""),"Chybí zařazení (kategorie, typ, profil nebo měsíc). ","")&amp;IF(AND(OR($I166="Honza",$I166="Radek"),OR($J166="",$J166="Nevztahuje se")),"Doplnit charakter (osobní / pracovní). ","")&amp;IF(AND($W166="Schváleno",$AE166&gt;0),"Schváleno, ale má otevřené připomínky. ","")&amp;IF(AND($AA166="Publikováno",$AF166=0),"Publikováno bez záznamu v listu Publikace. ","")&amp;IF(AND($C166&lt;&gt;"",$D166=""),"Chybí číslo dílu série. ","")&amp;IF(AND($E166&lt;&gt;"",$W166&lt;&gt;"Schváleno",$W166&lt;&gt;"Odloženo",$W166&lt;&gt;"Zrušeno",IFERROR(VLOOKUP($E166,Nastavení!$A$30:$G$53,3,FALSE()),0)&gt;0,IFERROR(VLOOKUP($E166,Nastavení!$A$30:$G$53,3,FALSE()),0)&lt;TODAY()),"Neschváleno po termínu cyklu. ","")))</f>
        <v/>
      </c>
    </row>
    <row r="167" spans="1:35" x14ac:dyDescent="0.2">
      <c r="A167" s="35"/>
      <c r="B167" s="11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11"/>
      <c r="N167" s="11"/>
      <c r="O167" s="11"/>
      <c r="P167" s="11"/>
      <c r="Q167" s="11"/>
      <c r="R167" s="11"/>
      <c r="S167" s="11"/>
      <c r="T167" s="35"/>
      <c r="U167" s="36"/>
      <c r="V167" s="11"/>
      <c r="W167" s="35"/>
      <c r="X167" s="35"/>
      <c r="Y167" s="36"/>
      <c r="Z167" s="11"/>
      <c r="AA167" s="35"/>
      <c r="AB167" s="36"/>
      <c r="AC167" s="35"/>
      <c r="AD167" s="35"/>
      <c r="AE167" s="37" t="str">
        <f>IF($A167="","",COUNTIFS(Připomínky!$A$4:$A$503,$A167,Připomínky!$J$4:$J$503,"Nevyřešeno"))</f>
        <v/>
      </c>
      <c r="AF167" s="37" t="str">
        <f>IF($A167="","",COUNTIFS(Publikace!$A$4:$A$503,$A167))</f>
        <v/>
      </c>
      <c r="AG167" s="38" t="str">
        <f>IF($A167="","",IF(AF167=0,"",_xlfn.MINIFS(Publikace!$E$4:$E$503,Publikace!$A$4:$A$503,$A167)))</f>
        <v/>
      </c>
      <c r="AH167" s="37" t="str">
        <f t="shared" si="2"/>
        <v/>
      </c>
      <c r="AI167" s="39" t="str">
        <f ca="1">IF($A167="","",TRIM(IF(AND($U167&lt;&gt;"",$U167&lt;TODAY(),$W167&lt;&gt;"Schváleno",$W167&lt;&gt;"Odloženo",$W167&lt;&gt;"Zrušeno"),"Po termínu odevzdání. ","")&amp;IF(AND($W167="Schváleno",OR($X167="",$Y167="")),"Schváleno bez jména / data. ","")&amp;IF(OR($G167="",$H167="",$I167="",$F167=""),"Chybí zařazení (kategorie, typ, profil nebo měsíc). ","")&amp;IF(AND(OR($I167="Honza",$I167="Radek"),OR($J167="",$J167="Nevztahuje se")),"Doplnit charakter (osobní / pracovní). ","")&amp;IF(AND($W167="Schváleno",$AE167&gt;0),"Schváleno, ale má otevřené připomínky. ","")&amp;IF(AND($AA167="Publikováno",$AF167=0),"Publikováno bez záznamu v listu Publikace. ","")&amp;IF(AND($C167&lt;&gt;"",$D167=""),"Chybí číslo dílu série. ","")&amp;IF(AND($E167&lt;&gt;"",$W167&lt;&gt;"Schváleno",$W167&lt;&gt;"Odloženo",$W167&lt;&gt;"Zrušeno",IFERROR(VLOOKUP($E167,Nastavení!$A$30:$G$53,3,FALSE()),0)&gt;0,IFERROR(VLOOKUP($E167,Nastavení!$A$30:$G$53,3,FALSE()),0)&lt;TODAY()),"Neschváleno po termínu cyklu. ","")))</f>
        <v/>
      </c>
    </row>
    <row r="168" spans="1:35" x14ac:dyDescent="0.2">
      <c r="A168" s="35"/>
      <c r="B168" s="11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11"/>
      <c r="N168" s="11"/>
      <c r="O168" s="11"/>
      <c r="P168" s="11"/>
      <c r="Q168" s="11"/>
      <c r="R168" s="11"/>
      <c r="S168" s="11"/>
      <c r="T168" s="35"/>
      <c r="U168" s="36"/>
      <c r="V168" s="11"/>
      <c r="W168" s="35"/>
      <c r="X168" s="35"/>
      <c r="Y168" s="36"/>
      <c r="Z168" s="11"/>
      <c r="AA168" s="35"/>
      <c r="AB168" s="36"/>
      <c r="AC168" s="35"/>
      <c r="AD168" s="35"/>
      <c r="AE168" s="37" t="str">
        <f>IF($A168="","",COUNTIFS(Připomínky!$A$4:$A$503,$A168,Připomínky!$J$4:$J$503,"Nevyřešeno"))</f>
        <v/>
      </c>
      <c r="AF168" s="37" t="str">
        <f>IF($A168="","",COUNTIFS(Publikace!$A$4:$A$503,$A168))</f>
        <v/>
      </c>
      <c r="AG168" s="38" t="str">
        <f>IF($A168="","",IF(AF168=0,"",_xlfn.MINIFS(Publikace!$E$4:$E$503,Publikace!$A$4:$A$503,$A168)))</f>
        <v/>
      </c>
      <c r="AH168" s="37" t="str">
        <f t="shared" si="2"/>
        <v/>
      </c>
      <c r="AI168" s="39" t="str">
        <f ca="1">IF($A168="","",TRIM(IF(AND($U168&lt;&gt;"",$U168&lt;TODAY(),$W168&lt;&gt;"Schváleno",$W168&lt;&gt;"Odloženo",$W168&lt;&gt;"Zrušeno"),"Po termínu odevzdání. ","")&amp;IF(AND($W168="Schváleno",OR($X168="",$Y168="")),"Schváleno bez jména / data. ","")&amp;IF(OR($G168="",$H168="",$I168="",$F168=""),"Chybí zařazení (kategorie, typ, profil nebo měsíc). ","")&amp;IF(AND(OR($I168="Honza",$I168="Radek"),OR($J168="",$J168="Nevztahuje se")),"Doplnit charakter (osobní / pracovní). ","")&amp;IF(AND($W168="Schváleno",$AE168&gt;0),"Schváleno, ale má otevřené připomínky. ","")&amp;IF(AND($AA168="Publikováno",$AF168=0),"Publikováno bez záznamu v listu Publikace. ","")&amp;IF(AND($C168&lt;&gt;"",$D168=""),"Chybí číslo dílu série. ","")&amp;IF(AND($E168&lt;&gt;"",$W168&lt;&gt;"Schváleno",$W168&lt;&gt;"Odloženo",$W168&lt;&gt;"Zrušeno",IFERROR(VLOOKUP($E168,Nastavení!$A$30:$G$53,3,FALSE()),0)&gt;0,IFERROR(VLOOKUP($E168,Nastavení!$A$30:$G$53,3,FALSE()),0)&lt;TODAY()),"Neschváleno po termínu cyklu. ","")))</f>
        <v/>
      </c>
    </row>
    <row r="169" spans="1:35" x14ac:dyDescent="0.2">
      <c r="A169" s="35"/>
      <c r="B169" s="11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11"/>
      <c r="N169" s="11"/>
      <c r="O169" s="11"/>
      <c r="P169" s="11"/>
      <c r="Q169" s="11"/>
      <c r="R169" s="11"/>
      <c r="S169" s="11"/>
      <c r="T169" s="35"/>
      <c r="U169" s="36"/>
      <c r="V169" s="11"/>
      <c r="W169" s="35"/>
      <c r="X169" s="35"/>
      <c r="Y169" s="36"/>
      <c r="Z169" s="11"/>
      <c r="AA169" s="35"/>
      <c r="AB169" s="36"/>
      <c r="AC169" s="35"/>
      <c r="AD169" s="35"/>
      <c r="AE169" s="37" t="str">
        <f>IF($A169="","",COUNTIFS(Připomínky!$A$4:$A$503,$A169,Připomínky!$J$4:$J$503,"Nevyřešeno"))</f>
        <v/>
      </c>
      <c r="AF169" s="37" t="str">
        <f>IF($A169="","",COUNTIFS(Publikace!$A$4:$A$503,$A169))</f>
        <v/>
      </c>
      <c r="AG169" s="38" t="str">
        <f>IF($A169="","",IF(AF169=0,"",_xlfn.MINIFS(Publikace!$E$4:$E$503,Publikace!$A$4:$A$503,$A169)))</f>
        <v/>
      </c>
      <c r="AH169" s="37" t="str">
        <f t="shared" si="2"/>
        <v/>
      </c>
      <c r="AI169" s="39" t="str">
        <f ca="1">IF($A169="","",TRIM(IF(AND($U169&lt;&gt;"",$U169&lt;TODAY(),$W169&lt;&gt;"Schváleno",$W169&lt;&gt;"Odloženo",$W169&lt;&gt;"Zrušeno"),"Po termínu odevzdání. ","")&amp;IF(AND($W169="Schváleno",OR($X169="",$Y169="")),"Schváleno bez jména / data. ","")&amp;IF(OR($G169="",$H169="",$I169="",$F169=""),"Chybí zařazení (kategorie, typ, profil nebo měsíc). ","")&amp;IF(AND(OR($I169="Honza",$I169="Radek"),OR($J169="",$J169="Nevztahuje se")),"Doplnit charakter (osobní / pracovní). ","")&amp;IF(AND($W169="Schváleno",$AE169&gt;0),"Schváleno, ale má otevřené připomínky. ","")&amp;IF(AND($AA169="Publikováno",$AF169=0),"Publikováno bez záznamu v listu Publikace. ","")&amp;IF(AND($C169&lt;&gt;"",$D169=""),"Chybí číslo dílu série. ","")&amp;IF(AND($E169&lt;&gt;"",$W169&lt;&gt;"Schváleno",$W169&lt;&gt;"Odloženo",$W169&lt;&gt;"Zrušeno",IFERROR(VLOOKUP($E169,Nastavení!$A$30:$G$53,3,FALSE()),0)&gt;0,IFERROR(VLOOKUP($E169,Nastavení!$A$30:$G$53,3,FALSE()),0)&lt;TODAY()),"Neschváleno po termínu cyklu. ","")))</f>
        <v/>
      </c>
    </row>
    <row r="170" spans="1:35" x14ac:dyDescent="0.2">
      <c r="A170" s="35"/>
      <c r="B170" s="11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11"/>
      <c r="N170" s="11"/>
      <c r="O170" s="11"/>
      <c r="P170" s="11"/>
      <c r="Q170" s="11"/>
      <c r="R170" s="11"/>
      <c r="S170" s="11"/>
      <c r="T170" s="35"/>
      <c r="U170" s="36"/>
      <c r="V170" s="11"/>
      <c r="W170" s="35"/>
      <c r="X170" s="35"/>
      <c r="Y170" s="36"/>
      <c r="Z170" s="11"/>
      <c r="AA170" s="35"/>
      <c r="AB170" s="36"/>
      <c r="AC170" s="35"/>
      <c r="AD170" s="35"/>
      <c r="AE170" s="37" t="str">
        <f>IF($A170="","",COUNTIFS(Připomínky!$A$4:$A$503,$A170,Připomínky!$J$4:$J$503,"Nevyřešeno"))</f>
        <v/>
      </c>
      <c r="AF170" s="37" t="str">
        <f>IF($A170="","",COUNTIFS(Publikace!$A$4:$A$503,$A170))</f>
        <v/>
      </c>
      <c r="AG170" s="38" t="str">
        <f>IF($A170="","",IF(AF170=0,"",_xlfn.MINIFS(Publikace!$E$4:$E$503,Publikace!$A$4:$A$503,$A170)))</f>
        <v/>
      </c>
      <c r="AH170" s="37" t="str">
        <f t="shared" si="2"/>
        <v/>
      </c>
      <c r="AI170" s="39" t="str">
        <f ca="1">IF($A170="","",TRIM(IF(AND($U170&lt;&gt;"",$U170&lt;TODAY(),$W170&lt;&gt;"Schváleno",$W170&lt;&gt;"Odloženo",$W170&lt;&gt;"Zrušeno"),"Po termínu odevzdání. ","")&amp;IF(AND($W170="Schváleno",OR($X170="",$Y170="")),"Schváleno bez jména / data. ","")&amp;IF(OR($G170="",$H170="",$I170="",$F170=""),"Chybí zařazení (kategorie, typ, profil nebo měsíc). ","")&amp;IF(AND(OR($I170="Honza",$I170="Radek"),OR($J170="",$J170="Nevztahuje se")),"Doplnit charakter (osobní / pracovní). ","")&amp;IF(AND($W170="Schváleno",$AE170&gt;0),"Schváleno, ale má otevřené připomínky. ","")&amp;IF(AND($AA170="Publikováno",$AF170=0),"Publikováno bez záznamu v listu Publikace. ","")&amp;IF(AND($C170&lt;&gt;"",$D170=""),"Chybí číslo dílu série. ","")&amp;IF(AND($E170&lt;&gt;"",$W170&lt;&gt;"Schváleno",$W170&lt;&gt;"Odloženo",$W170&lt;&gt;"Zrušeno",IFERROR(VLOOKUP($E170,Nastavení!$A$30:$G$53,3,FALSE()),0)&gt;0,IFERROR(VLOOKUP($E170,Nastavení!$A$30:$G$53,3,FALSE()),0)&lt;TODAY()),"Neschváleno po termínu cyklu. ","")))</f>
        <v/>
      </c>
    </row>
    <row r="171" spans="1:35" x14ac:dyDescent="0.2">
      <c r="A171" s="35"/>
      <c r="B171" s="11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11"/>
      <c r="N171" s="11"/>
      <c r="O171" s="11"/>
      <c r="P171" s="11"/>
      <c r="Q171" s="11"/>
      <c r="R171" s="11"/>
      <c r="S171" s="11"/>
      <c r="T171" s="35"/>
      <c r="U171" s="36"/>
      <c r="V171" s="11"/>
      <c r="W171" s="35"/>
      <c r="X171" s="35"/>
      <c r="Y171" s="36"/>
      <c r="Z171" s="11"/>
      <c r="AA171" s="35"/>
      <c r="AB171" s="36"/>
      <c r="AC171" s="35"/>
      <c r="AD171" s="35"/>
      <c r="AE171" s="37" t="str">
        <f>IF($A171="","",COUNTIFS(Připomínky!$A$4:$A$503,$A171,Připomínky!$J$4:$J$503,"Nevyřešeno"))</f>
        <v/>
      </c>
      <c r="AF171" s="37" t="str">
        <f>IF($A171="","",COUNTIFS(Publikace!$A$4:$A$503,$A171))</f>
        <v/>
      </c>
      <c r="AG171" s="38" t="str">
        <f>IF($A171="","",IF(AF171=0,"",_xlfn.MINIFS(Publikace!$E$4:$E$503,Publikace!$A$4:$A$503,$A171)))</f>
        <v/>
      </c>
      <c r="AH171" s="37" t="str">
        <f t="shared" si="2"/>
        <v/>
      </c>
      <c r="AI171" s="39" t="str">
        <f ca="1">IF($A171="","",TRIM(IF(AND($U171&lt;&gt;"",$U171&lt;TODAY(),$W171&lt;&gt;"Schváleno",$W171&lt;&gt;"Odloženo",$W171&lt;&gt;"Zrušeno"),"Po termínu odevzdání. ","")&amp;IF(AND($W171="Schváleno",OR($X171="",$Y171="")),"Schváleno bez jména / data. ","")&amp;IF(OR($G171="",$H171="",$I171="",$F171=""),"Chybí zařazení (kategorie, typ, profil nebo měsíc). ","")&amp;IF(AND(OR($I171="Honza",$I171="Radek"),OR($J171="",$J171="Nevztahuje se")),"Doplnit charakter (osobní / pracovní). ","")&amp;IF(AND($W171="Schváleno",$AE171&gt;0),"Schváleno, ale má otevřené připomínky. ","")&amp;IF(AND($AA171="Publikováno",$AF171=0),"Publikováno bez záznamu v listu Publikace. ","")&amp;IF(AND($C171&lt;&gt;"",$D171=""),"Chybí číslo dílu série. ","")&amp;IF(AND($E171&lt;&gt;"",$W171&lt;&gt;"Schváleno",$W171&lt;&gt;"Odloženo",$W171&lt;&gt;"Zrušeno",IFERROR(VLOOKUP($E171,Nastavení!$A$30:$G$53,3,FALSE()),0)&gt;0,IFERROR(VLOOKUP($E171,Nastavení!$A$30:$G$53,3,FALSE()),0)&lt;TODAY()),"Neschváleno po termínu cyklu. ","")))</f>
        <v/>
      </c>
    </row>
    <row r="172" spans="1:35" x14ac:dyDescent="0.2">
      <c r="A172" s="35"/>
      <c r="B172" s="11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11"/>
      <c r="N172" s="11"/>
      <c r="O172" s="11"/>
      <c r="P172" s="11"/>
      <c r="Q172" s="11"/>
      <c r="R172" s="11"/>
      <c r="S172" s="11"/>
      <c r="T172" s="35"/>
      <c r="U172" s="36"/>
      <c r="V172" s="11"/>
      <c r="W172" s="35"/>
      <c r="X172" s="35"/>
      <c r="Y172" s="36"/>
      <c r="Z172" s="11"/>
      <c r="AA172" s="35"/>
      <c r="AB172" s="36"/>
      <c r="AC172" s="35"/>
      <c r="AD172" s="35"/>
      <c r="AE172" s="37" t="str">
        <f>IF($A172="","",COUNTIFS(Připomínky!$A$4:$A$503,$A172,Připomínky!$J$4:$J$503,"Nevyřešeno"))</f>
        <v/>
      </c>
      <c r="AF172" s="37" t="str">
        <f>IF($A172="","",COUNTIFS(Publikace!$A$4:$A$503,$A172))</f>
        <v/>
      </c>
      <c r="AG172" s="38" t="str">
        <f>IF($A172="","",IF(AF172=0,"",_xlfn.MINIFS(Publikace!$E$4:$E$503,Publikace!$A$4:$A$503,$A172)))</f>
        <v/>
      </c>
      <c r="AH172" s="37" t="str">
        <f t="shared" si="2"/>
        <v/>
      </c>
      <c r="AI172" s="39" t="str">
        <f ca="1">IF($A172="","",TRIM(IF(AND($U172&lt;&gt;"",$U172&lt;TODAY(),$W172&lt;&gt;"Schváleno",$W172&lt;&gt;"Odloženo",$W172&lt;&gt;"Zrušeno"),"Po termínu odevzdání. ","")&amp;IF(AND($W172="Schváleno",OR($X172="",$Y172="")),"Schváleno bez jména / data. ","")&amp;IF(OR($G172="",$H172="",$I172="",$F172=""),"Chybí zařazení (kategorie, typ, profil nebo měsíc). ","")&amp;IF(AND(OR($I172="Honza",$I172="Radek"),OR($J172="",$J172="Nevztahuje se")),"Doplnit charakter (osobní / pracovní). ","")&amp;IF(AND($W172="Schváleno",$AE172&gt;0),"Schváleno, ale má otevřené připomínky. ","")&amp;IF(AND($AA172="Publikováno",$AF172=0),"Publikováno bez záznamu v listu Publikace. ","")&amp;IF(AND($C172&lt;&gt;"",$D172=""),"Chybí číslo dílu série. ","")&amp;IF(AND($E172&lt;&gt;"",$W172&lt;&gt;"Schváleno",$W172&lt;&gt;"Odloženo",$W172&lt;&gt;"Zrušeno",IFERROR(VLOOKUP($E172,Nastavení!$A$30:$G$53,3,FALSE()),0)&gt;0,IFERROR(VLOOKUP($E172,Nastavení!$A$30:$G$53,3,FALSE()),0)&lt;TODAY()),"Neschváleno po termínu cyklu. ","")))</f>
        <v/>
      </c>
    </row>
    <row r="173" spans="1:35" x14ac:dyDescent="0.2">
      <c r="A173" s="35"/>
      <c r="B173" s="11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11"/>
      <c r="N173" s="11"/>
      <c r="O173" s="11"/>
      <c r="P173" s="11"/>
      <c r="Q173" s="11"/>
      <c r="R173" s="11"/>
      <c r="S173" s="11"/>
      <c r="T173" s="35"/>
      <c r="U173" s="36"/>
      <c r="V173" s="11"/>
      <c r="W173" s="35"/>
      <c r="X173" s="35"/>
      <c r="Y173" s="36"/>
      <c r="Z173" s="11"/>
      <c r="AA173" s="35"/>
      <c r="AB173" s="36"/>
      <c r="AC173" s="35"/>
      <c r="AD173" s="35"/>
      <c r="AE173" s="37" t="str">
        <f>IF($A173="","",COUNTIFS(Připomínky!$A$4:$A$503,$A173,Připomínky!$J$4:$J$503,"Nevyřešeno"))</f>
        <v/>
      </c>
      <c r="AF173" s="37" t="str">
        <f>IF($A173="","",COUNTIFS(Publikace!$A$4:$A$503,$A173))</f>
        <v/>
      </c>
      <c r="AG173" s="38" t="str">
        <f>IF($A173="","",IF(AF173=0,"",_xlfn.MINIFS(Publikace!$E$4:$E$503,Publikace!$A$4:$A$503,$A173)))</f>
        <v/>
      </c>
      <c r="AH173" s="37" t="str">
        <f t="shared" si="2"/>
        <v/>
      </c>
      <c r="AI173" s="39" t="str">
        <f ca="1">IF($A173="","",TRIM(IF(AND($U173&lt;&gt;"",$U173&lt;TODAY(),$W173&lt;&gt;"Schváleno",$W173&lt;&gt;"Odloženo",$W173&lt;&gt;"Zrušeno"),"Po termínu odevzdání. ","")&amp;IF(AND($W173="Schváleno",OR($X173="",$Y173="")),"Schváleno bez jména / data. ","")&amp;IF(OR($G173="",$H173="",$I173="",$F173=""),"Chybí zařazení (kategorie, typ, profil nebo měsíc). ","")&amp;IF(AND(OR($I173="Honza",$I173="Radek"),OR($J173="",$J173="Nevztahuje se")),"Doplnit charakter (osobní / pracovní). ","")&amp;IF(AND($W173="Schváleno",$AE173&gt;0),"Schváleno, ale má otevřené připomínky. ","")&amp;IF(AND($AA173="Publikováno",$AF173=0),"Publikováno bez záznamu v listu Publikace. ","")&amp;IF(AND($C173&lt;&gt;"",$D173=""),"Chybí číslo dílu série. ","")&amp;IF(AND($E173&lt;&gt;"",$W173&lt;&gt;"Schváleno",$W173&lt;&gt;"Odloženo",$W173&lt;&gt;"Zrušeno",IFERROR(VLOOKUP($E173,Nastavení!$A$30:$G$53,3,FALSE()),0)&gt;0,IFERROR(VLOOKUP($E173,Nastavení!$A$30:$G$53,3,FALSE()),0)&lt;TODAY()),"Neschváleno po termínu cyklu. ","")))</f>
        <v/>
      </c>
    </row>
    <row r="174" spans="1:35" x14ac:dyDescent="0.2">
      <c r="A174" s="35"/>
      <c r="B174" s="11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11"/>
      <c r="N174" s="11"/>
      <c r="O174" s="11"/>
      <c r="P174" s="11"/>
      <c r="Q174" s="11"/>
      <c r="R174" s="11"/>
      <c r="S174" s="11"/>
      <c r="T174" s="35"/>
      <c r="U174" s="36"/>
      <c r="V174" s="11"/>
      <c r="W174" s="35"/>
      <c r="X174" s="35"/>
      <c r="Y174" s="36"/>
      <c r="Z174" s="11"/>
      <c r="AA174" s="35"/>
      <c r="AB174" s="36"/>
      <c r="AC174" s="35"/>
      <c r="AD174" s="35"/>
      <c r="AE174" s="37" t="str">
        <f>IF($A174="","",COUNTIFS(Připomínky!$A$4:$A$503,$A174,Připomínky!$J$4:$J$503,"Nevyřešeno"))</f>
        <v/>
      </c>
      <c r="AF174" s="37" t="str">
        <f>IF($A174="","",COUNTIFS(Publikace!$A$4:$A$503,$A174))</f>
        <v/>
      </c>
      <c r="AG174" s="38" t="str">
        <f>IF($A174="","",IF(AF174=0,"",_xlfn.MINIFS(Publikace!$E$4:$E$503,Publikace!$A$4:$A$503,$A174)))</f>
        <v/>
      </c>
      <c r="AH174" s="37" t="str">
        <f t="shared" si="2"/>
        <v/>
      </c>
      <c r="AI174" s="39" t="str">
        <f ca="1">IF($A174="","",TRIM(IF(AND($U174&lt;&gt;"",$U174&lt;TODAY(),$W174&lt;&gt;"Schváleno",$W174&lt;&gt;"Odloženo",$W174&lt;&gt;"Zrušeno"),"Po termínu odevzdání. ","")&amp;IF(AND($W174="Schváleno",OR($X174="",$Y174="")),"Schváleno bez jména / data. ","")&amp;IF(OR($G174="",$H174="",$I174="",$F174=""),"Chybí zařazení (kategorie, typ, profil nebo měsíc). ","")&amp;IF(AND(OR($I174="Honza",$I174="Radek"),OR($J174="",$J174="Nevztahuje se")),"Doplnit charakter (osobní / pracovní). ","")&amp;IF(AND($W174="Schváleno",$AE174&gt;0),"Schváleno, ale má otevřené připomínky. ","")&amp;IF(AND($AA174="Publikováno",$AF174=0),"Publikováno bez záznamu v listu Publikace. ","")&amp;IF(AND($C174&lt;&gt;"",$D174=""),"Chybí číslo dílu série. ","")&amp;IF(AND($E174&lt;&gt;"",$W174&lt;&gt;"Schváleno",$W174&lt;&gt;"Odloženo",$W174&lt;&gt;"Zrušeno",IFERROR(VLOOKUP($E174,Nastavení!$A$30:$G$53,3,FALSE()),0)&gt;0,IFERROR(VLOOKUP($E174,Nastavení!$A$30:$G$53,3,FALSE()),0)&lt;TODAY()),"Neschváleno po termínu cyklu. ","")))</f>
        <v/>
      </c>
    </row>
    <row r="175" spans="1:35" x14ac:dyDescent="0.2">
      <c r="A175" s="35"/>
      <c r="B175" s="11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11"/>
      <c r="N175" s="11"/>
      <c r="O175" s="11"/>
      <c r="P175" s="11"/>
      <c r="Q175" s="11"/>
      <c r="R175" s="11"/>
      <c r="S175" s="11"/>
      <c r="T175" s="35"/>
      <c r="U175" s="36"/>
      <c r="V175" s="11"/>
      <c r="W175" s="35"/>
      <c r="X175" s="35"/>
      <c r="Y175" s="36"/>
      <c r="Z175" s="11"/>
      <c r="AA175" s="35"/>
      <c r="AB175" s="36"/>
      <c r="AC175" s="35"/>
      <c r="AD175" s="35"/>
      <c r="AE175" s="37" t="str">
        <f>IF($A175="","",COUNTIFS(Připomínky!$A$4:$A$503,$A175,Připomínky!$J$4:$J$503,"Nevyřešeno"))</f>
        <v/>
      </c>
      <c r="AF175" s="37" t="str">
        <f>IF($A175="","",COUNTIFS(Publikace!$A$4:$A$503,$A175))</f>
        <v/>
      </c>
      <c r="AG175" s="38" t="str">
        <f>IF($A175="","",IF(AF175=0,"",_xlfn.MINIFS(Publikace!$E$4:$E$503,Publikace!$A$4:$A$503,$A175)))</f>
        <v/>
      </c>
      <c r="AH175" s="37" t="str">
        <f t="shared" si="2"/>
        <v/>
      </c>
      <c r="AI175" s="39" t="str">
        <f ca="1">IF($A175="","",TRIM(IF(AND($U175&lt;&gt;"",$U175&lt;TODAY(),$W175&lt;&gt;"Schváleno",$W175&lt;&gt;"Odloženo",$W175&lt;&gt;"Zrušeno"),"Po termínu odevzdání. ","")&amp;IF(AND($W175="Schváleno",OR($X175="",$Y175="")),"Schváleno bez jména / data. ","")&amp;IF(OR($G175="",$H175="",$I175="",$F175=""),"Chybí zařazení (kategorie, typ, profil nebo měsíc). ","")&amp;IF(AND(OR($I175="Honza",$I175="Radek"),OR($J175="",$J175="Nevztahuje se")),"Doplnit charakter (osobní / pracovní). ","")&amp;IF(AND($W175="Schváleno",$AE175&gt;0),"Schváleno, ale má otevřené připomínky. ","")&amp;IF(AND($AA175="Publikováno",$AF175=0),"Publikováno bez záznamu v listu Publikace. ","")&amp;IF(AND($C175&lt;&gt;"",$D175=""),"Chybí číslo dílu série. ","")&amp;IF(AND($E175&lt;&gt;"",$W175&lt;&gt;"Schváleno",$W175&lt;&gt;"Odloženo",$W175&lt;&gt;"Zrušeno",IFERROR(VLOOKUP($E175,Nastavení!$A$30:$G$53,3,FALSE()),0)&gt;0,IFERROR(VLOOKUP($E175,Nastavení!$A$30:$G$53,3,FALSE()),0)&lt;TODAY()),"Neschváleno po termínu cyklu. ","")))</f>
        <v/>
      </c>
    </row>
    <row r="176" spans="1:35" x14ac:dyDescent="0.2">
      <c r="A176" s="35"/>
      <c r="B176" s="11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11"/>
      <c r="N176" s="11"/>
      <c r="O176" s="11"/>
      <c r="P176" s="11"/>
      <c r="Q176" s="11"/>
      <c r="R176" s="11"/>
      <c r="S176" s="11"/>
      <c r="T176" s="35"/>
      <c r="U176" s="36"/>
      <c r="V176" s="11"/>
      <c r="W176" s="35"/>
      <c r="X176" s="35"/>
      <c r="Y176" s="36"/>
      <c r="Z176" s="11"/>
      <c r="AA176" s="35"/>
      <c r="AB176" s="36"/>
      <c r="AC176" s="35"/>
      <c r="AD176" s="35"/>
      <c r="AE176" s="37" t="str">
        <f>IF($A176="","",COUNTIFS(Připomínky!$A$4:$A$503,$A176,Připomínky!$J$4:$J$503,"Nevyřešeno"))</f>
        <v/>
      </c>
      <c r="AF176" s="37" t="str">
        <f>IF($A176="","",COUNTIFS(Publikace!$A$4:$A$503,$A176))</f>
        <v/>
      </c>
      <c r="AG176" s="38" t="str">
        <f>IF($A176="","",IF(AF176=0,"",_xlfn.MINIFS(Publikace!$E$4:$E$503,Publikace!$A$4:$A$503,$A176)))</f>
        <v/>
      </c>
      <c r="AH176" s="37" t="str">
        <f t="shared" si="2"/>
        <v/>
      </c>
      <c r="AI176" s="39" t="str">
        <f ca="1">IF($A176="","",TRIM(IF(AND($U176&lt;&gt;"",$U176&lt;TODAY(),$W176&lt;&gt;"Schváleno",$W176&lt;&gt;"Odloženo",$W176&lt;&gt;"Zrušeno"),"Po termínu odevzdání. ","")&amp;IF(AND($W176="Schváleno",OR($X176="",$Y176="")),"Schváleno bez jména / data. ","")&amp;IF(OR($G176="",$H176="",$I176="",$F176=""),"Chybí zařazení (kategorie, typ, profil nebo měsíc). ","")&amp;IF(AND(OR($I176="Honza",$I176="Radek"),OR($J176="",$J176="Nevztahuje se")),"Doplnit charakter (osobní / pracovní). ","")&amp;IF(AND($W176="Schváleno",$AE176&gt;0),"Schváleno, ale má otevřené připomínky. ","")&amp;IF(AND($AA176="Publikováno",$AF176=0),"Publikováno bez záznamu v listu Publikace. ","")&amp;IF(AND($C176&lt;&gt;"",$D176=""),"Chybí číslo dílu série. ","")&amp;IF(AND($E176&lt;&gt;"",$W176&lt;&gt;"Schváleno",$W176&lt;&gt;"Odloženo",$W176&lt;&gt;"Zrušeno",IFERROR(VLOOKUP($E176,Nastavení!$A$30:$G$53,3,FALSE()),0)&gt;0,IFERROR(VLOOKUP($E176,Nastavení!$A$30:$G$53,3,FALSE()),0)&lt;TODAY()),"Neschváleno po termínu cyklu. ","")))</f>
        <v/>
      </c>
    </row>
    <row r="177" spans="1:35" x14ac:dyDescent="0.2">
      <c r="A177" s="35"/>
      <c r="B177" s="11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11"/>
      <c r="N177" s="11"/>
      <c r="O177" s="11"/>
      <c r="P177" s="11"/>
      <c r="Q177" s="11"/>
      <c r="R177" s="11"/>
      <c r="S177" s="11"/>
      <c r="T177" s="35"/>
      <c r="U177" s="36"/>
      <c r="V177" s="11"/>
      <c r="W177" s="35"/>
      <c r="X177" s="35"/>
      <c r="Y177" s="36"/>
      <c r="Z177" s="11"/>
      <c r="AA177" s="35"/>
      <c r="AB177" s="36"/>
      <c r="AC177" s="35"/>
      <c r="AD177" s="35"/>
      <c r="AE177" s="37" t="str">
        <f>IF($A177="","",COUNTIFS(Připomínky!$A$4:$A$503,$A177,Připomínky!$J$4:$J$503,"Nevyřešeno"))</f>
        <v/>
      </c>
      <c r="AF177" s="37" t="str">
        <f>IF($A177="","",COUNTIFS(Publikace!$A$4:$A$503,$A177))</f>
        <v/>
      </c>
      <c r="AG177" s="38" t="str">
        <f>IF($A177="","",IF(AF177=0,"",_xlfn.MINIFS(Publikace!$E$4:$E$503,Publikace!$A$4:$A$503,$A177)))</f>
        <v/>
      </c>
      <c r="AH177" s="37" t="str">
        <f t="shared" si="2"/>
        <v/>
      </c>
      <c r="AI177" s="39" t="str">
        <f ca="1">IF($A177="","",TRIM(IF(AND($U177&lt;&gt;"",$U177&lt;TODAY(),$W177&lt;&gt;"Schváleno",$W177&lt;&gt;"Odloženo",$W177&lt;&gt;"Zrušeno"),"Po termínu odevzdání. ","")&amp;IF(AND($W177="Schváleno",OR($X177="",$Y177="")),"Schváleno bez jména / data. ","")&amp;IF(OR($G177="",$H177="",$I177="",$F177=""),"Chybí zařazení (kategorie, typ, profil nebo měsíc). ","")&amp;IF(AND(OR($I177="Honza",$I177="Radek"),OR($J177="",$J177="Nevztahuje se")),"Doplnit charakter (osobní / pracovní). ","")&amp;IF(AND($W177="Schváleno",$AE177&gt;0),"Schváleno, ale má otevřené připomínky. ","")&amp;IF(AND($AA177="Publikováno",$AF177=0),"Publikováno bez záznamu v listu Publikace. ","")&amp;IF(AND($C177&lt;&gt;"",$D177=""),"Chybí číslo dílu série. ","")&amp;IF(AND($E177&lt;&gt;"",$W177&lt;&gt;"Schváleno",$W177&lt;&gt;"Odloženo",$W177&lt;&gt;"Zrušeno",IFERROR(VLOOKUP($E177,Nastavení!$A$30:$G$53,3,FALSE()),0)&gt;0,IFERROR(VLOOKUP($E177,Nastavení!$A$30:$G$53,3,FALSE()),0)&lt;TODAY()),"Neschváleno po termínu cyklu. ","")))</f>
        <v/>
      </c>
    </row>
    <row r="178" spans="1:35" x14ac:dyDescent="0.2">
      <c r="A178" s="35"/>
      <c r="B178" s="11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11"/>
      <c r="N178" s="11"/>
      <c r="O178" s="11"/>
      <c r="P178" s="11"/>
      <c r="Q178" s="11"/>
      <c r="R178" s="11"/>
      <c r="S178" s="11"/>
      <c r="T178" s="35"/>
      <c r="U178" s="36"/>
      <c r="V178" s="11"/>
      <c r="W178" s="35"/>
      <c r="X178" s="35"/>
      <c r="Y178" s="36"/>
      <c r="Z178" s="11"/>
      <c r="AA178" s="35"/>
      <c r="AB178" s="36"/>
      <c r="AC178" s="35"/>
      <c r="AD178" s="35"/>
      <c r="AE178" s="37" t="str">
        <f>IF($A178="","",COUNTIFS(Připomínky!$A$4:$A$503,$A178,Připomínky!$J$4:$J$503,"Nevyřešeno"))</f>
        <v/>
      </c>
      <c r="AF178" s="37" t="str">
        <f>IF($A178="","",COUNTIFS(Publikace!$A$4:$A$503,$A178))</f>
        <v/>
      </c>
      <c r="AG178" s="38" t="str">
        <f>IF($A178="","",IF(AF178=0,"",_xlfn.MINIFS(Publikace!$E$4:$E$503,Publikace!$A$4:$A$503,$A178)))</f>
        <v/>
      </c>
      <c r="AH178" s="37" t="str">
        <f t="shared" si="2"/>
        <v/>
      </c>
      <c r="AI178" s="39" t="str">
        <f ca="1">IF($A178="","",TRIM(IF(AND($U178&lt;&gt;"",$U178&lt;TODAY(),$W178&lt;&gt;"Schváleno",$W178&lt;&gt;"Odloženo",$W178&lt;&gt;"Zrušeno"),"Po termínu odevzdání. ","")&amp;IF(AND($W178="Schváleno",OR($X178="",$Y178="")),"Schváleno bez jména / data. ","")&amp;IF(OR($G178="",$H178="",$I178="",$F178=""),"Chybí zařazení (kategorie, typ, profil nebo měsíc). ","")&amp;IF(AND(OR($I178="Honza",$I178="Radek"),OR($J178="",$J178="Nevztahuje se")),"Doplnit charakter (osobní / pracovní). ","")&amp;IF(AND($W178="Schváleno",$AE178&gt;0),"Schváleno, ale má otevřené připomínky. ","")&amp;IF(AND($AA178="Publikováno",$AF178=0),"Publikováno bez záznamu v listu Publikace. ","")&amp;IF(AND($C178&lt;&gt;"",$D178=""),"Chybí číslo dílu série. ","")&amp;IF(AND($E178&lt;&gt;"",$W178&lt;&gt;"Schváleno",$W178&lt;&gt;"Odloženo",$W178&lt;&gt;"Zrušeno",IFERROR(VLOOKUP($E178,Nastavení!$A$30:$G$53,3,FALSE()),0)&gt;0,IFERROR(VLOOKUP($E178,Nastavení!$A$30:$G$53,3,FALSE()),0)&lt;TODAY()),"Neschváleno po termínu cyklu. ","")))</f>
        <v/>
      </c>
    </row>
    <row r="179" spans="1:35" x14ac:dyDescent="0.2">
      <c r="A179" s="35"/>
      <c r="B179" s="11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11"/>
      <c r="N179" s="11"/>
      <c r="O179" s="11"/>
      <c r="P179" s="11"/>
      <c r="Q179" s="11"/>
      <c r="R179" s="11"/>
      <c r="S179" s="11"/>
      <c r="T179" s="35"/>
      <c r="U179" s="36"/>
      <c r="V179" s="11"/>
      <c r="W179" s="35"/>
      <c r="X179" s="35"/>
      <c r="Y179" s="36"/>
      <c r="Z179" s="11"/>
      <c r="AA179" s="35"/>
      <c r="AB179" s="36"/>
      <c r="AC179" s="35"/>
      <c r="AD179" s="35"/>
      <c r="AE179" s="37" t="str">
        <f>IF($A179="","",COUNTIFS(Připomínky!$A$4:$A$503,$A179,Připomínky!$J$4:$J$503,"Nevyřešeno"))</f>
        <v/>
      </c>
      <c r="AF179" s="37" t="str">
        <f>IF($A179="","",COUNTIFS(Publikace!$A$4:$A$503,$A179))</f>
        <v/>
      </c>
      <c r="AG179" s="38" t="str">
        <f>IF($A179="","",IF(AF179=0,"",_xlfn.MINIFS(Publikace!$E$4:$E$503,Publikace!$A$4:$A$503,$A179)))</f>
        <v/>
      </c>
      <c r="AH179" s="37" t="str">
        <f t="shared" si="2"/>
        <v/>
      </c>
      <c r="AI179" s="39" t="str">
        <f ca="1">IF($A179="","",TRIM(IF(AND($U179&lt;&gt;"",$U179&lt;TODAY(),$W179&lt;&gt;"Schváleno",$W179&lt;&gt;"Odloženo",$W179&lt;&gt;"Zrušeno"),"Po termínu odevzdání. ","")&amp;IF(AND($W179="Schváleno",OR($X179="",$Y179="")),"Schváleno bez jména / data. ","")&amp;IF(OR($G179="",$H179="",$I179="",$F179=""),"Chybí zařazení (kategorie, typ, profil nebo měsíc). ","")&amp;IF(AND(OR($I179="Honza",$I179="Radek"),OR($J179="",$J179="Nevztahuje se")),"Doplnit charakter (osobní / pracovní). ","")&amp;IF(AND($W179="Schváleno",$AE179&gt;0),"Schváleno, ale má otevřené připomínky. ","")&amp;IF(AND($AA179="Publikováno",$AF179=0),"Publikováno bez záznamu v listu Publikace. ","")&amp;IF(AND($C179&lt;&gt;"",$D179=""),"Chybí číslo dílu série. ","")&amp;IF(AND($E179&lt;&gt;"",$W179&lt;&gt;"Schváleno",$W179&lt;&gt;"Odloženo",$W179&lt;&gt;"Zrušeno",IFERROR(VLOOKUP($E179,Nastavení!$A$30:$G$53,3,FALSE()),0)&gt;0,IFERROR(VLOOKUP($E179,Nastavení!$A$30:$G$53,3,FALSE()),0)&lt;TODAY()),"Neschváleno po termínu cyklu. ","")))</f>
        <v/>
      </c>
    </row>
    <row r="180" spans="1:35" x14ac:dyDescent="0.2">
      <c r="A180" s="35"/>
      <c r="B180" s="11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11"/>
      <c r="N180" s="11"/>
      <c r="O180" s="11"/>
      <c r="P180" s="11"/>
      <c r="Q180" s="11"/>
      <c r="R180" s="11"/>
      <c r="S180" s="11"/>
      <c r="T180" s="35"/>
      <c r="U180" s="36"/>
      <c r="V180" s="11"/>
      <c r="W180" s="35"/>
      <c r="X180" s="35"/>
      <c r="Y180" s="36"/>
      <c r="Z180" s="11"/>
      <c r="AA180" s="35"/>
      <c r="AB180" s="36"/>
      <c r="AC180" s="35"/>
      <c r="AD180" s="35"/>
      <c r="AE180" s="37" t="str">
        <f>IF($A180="","",COUNTIFS(Připomínky!$A$4:$A$503,$A180,Připomínky!$J$4:$J$503,"Nevyřešeno"))</f>
        <v/>
      </c>
      <c r="AF180" s="37" t="str">
        <f>IF($A180="","",COUNTIFS(Publikace!$A$4:$A$503,$A180))</f>
        <v/>
      </c>
      <c r="AG180" s="38" t="str">
        <f>IF($A180="","",IF(AF180=0,"",_xlfn.MINIFS(Publikace!$E$4:$E$503,Publikace!$A$4:$A$503,$A180)))</f>
        <v/>
      </c>
      <c r="AH180" s="37" t="str">
        <f t="shared" si="2"/>
        <v/>
      </c>
      <c r="AI180" s="39" t="str">
        <f ca="1">IF($A180="","",TRIM(IF(AND($U180&lt;&gt;"",$U180&lt;TODAY(),$W180&lt;&gt;"Schváleno",$W180&lt;&gt;"Odloženo",$W180&lt;&gt;"Zrušeno"),"Po termínu odevzdání. ","")&amp;IF(AND($W180="Schváleno",OR($X180="",$Y180="")),"Schváleno bez jména / data. ","")&amp;IF(OR($G180="",$H180="",$I180="",$F180=""),"Chybí zařazení (kategorie, typ, profil nebo měsíc). ","")&amp;IF(AND(OR($I180="Honza",$I180="Radek"),OR($J180="",$J180="Nevztahuje se")),"Doplnit charakter (osobní / pracovní). ","")&amp;IF(AND($W180="Schváleno",$AE180&gt;0),"Schváleno, ale má otevřené připomínky. ","")&amp;IF(AND($AA180="Publikováno",$AF180=0),"Publikováno bez záznamu v listu Publikace. ","")&amp;IF(AND($C180&lt;&gt;"",$D180=""),"Chybí číslo dílu série. ","")&amp;IF(AND($E180&lt;&gt;"",$W180&lt;&gt;"Schváleno",$W180&lt;&gt;"Odloženo",$W180&lt;&gt;"Zrušeno",IFERROR(VLOOKUP($E180,Nastavení!$A$30:$G$53,3,FALSE()),0)&gt;0,IFERROR(VLOOKUP($E180,Nastavení!$A$30:$G$53,3,FALSE()),0)&lt;TODAY()),"Neschváleno po termínu cyklu. ","")))</f>
        <v/>
      </c>
    </row>
    <row r="181" spans="1:35" x14ac:dyDescent="0.2">
      <c r="A181" s="35"/>
      <c r="B181" s="11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11"/>
      <c r="N181" s="11"/>
      <c r="O181" s="11"/>
      <c r="P181" s="11"/>
      <c r="Q181" s="11"/>
      <c r="R181" s="11"/>
      <c r="S181" s="11"/>
      <c r="T181" s="35"/>
      <c r="U181" s="36"/>
      <c r="V181" s="11"/>
      <c r="W181" s="35"/>
      <c r="X181" s="35"/>
      <c r="Y181" s="36"/>
      <c r="Z181" s="11"/>
      <c r="AA181" s="35"/>
      <c r="AB181" s="36"/>
      <c r="AC181" s="35"/>
      <c r="AD181" s="35"/>
      <c r="AE181" s="37" t="str">
        <f>IF($A181="","",COUNTIFS(Připomínky!$A$4:$A$503,$A181,Připomínky!$J$4:$J$503,"Nevyřešeno"))</f>
        <v/>
      </c>
      <c r="AF181" s="37" t="str">
        <f>IF($A181="","",COUNTIFS(Publikace!$A$4:$A$503,$A181))</f>
        <v/>
      </c>
      <c r="AG181" s="38" t="str">
        <f>IF($A181="","",IF(AF181=0,"",_xlfn.MINIFS(Publikace!$E$4:$E$503,Publikace!$A$4:$A$503,$A181)))</f>
        <v/>
      </c>
      <c r="AH181" s="37" t="str">
        <f t="shared" si="2"/>
        <v/>
      </c>
      <c r="AI181" s="39" t="str">
        <f ca="1">IF($A181="","",TRIM(IF(AND($U181&lt;&gt;"",$U181&lt;TODAY(),$W181&lt;&gt;"Schváleno",$W181&lt;&gt;"Odloženo",$W181&lt;&gt;"Zrušeno"),"Po termínu odevzdání. ","")&amp;IF(AND($W181="Schváleno",OR($X181="",$Y181="")),"Schváleno bez jména / data. ","")&amp;IF(OR($G181="",$H181="",$I181="",$F181=""),"Chybí zařazení (kategorie, typ, profil nebo měsíc). ","")&amp;IF(AND(OR($I181="Honza",$I181="Radek"),OR($J181="",$J181="Nevztahuje se")),"Doplnit charakter (osobní / pracovní). ","")&amp;IF(AND($W181="Schváleno",$AE181&gt;0),"Schváleno, ale má otevřené připomínky. ","")&amp;IF(AND($AA181="Publikováno",$AF181=0),"Publikováno bez záznamu v listu Publikace. ","")&amp;IF(AND($C181&lt;&gt;"",$D181=""),"Chybí číslo dílu série. ","")&amp;IF(AND($E181&lt;&gt;"",$W181&lt;&gt;"Schváleno",$W181&lt;&gt;"Odloženo",$W181&lt;&gt;"Zrušeno",IFERROR(VLOOKUP($E181,Nastavení!$A$30:$G$53,3,FALSE()),0)&gt;0,IFERROR(VLOOKUP($E181,Nastavení!$A$30:$G$53,3,FALSE()),0)&lt;TODAY()),"Neschváleno po termínu cyklu. ","")))</f>
        <v/>
      </c>
    </row>
    <row r="182" spans="1:35" x14ac:dyDescent="0.2">
      <c r="A182" s="35"/>
      <c r="B182" s="11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11"/>
      <c r="N182" s="11"/>
      <c r="O182" s="11"/>
      <c r="P182" s="11"/>
      <c r="Q182" s="11"/>
      <c r="R182" s="11"/>
      <c r="S182" s="11"/>
      <c r="T182" s="35"/>
      <c r="U182" s="36"/>
      <c r="V182" s="11"/>
      <c r="W182" s="35"/>
      <c r="X182" s="35"/>
      <c r="Y182" s="36"/>
      <c r="Z182" s="11"/>
      <c r="AA182" s="35"/>
      <c r="AB182" s="36"/>
      <c r="AC182" s="35"/>
      <c r="AD182" s="35"/>
      <c r="AE182" s="37" t="str">
        <f>IF($A182="","",COUNTIFS(Připomínky!$A$4:$A$503,$A182,Připomínky!$J$4:$J$503,"Nevyřešeno"))</f>
        <v/>
      </c>
      <c r="AF182" s="37" t="str">
        <f>IF($A182="","",COUNTIFS(Publikace!$A$4:$A$503,$A182))</f>
        <v/>
      </c>
      <c r="AG182" s="38" t="str">
        <f>IF($A182="","",IF(AF182=0,"",_xlfn.MINIFS(Publikace!$E$4:$E$503,Publikace!$A$4:$A$503,$A182)))</f>
        <v/>
      </c>
      <c r="AH182" s="37" t="str">
        <f t="shared" si="2"/>
        <v/>
      </c>
      <c r="AI182" s="39" t="str">
        <f ca="1">IF($A182="","",TRIM(IF(AND($U182&lt;&gt;"",$U182&lt;TODAY(),$W182&lt;&gt;"Schváleno",$W182&lt;&gt;"Odloženo",$W182&lt;&gt;"Zrušeno"),"Po termínu odevzdání. ","")&amp;IF(AND($W182="Schváleno",OR($X182="",$Y182="")),"Schváleno bez jména / data. ","")&amp;IF(OR($G182="",$H182="",$I182="",$F182=""),"Chybí zařazení (kategorie, typ, profil nebo měsíc). ","")&amp;IF(AND(OR($I182="Honza",$I182="Radek"),OR($J182="",$J182="Nevztahuje se")),"Doplnit charakter (osobní / pracovní). ","")&amp;IF(AND($W182="Schváleno",$AE182&gt;0),"Schváleno, ale má otevřené připomínky. ","")&amp;IF(AND($AA182="Publikováno",$AF182=0),"Publikováno bez záznamu v listu Publikace. ","")&amp;IF(AND($C182&lt;&gt;"",$D182=""),"Chybí číslo dílu série. ","")&amp;IF(AND($E182&lt;&gt;"",$W182&lt;&gt;"Schváleno",$W182&lt;&gt;"Odloženo",$W182&lt;&gt;"Zrušeno",IFERROR(VLOOKUP($E182,Nastavení!$A$30:$G$53,3,FALSE()),0)&gt;0,IFERROR(VLOOKUP($E182,Nastavení!$A$30:$G$53,3,FALSE()),0)&lt;TODAY()),"Neschváleno po termínu cyklu. ","")))</f>
        <v/>
      </c>
    </row>
    <row r="183" spans="1:35" x14ac:dyDescent="0.2">
      <c r="A183" s="35"/>
      <c r="B183" s="11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11"/>
      <c r="N183" s="11"/>
      <c r="O183" s="11"/>
      <c r="P183" s="11"/>
      <c r="Q183" s="11"/>
      <c r="R183" s="11"/>
      <c r="S183" s="11"/>
      <c r="T183" s="35"/>
      <c r="U183" s="36"/>
      <c r="V183" s="11"/>
      <c r="W183" s="35"/>
      <c r="X183" s="35"/>
      <c r="Y183" s="36"/>
      <c r="Z183" s="11"/>
      <c r="AA183" s="35"/>
      <c r="AB183" s="36"/>
      <c r="AC183" s="35"/>
      <c r="AD183" s="35"/>
      <c r="AE183" s="37" t="str">
        <f>IF($A183="","",COUNTIFS(Připomínky!$A$4:$A$503,$A183,Připomínky!$J$4:$J$503,"Nevyřešeno"))</f>
        <v/>
      </c>
      <c r="AF183" s="37" t="str">
        <f>IF($A183="","",COUNTIFS(Publikace!$A$4:$A$503,$A183))</f>
        <v/>
      </c>
      <c r="AG183" s="38" t="str">
        <f>IF($A183="","",IF(AF183=0,"",_xlfn.MINIFS(Publikace!$E$4:$E$503,Publikace!$A$4:$A$503,$A183)))</f>
        <v/>
      </c>
      <c r="AH183" s="37" t="str">
        <f t="shared" si="2"/>
        <v/>
      </c>
      <c r="AI183" s="39" t="str">
        <f ca="1">IF($A183="","",TRIM(IF(AND($U183&lt;&gt;"",$U183&lt;TODAY(),$W183&lt;&gt;"Schváleno",$W183&lt;&gt;"Odloženo",$W183&lt;&gt;"Zrušeno"),"Po termínu odevzdání. ","")&amp;IF(AND($W183="Schváleno",OR($X183="",$Y183="")),"Schváleno bez jména / data. ","")&amp;IF(OR($G183="",$H183="",$I183="",$F183=""),"Chybí zařazení (kategorie, typ, profil nebo měsíc). ","")&amp;IF(AND(OR($I183="Honza",$I183="Radek"),OR($J183="",$J183="Nevztahuje se")),"Doplnit charakter (osobní / pracovní). ","")&amp;IF(AND($W183="Schváleno",$AE183&gt;0),"Schváleno, ale má otevřené připomínky. ","")&amp;IF(AND($AA183="Publikováno",$AF183=0),"Publikováno bez záznamu v listu Publikace. ","")&amp;IF(AND($C183&lt;&gt;"",$D183=""),"Chybí číslo dílu série. ","")&amp;IF(AND($E183&lt;&gt;"",$W183&lt;&gt;"Schváleno",$W183&lt;&gt;"Odloženo",$W183&lt;&gt;"Zrušeno",IFERROR(VLOOKUP($E183,Nastavení!$A$30:$G$53,3,FALSE()),0)&gt;0,IFERROR(VLOOKUP($E183,Nastavení!$A$30:$G$53,3,FALSE()),0)&lt;TODAY()),"Neschváleno po termínu cyklu. ","")))</f>
        <v/>
      </c>
    </row>
    <row r="184" spans="1:35" x14ac:dyDescent="0.2">
      <c r="A184" s="35"/>
      <c r="B184" s="11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11"/>
      <c r="N184" s="11"/>
      <c r="O184" s="11"/>
      <c r="P184" s="11"/>
      <c r="Q184" s="11"/>
      <c r="R184" s="11"/>
      <c r="S184" s="11"/>
      <c r="T184" s="35"/>
      <c r="U184" s="36"/>
      <c r="V184" s="11"/>
      <c r="W184" s="35"/>
      <c r="X184" s="35"/>
      <c r="Y184" s="36"/>
      <c r="Z184" s="11"/>
      <c r="AA184" s="35"/>
      <c r="AB184" s="36"/>
      <c r="AC184" s="35"/>
      <c r="AD184" s="35"/>
      <c r="AE184" s="37" t="str">
        <f>IF($A184="","",COUNTIFS(Připomínky!$A$4:$A$503,$A184,Připomínky!$J$4:$J$503,"Nevyřešeno"))</f>
        <v/>
      </c>
      <c r="AF184" s="37" t="str">
        <f>IF($A184="","",COUNTIFS(Publikace!$A$4:$A$503,$A184))</f>
        <v/>
      </c>
      <c r="AG184" s="38" t="str">
        <f>IF($A184="","",IF(AF184=0,"",_xlfn.MINIFS(Publikace!$E$4:$E$503,Publikace!$A$4:$A$503,$A184)))</f>
        <v/>
      </c>
      <c r="AH184" s="37" t="str">
        <f t="shared" si="2"/>
        <v/>
      </c>
      <c r="AI184" s="39" t="str">
        <f ca="1">IF($A184="","",TRIM(IF(AND($U184&lt;&gt;"",$U184&lt;TODAY(),$W184&lt;&gt;"Schváleno",$W184&lt;&gt;"Odloženo",$W184&lt;&gt;"Zrušeno"),"Po termínu odevzdání. ","")&amp;IF(AND($W184="Schváleno",OR($X184="",$Y184="")),"Schváleno bez jména / data. ","")&amp;IF(OR($G184="",$H184="",$I184="",$F184=""),"Chybí zařazení (kategorie, typ, profil nebo měsíc). ","")&amp;IF(AND(OR($I184="Honza",$I184="Radek"),OR($J184="",$J184="Nevztahuje se")),"Doplnit charakter (osobní / pracovní). ","")&amp;IF(AND($W184="Schváleno",$AE184&gt;0),"Schváleno, ale má otevřené připomínky. ","")&amp;IF(AND($AA184="Publikováno",$AF184=0),"Publikováno bez záznamu v listu Publikace. ","")&amp;IF(AND($C184&lt;&gt;"",$D184=""),"Chybí číslo dílu série. ","")&amp;IF(AND($E184&lt;&gt;"",$W184&lt;&gt;"Schváleno",$W184&lt;&gt;"Odloženo",$W184&lt;&gt;"Zrušeno",IFERROR(VLOOKUP($E184,Nastavení!$A$30:$G$53,3,FALSE()),0)&gt;0,IFERROR(VLOOKUP($E184,Nastavení!$A$30:$G$53,3,FALSE()),0)&lt;TODAY()),"Neschváleno po termínu cyklu. ","")))</f>
        <v/>
      </c>
    </row>
    <row r="185" spans="1:35" x14ac:dyDescent="0.2">
      <c r="A185" s="35"/>
      <c r="B185" s="11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11"/>
      <c r="N185" s="11"/>
      <c r="O185" s="11"/>
      <c r="P185" s="11"/>
      <c r="Q185" s="11"/>
      <c r="R185" s="11"/>
      <c r="S185" s="11"/>
      <c r="T185" s="35"/>
      <c r="U185" s="36"/>
      <c r="V185" s="11"/>
      <c r="W185" s="35"/>
      <c r="X185" s="35"/>
      <c r="Y185" s="36"/>
      <c r="Z185" s="11"/>
      <c r="AA185" s="35"/>
      <c r="AB185" s="36"/>
      <c r="AC185" s="35"/>
      <c r="AD185" s="35"/>
      <c r="AE185" s="37" t="str">
        <f>IF($A185="","",COUNTIFS(Připomínky!$A$4:$A$503,$A185,Připomínky!$J$4:$J$503,"Nevyřešeno"))</f>
        <v/>
      </c>
      <c r="AF185" s="37" t="str">
        <f>IF($A185="","",COUNTIFS(Publikace!$A$4:$A$503,$A185))</f>
        <v/>
      </c>
      <c r="AG185" s="38" t="str">
        <f>IF($A185="","",IF(AF185=0,"",_xlfn.MINIFS(Publikace!$E$4:$E$503,Publikace!$A$4:$A$503,$A185)))</f>
        <v/>
      </c>
      <c r="AH185" s="37" t="str">
        <f t="shared" si="2"/>
        <v/>
      </c>
      <c r="AI185" s="39" t="str">
        <f ca="1">IF($A185="","",TRIM(IF(AND($U185&lt;&gt;"",$U185&lt;TODAY(),$W185&lt;&gt;"Schváleno",$W185&lt;&gt;"Odloženo",$W185&lt;&gt;"Zrušeno"),"Po termínu odevzdání. ","")&amp;IF(AND($W185="Schváleno",OR($X185="",$Y185="")),"Schváleno bez jména / data. ","")&amp;IF(OR($G185="",$H185="",$I185="",$F185=""),"Chybí zařazení (kategorie, typ, profil nebo měsíc). ","")&amp;IF(AND(OR($I185="Honza",$I185="Radek"),OR($J185="",$J185="Nevztahuje se")),"Doplnit charakter (osobní / pracovní). ","")&amp;IF(AND($W185="Schváleno",$AE185&gt;0),"Schváleno, ale má otevřené připomínky. ","")&amp;IF(AND($AA185="Publikováno",$AF185=0),"Publikováno bez záznamu v listu Publikace. ","")&amp;IF(AND($C185&lt;&gt;"",$D185=""),"Chybí číslo dílu série. ","")&amp;IF(AND($E185&lt;&gt;"",$W185&lt;&gt;"Schváleno",$W185&lt;&gt;"Odloženo",$W185&lt;&gt;"Zrušeno",IFERROR(VLOOKUP($E185,Nastavení!$A$30:$G$53,3,FALSE()),0)&gt;0,IFERROR(VLOOKUP($E185,Nastavení!$A$30:$G$53,3,FALSE()),0)&lt;TODAY()),"Neschváleno po termínu cyklu. ","")))</f>
        <v/>
      </c>
    </row>
    <row r="186" spans="1:35" x14ac:dyDescent="0.2">
      <c r="A186" s="35"/>
      <c r="B186" s="11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11"/>
      <c r="N186" s="11"/>
      <c r="O186" s="11"/>
      <c r="P186" s="11"/>
      <c r="Q186" s="11"/>
      <c r="R186" s="11"/>
      <c r="S186" s="11"/>
      <c r="T186" s="35"/>
      <c r="U186" s="36"/>
      <c r="V186" s="11"/>
      <c r="W186" s="35"/>
      <c r="X186" s="35"/>
      <c r="Y186" s="36"/>
      <c r="Z186" s="11"/>
      <c r="AA186" s="35"/>
      <c r="AB186" s="36"/>
      <c r="AC186" s="35"/>
      <c r="AD186" s="35"/>
      <c r="AE186" s="37" t="str">
        <f>IF($A186="","",COUNTIFS(Připomínky!$A$4:$A$503,$A186,Připomínky!$J$4:$J$503,"Nevyřešeno"))</f>
        <v/>
      </c>
      <c r="AF186" s="37" t="str">
        <f>IF($A186="","",COUNTIFS(Publikace!$A$4:$A$503,$A186))</f>
        <v/>
      </c>
      <c r="AG186" s="38" t="str">
        <f>IF($A186="","",IF(AF186=0,"",_xlfn.MINIFS(Publikace!$E$4:$E$503,Publikace!$A$4:$A$503,$A186)))</f>
        <v/>
      </c>
      <c r="AH186" s="37" t="str">
        <f t="shared" si="2"/>
        <v/>
      </c>
      <c r="AI186" s="39" t="str">
        <f ca="1">IF($A186="","",TRIM(IF(AND($U186&lt;&gt;"",$U186&lt;TODAY(),$W186&lt;&gt;"Schváleno",$W186&lt;&gt;"Odloženo",$W186&lt;&gt;"Zrušeno"),"Po termínu odevzdání. ","")&amp;IF(AND($W186="Schváleno",OR($X186="",$Y186="")),"Schváleno bez jména / data. ","")&amp;IF(OR($G186="",$H186="",$I186="",$F186=""),"Chybí zařazení (kategorie, typ, profil nebo měsíc). ","")&amp;IF(AND(OR($I186="Honza",$I186="Radek"),OR($J186="",$J186="Nevztahuje se")),"Doplnit charakter (osobní / pracovní). ","")&amp;IF(AND($W186="Schváleno",$AE186&gt;0),"Schváleno, ale má otevřené připomínky. ","")&amp;IF(AND($AA186="Publikováno",$AF186=0),"Publikováno bez záznamu v listu Publikace. ","")&amp;IF(AND($C186&lt;&gt;"",$D186=""),"Chybí číslo dílu série. ","")&amp;IF(AND($E186&lt;&gt;"",$W186&lt;&gt;"Schváleno",$W186&lt;&gt;"Odloženo",$W186&lt;&gt;"Zrušeno",IFERROR(VLOOKUP($E186,Nastavení!$A$30:$G$53,3,FALSE()),0)&gt;0,IFERROR(VLOOKUP($E186,Nastavení!$A$30:$G$53,3,FALSE()),0)&lt;TODAY()),"Neschváleno po termínu cyklu. ","")))</f>
        <v/>
      </c>
    </row>
    <row r="187" spans="1:35" x14ac:dyDescent="0.2">
      <c r="A187" s="35"/>
      <c r="B187" s="11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11"/>
      <c r="N187" s="11"/>
      <c r="O187" s="11"/>
      <c r="P187" s="11"/>
      <c r="Q187" s="11"/>
      <c r="R187" s="11"/>
      <c r="S187" s="11"/>
      <c r="T187" s="35"/>
      <c r="U187" s="36"/>
      <c r="V187" s="11"/>
      <c r="W187" s="35"/>
      <c r="X187" s="35"/>
      <c r="Y187" s="36"/>
      <c r="Z187" s="11"/>
      <c r="AA187" s="35"/>
      <c r="AB187" s="36"/>
      <c r="AC187" s="35"/>
      <c r="AD187" s="35"/>
      <c r="AE187" s="37" t="str">
        <f>IF($A187="","",COUNTIFS(Připomínky!$A$4:$A$503,$A187,Připomínky!$J$4:$J$503,"Nevyřešeno"))</f>
        <v/>
      </c>
      <c r="AF187" s="37" t="str">
        <f>IF($A187="","",COUNTIFS(Publikace!$A$4:$A$503,$A187))</f>
        <v/>
      </c>
      <c r="AG187" s="38" t="str">
        <f>IF($A187="","",IF(AF187=0,"",_xlfn.MINIFS(Publikace!$E$4:$E$503,Publikace!$A$4:$A$503,$A187)))</f>
        <v/>
      </c>
      <c r="AH187" s="37" t="str">
        <f t="shared" si="2"/>
        <v/>
      </c>
      <c r="AI187" s="39" t="str">
        <f ca="1">IF($A187="","",TRIM(IF(AND($U187&lt;&gt;"",$U187&lt;TODAY(),$W187&lt;&gt;"Schváleno",$W187&lt;&gt;"Odloženo",$W187&lt;&gt;"Zrušeno"),"Po termínu odevzdání. ","")&amp;IF(AND($W187="Schváleno",OR($X187="",$Y187="")),"Schváleno bez jména / data. ","")&amp;IF(OR($G187="",$H187="",$I187="",$F187=""),"Chybí zařazení (kategorie, typ, profil nebo měsíc). ","")&amp;IF(AND(OR($I187="Honza",$I187="Radek"),OR($J187="",$J187="Nevztahuje se")),"Doplnit charakter (osobní / pracovní). ","")&amp;IF(AND($W187="Schváleno",$AE187&gt;0),"Schváleno, ale má otevřené připomínky. ","")&amp;IF(AND($AA187="Publikováno",$AF187=0),"Publikováno bez záznamu v listu Publikace. ","")&amp;IF(AND($C187&lt;&gt;"",$D187=""),"Chybí číslo dílu série. ","")&amp;IF(AND($E187&lt;&gt;"",$W187&lt;&gt;"Schváleno",$W187&lt;&gt;"Odloženo",$W187&lt;&gt;"Zrušeno",IFERROR(VLOOKUP($E187,Nastavení!$A$30:$G$53,3,FALSE()),0)&gt;0,IFERROR(VLOOKUP($E187,Nastavení!$A$30:$G$53,3,FALSE()),0)&lt;TODAY()),"Neschváleno po termínu cyklu. ","")))</f>
        <v/>
      </c>
    </row>
    <row r="188" spans="1:35" x14ac:dyDescent="0.2">
      <c r="A188" s="35"/>
      <c r="B188" s="11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11"/>
      <c r="N188" s="11"/>
      <c r="O188" s="11"/>
      <c r="P188" s="11"/>
      <c r="Q188" s="11"/>
      <c r="R188" s="11"/>
      <c r="S188" s="11"/>
      <c r="T188" s="35"/>
      <c r="U188" s="36"/>
      <c r="V188" s="11"/>
      <c r="W188" s="35"/>
      <c r="X188" s="35"/>
      <c r="Y188" s="36"/>
      <c r="Z188" s="11"/>
      <c r="AA188" s="35"/>
      <c r="AB188" s="36"/>
      <c r="AC188" s="35"/>
      <c r="AD188" s="35"/>
      <c r="AE188" s="37" t="str">
        <f>IF($A188="","",COUNTIFS(Připomínky!$A$4:$A$503,$A188,Připomínky!$J$4:$J$503,"Nevyřešeno"))</f>
        <v/>
      </c>
      <c r="AF188" s="37" t="str">
        <f>IF($A188="","",COUNTIFS(Publikace!$A$4:$A$503,$A188))</f>
        <v/>
      </c>
      <c r="AG188" s="38" t="str">
        <f>IF($A188="","",IF(AF188=0,"",_xlfn.MINIFS(Publikace!$E$4:$E$503,Publikace!$A$4:$A$503,$A188)))</f>
        <v/>
      </c>
      <c r="AH188" s="37" t="str">
        <f t="shared" si="2"/>
        <v/>
      </c>
      <c r="AI188" s="39" t="str">
        <f ca="1">IF($A188="","",TRIM(IF(AND($U188&lt;&gt;"",$U188&lt;TODAY(),$W188&lt;&gt;"Schváleno",$W188&lt;&gt;"Odloženo",$W188&lt;&gt;"Zrušeno"),"Po termínu odevzdání. ","")&amp;IF(AND($W188="Schváleno",OR($X188="",$Y188="")),"Schváleno bez jména / data. ","")&amp;IF(OR($G188="",$H188="",$I188="",$F188=""),"Chybí zařazení (kategorie, typ, profil nebo měsíc). ","")&amp;IF(AND(OR($I188="Honza",$I188="Radek"),OR($J188="",$J188="Nevztahuje se")),"Doplnit charakter (osobní / pracovní). ","")&amp;IF(AND($W188="Schváleno",$AE188&gt;0),"Schváleno, ale má otevřené připomínky. ","")&amp;IF(AND($AA188="Publikováno",$AF188=0),"Publikováno bez záznamu v listu Publikace. ","")&amp;IF(AND($C188&lt;&gt;"",$D188=""),"Chybí číslo dílu série. ","")&amp;IF(AND($E188&lt;&gt;"",$W188&lt;&gt;"Schváleno",$W188&lt;&gt;"Odloženo",$W188&lt;&gt;"Zrušeno",IFERROR(VLOOKUP($E188,Nastavení!$A$30:$G$53,3,FALSE()),0)&gt;0,IFERROR(VLOOKUP($E188,Nastavení!$A$30:$G$53,3,FALSE()),0)&lt;TODAY()),"Neschváleno po termínu cyklu. ","")))</f>
        <v/>
      </c>
    </row>
    <row r="189" spans="1:35" x14ac:dyDescent="0.2">
      <c r="A189" s="35"/>
      <c r="B189" s="11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11"/>
      <c r="N189" s="11"/>
      <c r="O189" s="11"/>
      <c r="P189" s="11"/>
      <c r="Q189" s="11"/>
      <c r="R189" s="11"/>
      <c r="S189" s="11"/>
      <c r="T189" s="35"/>
      <c r="U189" s="36"/>
      <c r="V189" s="11"/>
      <c r="W189" s="35"/>
      <c r="X189" s="35"/>
      <c r="Y189" s="36"/>
      <c r="Z189" s="11"/>
      <c r="AA189" s="35"/>
      <c r="AB189" s="36"/>
      <c r="AC189" s="35"/>
      <c r="AD189" s="35"/>
      <c r="AE189" s="37" t="str">
        <f>IF($A189="","",COUNTIFS(Připomínky!$A$4:$A$503,$A189,Připomínky!$J$4:$J$503,"Nevyřešeno"))</f>
        <v/>
      </c>
      <c r="AF189" s="37" t="str">
        <f>IF($A189="","",COUNTIFS(Publikace!$A$4:$A$503,$A189))</f>
        <v/>
      </c>
      <c r="AG189" s="38" t="str">
        <f>IF($A189="","",IF(AF189=0,"",_xlfn.MINIFS(Publikace!$E$4:$E$503,Publikace!$A$4:$A$503,$A189)))</f>
        <v/>
      </c>
      <c r="AH189" s="37" t="str">
        <f t="shared" si="2"/>
        <v/>
      </c>
      <c r="AI189" s="39" t="str">
        <f ca="1">IF($A189="","",TRIM(IF(AND($U189&lt;&gt;"",$U189&lt;TODAY(),$W189&lt;&gt;"Schváleno",$W189&lt;&gt;"Odloženo",$W189&lt;&gt;"Zrušeno"),"Po termínu odevzdání. ","")&amp;IF(AND($W189="Schváleno",OR($X189="",$Y189="")),"Schváleno bez jména / data. ","")&amp;IF(OR($G189="",$H189="",$I189="",$F189=""),"Chybí zařazení (kategorie, typ, profil nebo měsíc). ","")&amp;IF(AND(OR($I189="Honza",$I189="Radek"),OR($J189="",$J189="Nevztahuje se")),"Doplnit charakter (osobní / pracovní). ","")&amp;IF(AND($W189="Schváleno",$AE189&gt;0),"Schváleno, ale má otevřené připomínky. ","")&amp;IF(AND($AA189="Publikováno",$AF189=0),"Publikováno bez záznamu v listu Publikace. ","")&amp;IF(AND($C189&lt;&gt;"",$D189=""),"Chybí číslo dílu série. ","")&amp;IF(AND($E189&lt;&gt;"",$W189&lt;&gt;"Schváleno",$W189&lt;&gt;"Odloženo",$W189&lt;&gt;"Zrušeno",IFERROR(VLOOKUP($E189,Nastavení!$A$30:$G$53,3,FALSE()),0)&gt;0,IFERROR(VLOOKUP($E189,Nastavení!$A$30:$G$53,3,FALSE()),0)&lt;TODAY()),"Neschváleno po termínu cyklu. ","")))</f>
        <v/>
      </c>
    </row>
    <row r="190" spans="1:35" x14ac:dyDescent="0.2">
      <c r="A190" s="35"/>
      <c r="B190" s="11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11"/>
      <c r="N190" s="11"/>
      <c r="O190" s="11"/>
      <c r="P190" s="11"/>
      <c r="Q190" s="11"/>
      <c r="R190" s="11"/>
      <c r="S190" s="11"/>
      <c r="T190" s="35"/>
      <c r="U190" s="36"/>
      <c r="V190" s="11"/>
      <c r="W190" s="35"/>
      <c r="X190" s="35"/>
      <c r="Y190" s="36"/>
      <c r="Z190" s="11"/>
      <c r="AA190" s="35"/>
      <c r="AB190" s="36"/>
      <c r="AC190" s="35"/>
      <c r="AD190" s="35"/>
      <c r="AE190" s="37" t="str">
        <f>IF($A190="","",COUNTIFS(Připomínky!$A$4:$A$503,$A190,Připomínky!$J$4:$J$503,"Nevyřešeno"))</f>
        <v/>
      </c>
      <c r="AF190" s="37" t="str">
        <f>IF($A190="","",COUNTIFS(Publikace!$A$4:$A$503,$A190))</f>
        <v/>
      </c>
      <c r="AG190" s="38" t="str">
        <f>IF($A190="","",IF(AF190=0,"",_xlfn.MINIFS(Publikace!$E$4:$E$503,Publikace!$A$4:$A$503,$A190)))</f>
        <v/>
      </c>
      <c r="AH190" s="37" t="str">
        <f t="shared" si="2"/>
        <v/>
      </c>
      <c r="AI190" s="39" t="str">
        <f ca="1">IF($A190="","",TRIM(IF(AND($U190&lt;&gt;"",$U190&lt;TODAY(),$W190&lt;&gt;"Schváleno",$W190&lt;&gt;"Odloženo",$W190&lt;&gt;"Zrušeno"),"Po termínu odevzdání. ","")&amp;IF(AND($W190="Schváleno",OR($X190="",$Y190="")),"Schváleno bez jména / data. ","")&amp;IF(OR($G190="",$H190="",$I190="",$F190=""),"Chybí zařazení (kategorie, typ, profil nebo měsíc). ","")&amp;IF(AND(OR($I190="Honza",$I190="Radek"),OR($J190="",$J190="Nevztahuje se")),"Doplnit charakter (osobní / pracovní). ","")&amp;IF(AND($W190="Schváleno",$AE190&gt;0),"Schváleno, ale má otevřené připomínky. ","")&amp;IF(AND($AA190="Publikováno",$AF190=0),"Publikováno bez záznamu v listu Publikace. ","")&amp;IF(AND($C190&lt;&gt;"",$D190=""),"Chybí číslo dílu série. ","")&amp;IF(AND($E190&lt;&gt;"",$W190&lt;&gt;"Schváleno",$W190&lt;&gt;"Odloženo",$W190&lt;&gt;"Zrušeno",IFERROR(VLOOKUP($E190,Nastavení!$A$30:$G$53,3,FALSE()),0)&gt;0,IFERROR(VLOOKUP($E190,Nastavení!$A$30:$G$53,3,FALSE()),0)&lt;TODAY()),"Neschváleno po termínu cyklu. ","")))</f>
        <v/>
      </c>
    </row>
    <row r="191" spans="1:35" x14ac:dyDescent="0.2">
      <c r="A191" s="35"/>
      <c r="B191" s="11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11"/>
      <c r="N191" s="11"/>
      <c r="O191" s="11"/>
      <c r="P191" s="11"/>
      <c r="Q191" s="11"/>
      <c r="R191" s="11"/>
      <c r="S191" s="11"/>
      <c r="T191" s="35"/>
      <c r="U191" s="36"/>
      <c r="V191" s="11"/>
      <c r="W191" s="35"/>
      <c r="X191" s="35"/>
      <c r="Y191" s="36"/>
      <c r="Z191" s="11"/>
      <c r="AA191" s="35"/>
      <c r="AB191" s="36"/>
      <c r="AC191" s="35"/>
      <c r="AD191" s="35"/>
      <c r="AE191" s="37" t="str">
        <f>IF($A191="","",COUNTIFS(Připomínky!$A$4:$A$503,$A191,Připomínky!$J$4:$J$503,"Nevyřešeno"))</f>
        <v/>
      </c>
      <c r="AF191" s="37" t="str">
        <f>IF($A191="","",COUNTIFS(Publikace!$A$4:$A$503,$A191))</f>
        <v/>
      </c>
      <c r="AG191" s="38" t="str">
        <f>IF($A191="","",IF(AF191=0,"",_xlfn.MINIFS(Publikace!$E$4:$E$503,Publikace!$A$4:$A$503,$A191)))</f>
        <v/>
      </c>
      <c r="AH191" s="37" t="str">
        <f t="shared" si="2"/>
        <v/>
      </c>
      <c r="AI191" s="39" t="str">
        <f ca="1">IF($A191="","",TRIM(IF(AND($U191&lt;&gt;"",$U191&lt;TODAY(),$W191&lt;&gt;"Schváleno",$W191&lt;&gt;"Odloženo",$W191&lt;&gt;"Zrušeno"),"Po termínu odevzdání. ","")&amp;IF(AND($W191="Schváleno",OR($X191="",$Y191="")),"Schváleno bez jména / data. ","")&amp;IF(OR($G191="",$H191="",$I191="",$F191=""),"Chybí zařazení (kategorie, typ, profil nebo měsíc). ","")&amp;IF(AND(OR($I191="Honza",$I191="Radek"),OR($J191="",$J191="Nevztahuje se")),"Doplnit charakter (osobní / pracovní). ","")&amp;IF(AND($W191="Schváleno",$AE191&gt;0),"Schváleno, ale má otevřené připomínky. ","")&amp;IF(AND($AA191="Publikováno",$AF191=0),"Publikováno bez záznamu v listu Publikace. ","")&amp;IF(AND($C191&lt;&gt;"",$D191=""),"Chybí číslo dílu série. ","")&amp;IF(AND($E191&lt;&gt;"",$W191&lt;&gt;"Schváleno",$W191&lt;&gt;"Odloženo",$W191&lt;&gt;"Zrušeno",IFERROR(VLOOKUP($E191,Nastavení!$A$30:$G$53,3,FALSE()),0)&gt;0,IFERROR(VLOOKUP($E191,Nastavení!$A$30:$G$53,3,FALSE()),0)&lt;TODAY()),"Neschváleno po termínu cyklu. ","")))</f>
        <v/>
      </c>
    </row>
    <row r="192" spans="1:35" x14ac:dyDescent="0.2">
      <c r="A192" s="35"/>
      <c r="B192" s="11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11"/>
      <c r="N192" s="11"/>
      <c r="O192" s="11"/>
      <c r="P192" s="11"/>
      <c r="Q192" s="11"/>
      <c r="R192" s="11"/>
      <c r="S192" s="11"/>
      <c r="T192" s="35"/>
      <c r="U192" s="36"/>
      <c r="V192" s="11"/>
      <c r="W192" s="35"/>
      <c r="X192" s="35"/>
      <c r="Y192" s="36"/>
      <c r="Z192" s="11"/>
      <c r="AA192" s="35"/>
      <c r="AB192" s="36"/>
      <c r="AC192" s="35"/>
      <c r="AD192" s="35"/>
      <c r="AE192" s="37" t="str">
        <f>IF($A192="","",COUNTIFS(Připomínky!$A$4:$A$503,$A192,Připomínky!$J$4:$J$503,"Nevyřešeno"))</f>
        <v/>
      </c>
      <c r="AF192" s="37" t="str">
        <f>IF($A192="","",COUNTIFS(Publikace!$A$4:$A$503,$A192))</f>
        <v/>
      </c>
      <c r="AG192" s="38" t="str">
        <f>IF($A192="","",IF(AF192=0,"",_xlfn.MINIFS(Publikace!$E$4:$E$503,Publikace!$A$4:$A$503,$A192)))</f>
        <v/>
      </c>
      <c r="AH192" s="37" t="str">
        <f t="shared" si="2"/>
        <v/>
      </c>
      <c r="AI192" s="39" t="str">
        <f ca="1">IF($A192="","",TRIM(IF(AND($U192&lt;&gt;"",$U192&lt;TODAY(),$W192&lt;&gt;"Schváleno",$W192&lt;&gt;"Odloženo",$W192&lt;&gt;"Zrušeno"),"Po termínu odevzdání. ","")&amp;IF(AND($W192="Schváleno",OR($X192="",$Y192="")),"Schváleno bez jména / data. ","")&amp;IF(OR($G192="",$H192="",$I192="",$F192=""),"Chybí zařazení (kategorie, typ, profil nebo měsíc). ","")&amp;IF(AND(OR($I192="Honza",$I192="Radek"),OR($J192="",$J192="Nevztahuje se")),"Doplnit charakter (osobní / pracovní). ","")&amp;IF(AND($W192="Schváleno",$AE192&gt;0),"Schváleno, ale má otevřené připomínky. ","")&amp;IF(AND($AA192="Publikováno",$AF192=0),"Publikováno bez záznamu v listu Publikace. ","")&amp;IF(AND($C192&lt;&gt;"",$D192=""),"Chybí číslo dílu série. ","")&amp;IF(AND($E192&lt;&gt;"",$W192&lt;&gt;"Schváleno",$W192&lt;&gt;"Odloženo",$W192&lt;&gt;"Zrušeno",IFERROR(VLOOKUP($E192,Nastavení!$A$30:$G$53,3,FALSE()),0)&gt;0,IFERROR(VLOOKUP($E192,Nastavení!$A$30:$G$53,3,FALSE()),0)&lt;TODAY()),"Neschváleno po termínu cyklu. ","")))</f>
        <v/>
      </c>
    </row>
    <row r="193" spans="1:35" x14ac:dyDescent="0.2">
      <c r="A193" s="35"/>
      <c r="B193" s="11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11"/>
      <c r="N193" s="11"/>
      <c r="O193" s="11"/>
      <c r="P193" s="11"/>
      <c r="Q193" s="11"/>
      <c r="R193" s="11"/>
      <c r="S193" s="11"/>
      <c r="T193" s="35"/>
      <c r="U193" s="36"/>
      <c r="V193" s="11"/>
      <c r="W193" s="35"/>
      <c r="X193" s="35"/>
      <c r="Y193" s="36"/>
      <c r="Z193" s="11"/>
      <c r="AA193" s="35"/>
      <c r="AB193" s="36"/>
      <c r="AC193" s="35"/>
      <c r="AD193" s="35"/>
      <c r="AE193" s="37" t="str">
        <f>IF($A193="","",COUNTIFS(Připomínky!$A$4:$A$503,$A193,Připomínky!$J$4:$J$503,"Nevyřešeno"))</f>
        <v/>
      </c>
      <c r="AF193" s="37" t="str">
        <f>IF($A193="","",COUNTIFS(Publikace!$A$4:$A$503,$A193))</f>
        <v/>
      </c>
      <c r="AG193" s="38" t="str">
        <f>IF($A193="","",IF(AF193=0,"",_xlfn.MINIFS(Publikace!$E$4:$E$503,Publikace!$A$4:$A$503,$A193)))</f>
        <v/>
      </c>
      <c r="AH193" s="37" t="str">
        <f t="shared" si="2"/>
        <v/>
      </c>
      <c r="AI193" s="39" t="str">
        <f ca="1">IF($A193="","",TRIM(IF(AND($U193&lt;&gt;"",$U193&lt;TODAY(),$W193&lt;&gt;"Schváleno",$W193&lt;&gt;"Odloženo",$W193&lt;&gt;"Zrušeno"),"Po termínu odevzdání. ","")&amp;IF(AND($W193="Schváleno",OR($X193="",$Y193="")),"Schváleno bez jména / data. ","")&amp;IF(OR($G193="",$H193="",$I193="",$F193=""),"Chybí zařazení (kategorie, typ, profil nebo měsíc). ","")&amp;IF(AND(OR($I193="Honza",$I193="Radek"),OR($J193="",$J193="Nevztahuje se")),"Doplnit charakter (osobní / pracovní). ","")&amp;IF(AND($W193="Schváleno",$AE193&gt;0),"Schváleno, ale má otevřené připomínky. ","")&amp;IF(AND($AA193="Publikováno",$AF193=0),"Publikováno bez záznamu v listu Publikace. ","")&amp;IF(AND($C193&lt;&gt;"",$D193=""),"Chybí číslo dílu série. ","")&amp;IF(AND($E193&lt;&gt;"",$W193&lt;&gt;"Schváleno",$W193&lt;&gt;"Odloženo",$W193&lt;&gt;"Zrušeno",IFERROR(VLOOKUP($E193,Nastavení!$A$30:$G$53,3,FALSE()),0)&gt;0,IFERROR(VLOOKUP($E193,Nastavení!$A$30:$G$53,3,FALSE()),0)&lt;TODAY()),"Neschváleno po termínu cyklu. ","")))</f>
        <v/>
      </c>
    </row>
    <row r="194" spans="1:35" x14ac:dyDescent="0.2">
      <c r="A194" s="35"/>
      <c r="B194" s="11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11"/>
      <c r="N194" s="11"/>
      <c r="O194" s="11"/>
      <c r="P194" s="11"/>
      <c r="Q194" s="11"/>
      <c r="R194" s="11"/>
      <c r="S194" s="11"/>
      <c r="T194" s="35"/>
      <c r="U194" s="36"/>
      <c r="V194" s="11"/>
      <c r="W194" s="35"/>
      <c r="X194" s="35"/>
      <c r="Y194" s="36"/>
      <c r="Z194" s="11"/>
      <c r="AA194" s="35"/>
      <c r="AB194" s="36"/>
      <c r="AC194" s="35"/>
      <c r="AD194" s="35"/>
      <c r="AE194" s="37" t="str">
        <f>IF($A194="","",COUNTIFS(Připomínky!$A$4:$A$503,$A194,Připomínky!$J$4:$J$503,"Nevyřešeno"))</f>
        <v/>
      </c>
      <c r="AF194" s="37" t="str">
        <f>IF($A194="","",COUNTIFS(Publikace!$A$4:$A$503,$A194))</f>
        <v/>
      </c>
      <c r="AG194" s="38" t="str">
        <f>IF($A194="","",IF(AF194=0,"",_xlfn.MINIFS(Publikace!$E$4:$E$503,Publikace!$A$4:$A$503,$A194)))</f>
        <v/>
      </c>
      <c r="AH194" s="37" t="str">
        <f t="shared" si="2"/>
        <v/>
      </c>
      <c r="AI194" s="39" t="str">
        <f ca="1">IF($A194="","",TRIM(IF(AND($U194&lt;&gt;"",$U194&lt;TODAY(),$W194&lt;&gt;"Schváleno",$W194&lt;&gt;"Odloženo",$W194&lt;&gt;"Zrušeno"),"Po termínu odevzdání. ","")&amp;IF(AND($W194="Schváleno",OR($X194="",$Y194="")),"Schváleno bez jména / data. ","")&amp;IF(OR($G194="",$H194="",$I194="",$F194=""),"Chybí zařazení (kategorie, typ, profil nebo měsíc). ","")&amp;IF(AND(OR($I194="Honza",$I194="Radek"),OR($J194="",$J194="Nevztahuje se")),"Doplnit charakter (osobní / pracovní). ","")&amp;IF(AND($W194="Schváleno",$AE194&gt;0),"Schváleno, ale má otevřené připomínky. ","")&amp;IF(AND($AA194="Publikováno",$AF194=0),"Publikováno bez záznamu v listu Publikace. ","")&amp;IF(AND($C194&lt;&gt;"",$D194=""),"Chybí číslo dílu série. ","")&amp;IF(AND($E194&lt;&gt;"",$W194&lt;&gt;"Schváleno",$W194&lt;&gt;"Odloženo",$W194&lt;&gt;"Zrušeno",IFERROR(VLOOKUP($E194,Nastavení!$A$30:$G$53,3,FALSE()),0)&gt;0,IFERROR(VLOOKUP($E194,Nastavení!$A$30:$G$53,3,FALSE()),0)&lt;TODAY()),"Neschváleno po termínu cyklu. ","")))</f>
        <v/>
      </c>
    </row>
    <row r="195" spans="1:35" x14ac:dyDescent="0.2">
      <c r="A195" s="35"/>
      <c r="B195" s="11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11"/>
      <c r="N195" s="11"/>
      <c r="O195" s="11"/>
      <c r="P195" s="11"/>
      <c r="Q195" s="11"/>
      <c r="R195" s="11"/>
      <c r="S195" s="11"/>
      <c r="T195" s="35"/>
      <c r="U195" s="36"/>
      <c r="V195" s="11"/>
      <c r="W195" s="35"/>
      <c r="X195" s="35"/>
      <c r="Y195" s="36"/>
      <c r="Z195" s="11"/>
      <c r="AA195" s="35"/>
      <c r="AB195" s="36"/>
      <c r="AC195" s="35"/>
      <c r="AD195" s="35"/>
      <c r="AE195" s="37" t="str">
        <f>IF($A195="","",COUNTIFS(Připomínky!$A$4:$A$503,$A195,Připomínky!$J$4:$J$503,"Nevyřešeno"))</f>
        <v/>
      </c>
      <c r="AF195" s="37" t="str">
        <f>IF($A195="","",COUNTIFS(Publikace!$A$4:$A$503,$A195))</f>
        <v/>
      </c>
      <c r="AG195" s="38" t="str">
        <f>IF($A195="","",IF(AF195=0,"",_xlfn.MINIFS(Publikace!$E$4:$E$503,Publikace!$A$4:$A$503,$A195)))</f>
        <v/>
      </c>
      <c r="AH195" s="37" t="str">
        <f t="shared" si="2"/>
        <v/>
      </c>
      <c r="AI195" s="39" t="str">
        <f ca="1">IF($A195="","",TRIM(IF(AND($U195&lt;&gt;"",$U195&lt;TODAY(),$W195&lt;&gt;"Schváleno",$W195&lt;&gt;"Odloženo",$W195&lt;&gt;"Zrušeno"),"Po termínu odevzdání. ","")&amp;IF(AND($W195="Schváleno",OR($X195="",$Y195="")),"Schváleno bez jména / data. ","")&amp;IF(OR($G195="",$H195="",$I195="",$F195=""),"Chybí zařazení (kategorie, typ, profil nebo měsíc). ","")&amp;IF(AND(OR($I195="Honza",$I195="Radek"),OR($J195="",$J195="Nevztahuje se")),"Doplnit charakter (osobní / pracovní). ","")&amp;IF(AND($W195="Schváleno",$AE195&gt;0),"Schváleno, ale má otevřené připomínky. ","")&amp;IF(AND($AA195="Publikováno",$AF195=0),"Publikováno bez záznamu v listu Publikace. ","")&amp;IF(AND($C195&lt;&gt;"",$D195=""),"Chybí číslo dílu série. ","")&amp;IF(AND($E195&lt;&gt;"",$W195&lt;&gt;"Schváleno",$W195&lt;&gt;"Odloženo",$W195&lt;&gt;"Zrušeno",IFERROR(VLOOKUP($E195,Nastavení!$A$30:$G$53,3,FALSE()),0)&gt;0,IFERROR(VLOOKUP($E195,Nastavení!$A$30:$G$53,3,FALSE()),0)&lt;TODAY()),"Neschváleno po termínu cyklu. ","")))</f>
        <v/>
      </c>
    </row>
    <row r="196" spans="1:35" x14ac:dyDescent="0.2">
      <c r="A196" s="35"/>
      <c r="B196" s="11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11"/>
      <c r="N196" s="11"/>
      <c r="O196" s="11"/>
      <c r="P196" s="11"/>
      <c r="Q196" s="11"/>
      <c r="R196" s="11"/>
      <c r="S196" s="11"/>
      <c r="T196" s="35"/>
      <c r="U196" s="36"/>
      <c r="V196" s="11"/>
      <c r="W196" s="35"/>
      <c r="X196" s="35"/>
      <c r="Y196" s="36"/>
      <c r="Z196" s="11"/>
      <c r="AA196" s="35"/>
      <c r="AB196" s="36"/>
      <c r="AC196" s="35"/>
      <c r="AD196" s="35"/>
      <c r="AE196" s="37" t="str">
        <f>IF($A196="","",COUNTIFS(Připomínky!$A$4:$A$503,$A196,Připomínky!$J$4:$J$503,"Nevyřešeno"))</f>
        <v/>
      </c>
      <c r="AF196" s="37" t="str">
        <f>IF($A196="","",COUNTIFS(Publikace!$A$4:$A$503,$A196))</f>
        <v/>
      </c>
      <c r="AG196" s="38" t="str">
        <f>IF($A196="","",IF(AF196=0,"",_xlfn.MINIFS(Publikace!$E$4:$E$503,Publikace!$A$4:$A$503,$A196)))</f>
        <v/>
      </c>
      <c r="AH196" s="37" t="str">
        <f t="shared" ref="AH196:AH259" si="3">IF(AG196="","",YEAR(AG196)&amp;"-"&amp;TEXT(MONTH(AG196),"00"))</f>
        <v/>
      </c>
      <c r="AI196" s="39" t="str">
        <f ca="1">IF($A196="","",TRIM(IF(AND($U196&lt;&gt;"",$U196&lt;TODAY(),$W196&lt;&gt;"Schváleno",$W196&lt;&gt;"Odloženo",$W196&lt;&gt;"Zrušeno"),"Po termínu odevzdání. ","")&amp;IF(AND($W196="Schváleno",OR($X196="",$Y196="")),"Schváleno bez jména / data. ","")&amp;IF(OR($G196="",$H196="",$I196="",$F196=""),"Chybí zařazení (kategorie, typ, profil nebo měsíc). ","")&amp;IF(AND(OR($I196="Honza",$I196="Radek"),OR($J196="",$J196="Nevztahuje se")),"Doplnit charakter (osobní / pracovní). ","")&amp;IF(AND($W196="Schváleno",$AE196&gt;0),"Schváleno, ale má otevřené připomínky. ","")&amp;IF(AND($AA196="Publikováno",$AF196=0),"Publikováno bez záznamu v listu Publikace. ","")&amp;IF(AND($C196&lt;&gt;"",$D196=""),"Chybí číslo dílu série. ","")&amp;IF(AND($E196&lt;&gt;"",$W196&lt;&gt;"Schváleno",$W196&lt;&gt;"Odloženo",$W196&lt;&gt;"Zrušeno",IFERROR(VLOOKUP($E196,Nastavení!$A$30:$G$53,3,FALSE()),0)&gt;0,IFERROR(VLOOKUP($E196,Nastavení!$A$30:$G$53,3,FALSE()),0)&lt;TODAY()),"Neschváleno po termínu cyklu. ","")))</f>
        <v/>
      </c>
    </row>
    <row r="197" spans="1:35" x14ac:dyDescent="0.2">
      <c r="A197" s="35"/>
      <c r="B197" s="11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11"/>
      <c r="N197" s="11"/>
      <c r="O197" s="11"/>
      <c r="P197" s="11"/>
      <c r="Q197" s="11"/>
      <c r="R197" s="11"/>
      <c r="S197" s="11"/>
      <c r="T197" s="35"/>
      <c r="U197" s="36"/>
      <c r="V197" s="11"/>
      <c r="W197" s="35"/>
      <c r="X197" s="35"/>
      <c r="Y197" s="36"/>
      <c r="Z197" s="11"/>
      <c r="AA197" s="35"/>
      <c r="AB197" s="36"/>
      <c r="AC197" s="35"/>
      <c r="AD197" s="35"/>
      <c r="AE197" s="37" t="str">
        <f>IF($A197="","",COUNTIFS(Připomínky!$A$4:$A$503,$A197,Připomínky!$J$4:$J$503,"Nevyřešeno"))</f>
        <v/>
      </c>
      <c r="AF197" s="37" t="str">
        <f>IF($A197="","",COUNTIFS(Publikace!$A$4:$A$503,$A197))</f>
        <v/>
      </c>
      <c r="AG197" s="38" t="str">
        <f>IF($A197="","",IF(AF197=0,"",_xlfn.MINIFS(Publikace!$E$4:$E$503,Publikace!$A$4:$A$503,$A197)))</f>
        <v/>
      </c>
      <c r="AH197" s="37" t="str">
        <f t="shared" si="3"/>
        <v/>
      </c>
      <c r="AI197" s="39" t="str">
        <f ca="1">IF($A197="","",TRIM(IF(AND($U197&lt;&gt;"",$U197&lt;TODAY(),$W197&lt;&gt;"Schváleno",$W197&lt;&gt;"Odloženo",$W197&lt;&gt;"Zrušeno"),"Po termínu odevzdání. ","")&amp;IF(AND($W197="Schváleno",OR($X197="",$Y197="")),"Schváleno bez jména / data. ","")&amp;IF(OR($G197="",$H197="",$I197="",$F197=""),"Chybí zařazení (kategorie, typ, profil nebo měsíc). ","")&amp;IF(AND(OR($I197="Honza",$I197="Radek"),OR($J197="",$J197="Nevztahuje se")),"Doplnit charakter (osobní / pracovní). ","")&amp;IF(AND($W197="Schváleno",$AE197&gt;0),"Schváleno, ale má otevřené připomínky. ","")&amp;IF(AND($AA197="Publikováno",$AF197=0),"Publikováno bez záznamu v listu Publikace. ","")&amp;IF(AND($C197&lt;&gt;"",$D197=""),"Chybí číslo dílu série. ","")&amp;IF(AND($E197&lt;&gt;"",$W197&lt;&gt;"Schváleno",$W197&lt;&gt;"Odloženo",$W197&lt;&gt;"Zrušeno",IFERROR(VLOOKUP($E197,Nastavení!$A$30:$G$53,3,FALSE()),0)&gt;0,IFERROR(VLOOKUP($E197,Nastavení!$A$30:$G$53,3,FALSE()),0)&lt;TODAY()),"Neschváleno po termínu cyklu. ","")))</f>
        <v/>
      </c>
    </row>
    <row r="198" spans="1:35" x14ac:dyDescent="0.2">
      <c r="A198" s="35"/>
      <c r="B198" s="11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11"/>
      <c r="N198" s="11"/>
      <c r="O198" s="11"/>
      <c r="P198" s="11"/>
      <c r="Q198" s="11"/>
      <c r="R198" s="11"/>
      <c r="S198" s="11"/>
      <c r="T198" s="35"/>
      <c r="U198" s="36"/>
      <c r="V198" s="11"/>
      <c r="W198" s="35"/>
      <c r="X198" s="35"/>
      <c r="Y198" s="36"/>
      <c r="Z198" s="11"/>
      <c r="AA198" s="35"/>
      <c r="AB198" s="36"/>
      <c r="AC198" s="35"/>
      <c r="AD198" s="35"/>
      <c r="AE198" s="37" t="str">
        <f>IF($A198="","",COUNTIFS(Připomínky!$A$4:$A$503,$A198,Připomínky!$J$4:$J$503,"Nevyřešeno"))</f>
        <v/>
      </c>
      <c r="AF198" s="37" t="str">
        <f>IF($A198="","",COUNTIFS(Publikace!$A$4:$A$503,$A198))</f>
        <v/>
      </c>
      <c r="AG198" s="38" t="str">
        <f>IF($A198="","",IF(AF198=0,"",_xlfn.MINIFS(Publikace!$E$4:$E$503,Publikace!$A$4:$A$503,$A198)))</f>
        <v/>
      </c>
      <c r="AH198" s="37" t="str">
        <f t="shared" si="3"/>
        <v/>
      </c>
      <c r="AI198" s="39" t="str">
        <f ca="1">IF($A198="","",TRIM(IF(AND($U198&lt;&gt;"",$U198&lt;TODAY(),$W198&lt;&gt;"Schváleno",$W198&lt;&gt;"Odloženo",$W198&lt;&gt;"Zrušeno"),"Po termínu odevzdání. ","")&amp;IF(AND($W198="Schváleno",OR($X198="",$Y198="")),"Schváleno bez jména / data. ","")&amp;IF(OR($G198="",$H198="",$I198="",$F198=""),"Chybí zařazení (kategorie, typ, profil nebo měsíc). ","")&amp;IF(AND(OR($I198="Honza",$I198="Radek"),OR($J198="",$J198="Nevztahuje se")),"Doplnit charakter (osobní / pracovní). ","")&amp;IF(AND($W198="Schváleno",$AE198&gt;0),"Schváleno, ale má otevřené připomínky. ","")&amp;IF(AND($AA198="Publikováno",$AF198=0),"Publikováno bez záznamu v listu Publikace. ","")&amp;IF(AND($C198&lt;&gt;"",$D198=""),"Chybí číslo dílu série. ","")&amp;IF(AND($E198&lt;&gt;"",$W198&lt;&gt;"Schváleno",$W198&lt;&gt;"Odloženo",$W198&lt;&gt;"Zrušeno",IFERROR(VLOOKUP($E198,Nastavení!$A$30:$G$53,3,FALSE()),0)&gt;0,IFERROR(VLOOKUP($E198,Nastavení!$A$30:$G$53,3,FALSE()),0)&lt;TODAY()),"Neschváleno po termínu cyklu. ","")))</f>
        <v/>
      </c>
    </row>
    <row r="199" spans="1:35" x14ac:dyDescent="0.2">
      <c r="A199" s="35"/>
      <c r="B199" s="11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11"/>
      <c r="N199" s="11"/>
      <c r="O199" s="11"/>
      <c r="P199" s="11"/>
      <c r="Q199" s="11"/>
      <c r="R199" s="11"/>
      <c r="S199" s="11"/>
      <c r="T199" s="35"/>
      <c r="U199" s="36"/>
      <c r="V199" s="11"/>
      <c r="W199" s="35"/>
      <c r="X199" s="35"/>
      <c r="Y199" s="36"/>
      <c r="Z199" s="11"/>
      <c r="AA199" s="35"/>
      <c r="AB199" s="36"/>
      <c r="AC199" s="35"/>
      <c r="AD199" s="35"/>
      <c r="AE199" s="37" t="str">
        <f>IF($A199="","",COUNTIFS(Připomínky!$A$4:$A$503,$A199,Připomínky!$J$4:$J$503,"Nevyřešeno"))</f>
        <v/>
      </c>
      <c r="AF199" s="37" t="str">
        <f>IF($A199="","",COUNTIFS(Publikace!$A$4:$A$503,$A199))</f>
        <v/>
      </c>
      <c r="AG199" s="38" t="str">
        <f>IF($A199="","",IF(AF199=0,"",_xlfn.MINIFS(Publikace!$E$4:$E$503,Publikace!$A$4:$A$503,$A199)))</f>
        <v/>
      </c>
      <c r="AH199" s="37" t="str">
        <f t="shared" si="3"/>
        <v/>
      </c>
      <c r="AI199" s="39" t="str">
        <f ca="1">IF($A199="","",TRIM(IF(AND($U199&lt;&gt;"",$U199&lt;TODAY(),$W199&lt;&gt;"Schváleno",$W199&lt;&gt;"Odloženo",$W199&lt;&gt;"Zrušeno"),"Po termínu odevzdání. ","")&amp;IF(AND($W199="Schváleno",OR($X199="",$Y199="")),"Schváleno bez jména / data. ","")&amp;IF(OR($G199="",$H199="",$I199="",$F199=""),"Chybí zařazení (kategorie, typ, profil nebo měsíc). ","")&amp;IF(AND(OR($I199="Honza",$I199="Radek"),OR($J199="",$J199="Nevztahuje se")),"Doplnit charakter (osobní / pracovní). ","")&amp;IF(AND($W199="Schváleno",$AE199&gt;0),"Schváleno, ale má otevřené připomínky. ","")&amp;IF(AND($AA199="Publikováno",$AF199=0),"Publikováno bez záznamu v listu Publikace. ","")&amp;IF(AND($C199&lt;&gt;"",$D199=""),"Chybí číslo dílu série. ","")&amp;IF(AND($E199&lt;&gt;"",$W199&lt;&gt;"Schváleno",$W199&lt;&gt;"Odloženo",$W199&lt;&gt;"Zrušeno",IFERROR(VLOOKUP($E199,Nastavení!$A$30:$G$53,3,FALSE()),0)&gt;0,IFERROR(VLOOKUP($E199,Nastavení!$A$30:$G$53,3,FALSE()),0)&lt;TODAY()),"Neschváleno po termínu cyklu. ","")))</f>
        <v/>
      </c>
    </row>
    <row r="200" spans="1:35" x14ac:dyDescent="0.2">
      <c r="A200" s="35"/>
      <c r="B200" s="11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11"/>
      <c r="N200" s="11"/>
      <c r="O200" s="11"/>
      <c r="P200" s="11"/>
      <c r="Q200" s="11"/>
      <c r="R200" s="11"/>
      <c r="S200" s="11"/>
      <c r="T200" s="35"/>
      <c r="U200" s="36"/>
      <c r="V200" s="11"/>
      <c r="W200" s="35"/>
      <c r="X200" s="35"/>
      <c r="Y200" s="36"/>
      <c r="Z200" s="11"/>
      <c r="AA200" s="35"/>
      <c r="AB200" s="36"/>
      <c r="AC200" s="35"/>
      <c r="AD200" s="35"/>
      <c r="AE200" s="37" t="str">
        <f>IF($A200="","",COUNTIFS(Připomínky!$A$4:$A$503,$A200,Připomínky!$J$4:$J$503,"Nevyřešeno"))</f>
        <v/>
      </c>
      <c r="AF200" s="37" t="str">
        <f>IF($A200="","",COUNTIFS(Publikace!$A$4:$A$503,$A200))</f>
        <v/>
      </c>
      <c r="AG200" s="38" t="str">
        <f>IF($A200="","",IF(AF200=0,"",_xlfn.MINIFS(Publikace!$E$4:$E$503,Publikace!$A$4:$A$503,$A200)))</f>
        <v/>
      </c>
      <c r="AH200" s="37" t="str">
        <f t="shared" si="3"/>
        <v/>
      </c>
      <c r="AI200" s="39" t="str">
        <f ca="1">IF($A200="","",TRIM(IF(AND($U200&lt;&gt;"",$U200&lt;TODAY(),$W200&lt;&gt;"Schváleno",$W200&lt;&gt;"Odloženo",$W200&lt;&gt;"Zrušeno"),"Po termínu odevzdání. ","")&amp;IF(AND($W200="Schváleno",OR($X200="",$Y200="")),"Schváleno bez jména / data. ","")&amp;IF(OR($G200="",$H200="",$I200="",$F200=""),"Chybí zařazení (kategorie, typ, profil nebo měsíc). ","")&amp;IF(AND(OR($I200="Honza",$I200="Radek"),OR($J200="",$J200="Nevztahuje se")),"Doplnit charakter (osobní / pracovní). ","")&amp;IF(AND($W200="Schváleno",$AE200&gt;0),"Schváleno, ale má otevřené připomínky. ","")&amp;IF(AND($AA200="Publikováno",$AF200=0),"Publikováno bez záznamu v listu Publikace. ","")&amp;IF(AND($C200&lt;&gt;"",$D200=""),"Chybí číslo dílu série. ","")&amp;IF(AND($E200&lt;&gt;"",$W200&lt;&gt;"Schváleno",$W200&lt;&gt;"Odloženo",$W200&lt;&gt;"Zrušeno",IFERROR(VLOOKUP($E200,Nastavení!$A$30:$G$53,3,FALSE()),0)&gt;0,IFERROR(VLOOKUP($E200,Nastavení!$A$30:$G$53,3,FALSE()),0)&lt;TODAY()),"Neschváleno po termínu cyklu. ","")))</f>
        <v/>
      </c>
    </row>
    <row r="201" spans="1:35" x14ac:dyDescent="0.2">
      <c r="A201" s="35"/>
      <c r="B201" s="11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11"/>
      <c r="N201" s="11"/>
      <c r="O201" s="11"/>
      <c r="P201" s="11"/>
      <c r="Q201" s="11"/>
      <c r="R201" s="11"/>
      <c r="S201" s="11"/>
      <c r="T201" s="35"/>
      <c r="U201" s="36"/>
      <c r="V201" s="11"/>
      <c r="W201" s="35"/>
      <c r="X201" s="35"/>
      <c r="Y201" s="36"/>
      <c r="Z201" s="11"/>
      <c r="AA201" s="35"/>
      <c r="AB201" s="36"/>
      <c r="AC201" s="35"/>
      <c r="AD201" s="35"/>
      <c r="AE201" s="37" t="str">
        <f>IF($A201="","",COUNTIFS(Připomínky!$A$4:$A$503,$A201,Připomínky!$J$4:$J$503,"Nevyřešeno"))</f>
        <v/>
      </c>
      <c r="AF201" s="37" t="str">
        <f>IF($A201="","",COUNTIFS(Publikace!$A$4:$A$503,$A201))</f>
        <v/>
      </c>
      <c r="AG201" s="38" t="str">
        <f>IF($A201="","",IF(AF201=0,"",_xlfn.MINIFS(Publikace!$E$4:$E$503,Publikace!$A$4:$A$503,$A201)))</f>
        <v/>
      </c>
      <c r="AH201" s="37" t="str">
        <f t="shared" si="3"/>
        <v/>
      </c>
      <c r="AI201" s="39" t="str">
        <f ca="1">IF($A201="","",TRIM(IF(AND($U201&lt;&gt;"",$U201&lt;TODAY(),$W201&lt;&gt;"Schváleno",$W201&lt;&gt;"Odloženo",$W201&lt;&gt;"Zrušeno"),"Po termínu odevzdání. ","")&amp;IF(AND($W201="Schváleno",OR($X201="",$Y201="")),"Schváleno bez jména / data. ","")&amp;IF(OR($G201="",$H201="",$I201="",$F201=""),"Chybí zařazení (kategorie, typ, profil nebo měsíc). ","")&amp;IF(AND(OR($I201="Honza",$I201="Radek"),OR($J201="",$J201="Nevztahuje se")),"Doplnit charakter (osobní / pracovní). ","")&amp;IF(AND($W201="Schváleno",$AE201&gt;0),"Schváleno, ale má otevřené připomínky. ","")&amp;IF(AND($AA201="Publikováno",$AF201=0),"Publikováno bez záznamu v listu Publikace. ","")&amp;IF(AND($C201&lt;&gt;"",$D201=""),"Chybí číslo dílu série. ","")&amp;IF(AND($E201&lt;&gt;"",$W201&lt;&gt;"Schváleno",$W201&lt;&gt;"Odloženo",$W201&lt;&gt;"Zrušeno",IFERROR(VLOOKUP($E201,Nastavení!$A$30:$G$53,3,FALSE()),0)&gt;0,IFERROR(VLOOKUP($E201,Nastavení!$A$30:$G$53,3,FALSE()),0)&lt;TODAY()),"Neschváleno po termínu cyklu. ","")))</f>
        <v/>
      </c>
    </row>
    <row r="202" spans="1:35" x14ac:dyDescent="0.2">
      <c r="A202" s="35"/>
      <c r="B202" s="11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11"/>
      <c r="N202" s="11"/>
      <c r="O202" s="11"/>
      <c r="P202" s="11"/>
      <c r="Q202" s="11"/>
      <c r="R202" s="11"/>
      <c r="S202" s="11"/>
      <c r="T202" s="35"/>
      <c r="U202" s="36"/>
      <c r="V202" s="11"/>
      <c r="W202" s="35"/>
      <c r="X202" s="35"/>
      <c r="Y202" s="36"/>
      <c r="Z202" s="11"/>
      <c r="AA202" s="35"/>
      <c r="AB202" s="36"/>
      <c r="AC202" s="35"/>
      <c r="AD202" s="35"/>
      <c r="AE202" s="37" t="str">
        <f>IF($A202="","",COUNTIFS(Připomínky!$A$4:$A$503,$A202,Připomínky!$J$4:$J$503,"Nevyřešeno"))</f>
        <v/>
      </c>
      <c r="AF202" s="37" t="str">
        <f>IF($A202="","",COUNTIFS(Publikace!$A$4:$A$503,$A202))</f>
        <v/>
      </c>
      <c r="AG202" s="38" t="str">
        <f>IF($A202="","",IF(AF202=0,"",_xlfn.MINIFS(Publikace!$E$4:$E$503,Publikace!$A$4:$A$503,$A202)))</f>
        <v/>
      </c>
      <c r="AH202" s="37" t="str">
        <f t="shared" si="3"/>
        <v/>
      </c>
      <c r="AI202" s="39" t="str">
        <f ca="1">IF($A202="","",TRIM(IF(AND($U202&lt;&gt;"",$U202&lt;TODAY(),$W202&lt;&gt;"Schváleno",$W202&lt;&gt;"Odloženo",$W202&lt;&gt;"Zrušeno"),"Po termínu odevzdání. ","")&amp;IF(AND($W202="Schváleno",OR($X202="",$Y202="")),"Schváleno bez jména / data. ","")&amp;IF(OR($G202="",$H202="",$I202="",$F202=""),"Chybí zařazení (kategorie, typ, profil nebo měsíc). ","")&amp;IF(AND(OR($I202="Honza",$I202="Radek"),OR($J202="",$J202="Nevztahuje se")),"Doplnit charakter (osobní / pracovní). ","")&amp;IF(AND($W202="Schváleno",$AE202&gt;0),"Schváleno, ale má otevřené připomínky. ","")&amp;IF(AND($AA202="Publikováno",$AF202=0),"Publikováno bez záznamu v listu Publikace. ","")&amp;IF(AND($C202&lt;&gt;"",$D202=""),"Chybí číslo dílu série. ","")&amp;IF(AND($E202&lt;&gt;"",$W202&lt;&gt;"Schváleno",$W202&lt;&gt;"Odloženo",$W202&lt;&gt;"Zrušeno",IFERROR(VLOOKUP($E202,Nastavení!$A$30:$G$53,3,FALSE()),0)&gt;0,IFERROR(VLOOKUP($E202,Nastavení!$A$30:$G$53,3,FALSE()),0)&lt;TODAY()),"Neschváleno po termínu cyklu. ","")))</f>
        <v/>
      </c>
    </row>
    <row r="203" spans="1:35" x14ac:dyDescent="0.2">
      <c r="A203" s="35"/>
      <c r="B203" s="11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11"/>
      <c r="N203" s="11"/>
      <c r="O203" s="11"/>
      <c r="P203" s="11"/>
      <c r="Q203" s="11"/>
      <c r="R203" s="11"/>
      <c r="S203" s="11"/>
      <c r="T203" s="35"/>
      <c r="U203" s="36"/>
      <c r="V203" s="11"/>
      <c r="W203" s="35"/>
      <c r="X203" s="35"/>
      <c r="Y203" s="36"/>
      <c r="Z203" s="11"/>
      <c r="AA203" s="35"/>
      <c r="AB203" s="36"/>
      <c r="AC203" s="35"/>
      <c r="AD203" s="35"/>
      <c r="AE203" s="37" t="str">
        <f>IF($A203="","",COUNTIFS(Připomínky!$A$4:$A$503,$A203,Připomínky!$J$4:$J$503,"Nevyřešeno"))</f>
        <v/>
      </c>
      <c r="AF203" s="37" t="str">
        <f>IF($A203="","",COUNTIFS(Publikace!$A$4:$A$503,$A203))</f>
        <v/>
      </c>
      <c r="AG203" s="38" t="str">
        <f>IF($A203="","",IF(AF203=0,"",_xlfn.MINIFS(Publikace!$E$4:$E$503,Publikace!$A$4:$A$503,$A203)))</f>
        <v/>
      </c>
      <c r="AH203" s="37" t="str">
        <f t="shared" si="3"/>
        <v/>
      </c>
      <c r="AI203" s="39" t="str">
        <f ca="1">IF($A203="","",TRIM(IF(AND($U203&lt;&gt;"",$U203&lt;TODAY(),$W203&lt;&gt;"Schváleno",$W203&lt;&gt;"Odloženo",$W203&lt;&gt;"Zrušeno"),"Po termínu odevzdání. ","")&amp;IF(AND($W203="Schváleno",OR($X203="",$Y203="")),"Schváleno bez jména / data. ","")&amp;IF(OR($G203="",$H203="",$I203="",$F203=""),"Chybí zařazení (kategorie, typ, profil nebo měsíc). ","")&amp;IF(AND(OR($I203="Honza",$I203="Radek"),OR($J203="",$J203="Nevztahuje se")),"Doplnit charakter (osobní / pracovní). ","")&amp;IF(AND($W203="Schváleno",$AE203&gt;0),"Schváleno, ale má otevřené připomínky. ","")&amp;IF(AND($AA203="Publikováno",$AF203=0),"Publikováno bez záznamu v listu Publikace. ","")&amp;IF(AND($C203&lt;&gt;"",$D203=""),"Chybí číslo dílu série. ","")&amp;IF(AND($E203&lt;&gt;"",$W203&lt;&gt;"Schváleno",$W203&lt;&gt;"Odloženo",$W203&lt;&gt;"Zrušeno",IFERROR(VLOOKUP($E203,Nastavení!$A$30:$G$53,3,FALSE()),0)&gt;0,IFERROR(VLOOKUP($E203,Nastavení!$A$30:$G$53,3,FALSE()),0)&lt;TODAY()),"Neschváleno po termínu cyklu. ","")))</f>
        <v/>
      </c>
    </row>
    <row r="204" spans="1:35" x14ac:dyDescent="0.2">
      <c r="A204" s="35"/>
      <c r="B204" s="11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11"/>
      <c r="N204" s="11"/>
      <c r="O204" s="11"/>
      <c r="P204" s="11"/>
      <c r="Q204" s="11"/>
      <c r="R204" s="11"/>
      <c r="S204" s="11"/>
      <c r="T204" s="35"/>
      <c r="U204" s="36"/>
      <c r="V204" s="11"/>
      <c r="W204" s="35"/>
      <c r="X204" s="35"/>
      <c r="Y204" s="36"/>
      <c r="Z204" s="11"/>
      <c r="AA204" s="35"/>
      <c r="AB204" s="36"/>
      <c r="AC204" s="35"/>
      <c r="AD204" s="35"/>
      <c r="AE204" s="37" t="str">
        <f>IF($A204="","",COUNTIFS(Připomínky!$A$4:$A$503,$A204,Připomínky!$J$4:$J$503,"Nevyřešeno"))</f>
        <v/>
      </c>
      <c r="AF204" s="37" t="str">
        <f>IF($A204="","",COUNTIFS(Publikace!$A$4:$A$503,$A204))</f>
        <v/>
      </c>
      <c r="AG204" s="38" t="str">
        <f>IF($A204="","",IF(AF204=0,"",_xlfn.MINIFS(Publikace!$E$4:$E$503,Publikace!$A$4:$A$503,$A204)))</f>
        <v/>
      </c>
      <c r="AH204" s="37" t="str">
        <f t="shared" si="3"/>
        <v/>
      </c>
      <c r="AI204" s="39" t="str">
        <f ca="1">IF($A204="","",TRIM(IF(AND($U204&lt;&gt;"",$U204&lt;TODAY(),$W204&lt;&gt;"Schváleno",$W204&lt;&gt;"Odloženo",$W204&lt;&gt;"Zrušeno"),"Po termínu odevzdání. ","")&amp;IF(AND($W204="Schváleno",OR($X204="",$Y204="")),"Schváleno bez jména / data. ","")&amp;IF(OR($G204="",$H204="",$I204="",$F204=""),"Chybí zařazení (kategorie, typ, profil nebo měsíc). ","")&amp;IF(AND(OR($I204="Honza",$I204="Radek"),OR($J204="",$J204="Nevztahuje se")),"Doplnit charakter (osobní / pracovní). ","")&amp;IF(AND($W204="Schváleno",$AE204&gt;0),"Schváleno, ale má otevřené připomínky. ","")&amp;IF(AND($AA204="Publikováno",$AF204=0),"Publikováno bez záznamu v listu Publikace. ","")&amp;IF(AND($C204&lt;&gt;"",$D204=""),"Chybí číslo dílu série. ","")&amp;IF(AND($E204&lt;&gt;"",$W204&lt;&gt;"Schváleno",$W204&lt;&gt;"Odloženo",$W204&lt;&gt;"Zrušeno",IFERROR(VLOOKUP($E204,Nastavení!$A$30:$G$53,3,FALSE()),0)&gt;0,IFERROR(VLOOKUP($E204,Nastavení!$A$30:$G$53,3,FALSE()),0)&lt;TODAY()),"Neschváleno po termínu cyklu. ","")))</f>
        <v/>
      </c>
    </row>
    <row r="205" spans="1:35" x14ac:dyDescent="0.2">
      <c r="A205" s="35"/>
      <c r="B205" s="11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11"/>
      <c r="N205" s="11"/>
      <c r="O205" s="11"/>
      <c r="P205" s="11"/>
      <c r="Q205" s="11"/>
      <c r="R205" s="11"/>
      <c r="S205" s="11"/>
      <c r="T205" s="35"/>
      <c r="U205" s="36"/>
      <c r="V205" s="11"/>
      <c r="W205" s="35"/>
      <c r="X205" s="35"/>
      <c r="Y205" s="36"/>
      <c r="Z205" s="11"/>
      <c r="AA205" s="35"/>
      <c r="AB205" s="36"/>
      <c r="AC205" s="35"/>
      <c r="AD205" s="35"/>
      <c r="AE205" s="37" t="str">
        <f>IF($A205="","",COUNTIFS(Připomínky!$A$4:$A$503,$A205,Připomínky!$J$4:$J$503,"Nevyřešeno"))</f>
        <v/>
      </c>
      <c r="AF205" s="37" t="str">
        <f>IF($A205="","",COUNTIFS(Publikace!$A$4:$A$503,$A205))</f>
        <v/>
      </c>
      <c r="AG205" s="38" t="str">
        <f>IF($A205="","",IF(AF205=0,"",_xlfn.MINIFS(Publikace!$E$4:$E$503,Publikace!$A$4:$A$503,$A205)))</f>
        <v/>
      </c>
      <c r="AH205" s="37" t="str">
        <f t="shared" si="3"/>
        <v/>
      </c>
      <c r="AI205" s="39" t="str">
        <f ca="1">IF($A205="","",TRIM(IF(AND($U205&lt;&gt;"",$U205&lt;TODAY(),$W205&lt;&gt;"Schváleno",$W205&lt;&gt;"Odloženo",$W205&lt;&gt;"Zrušeno"),"Po termínu odevzdání. ","")&amp;IF(AND($W205="Schváleno",OR($X205="",$Y205="")),"Schváleno bez jména / data. ","")&amp;IF(OR($G205="",$H205="",$I205="",$F205=""),"Chybí zařazení (kategorie, typ, profil nebo měsíc). ","")&amp;IF(AND(OR($I205="Honza",$I205="Radek"),OR($J205="",$J205="Nevztahuje se")),"Doplnit charakter (osobní / pracovní). ","")&amp;IF(AND($W205="Schváleno",$AE205&gt;0),"Schváleno, ale má otevřené připomínky. ","")&amp;IF(AND($AA205="Publikováno",$AF205=0),"Publikováno bez záznamu v listu Publikace. ","")&amp;IF(AND($C205&lt;&gt;"",$D205=""),"Chybí číslo dílu série. ","")&amp;IF(AND($E205&lt;&gt;"",$W205&lt;&gt;"Schváleno",$W205&lt;&gt;"Odloženo",$W205&lt;&gt;"Zrušeno",IFERROR(VLOOKUP($E205,Nastavení!$A$30:$G$53,3,FALSE()),0)&gt;0,IFERROR(VLOOKUP($E205,Nastavení!$A$30:$G$53,3,FALSE()),0)&lt;TODAY()),"Neschváleno po termínu cyklu. ","")))</f>
        <v/>
      </c>
    </row>
    <row r="206" spans="1:35" x14ac:dyDescent="0.2">
      <c r="A206" s="35"/>
      <c r="B206" s="11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11"/>
      <c r="N206" s="11"/>
      <c r="O206" s="11"/>
      <c r="P206" s="11"/>
      <c r="Q206" s="11"/>
      <c r="R206" s="11"/>
      <c r="S206" s="11"/>
      <c r="T206" s="35"/>
      <c r="U206" s="36"/>
      <c r="V206" s="11"/>
      <c r="W206" s="35"/>
      <c r="X206" s="35"/>
      <c r="Y206" s="36"/>
      <c r="Z206" s="11"/>
      <c r="AA206" s="35"/>
      <c r="AB206" s="36"/>
      <c r="AC206" s="35"/>
      <c r="AD206" s="35"/>
      <c r="AE206" s="37" t="str">
        <f>IF($A206="","",COUNTIFS(Připomínky!$A$4:$A$503,$A206,Připomínky!$J$4:$J$503,"Nevyřešeno"))</f>
        <v/>
      </c>
      <c r="AF206" s="37" t="str">
        <f>IF($A206="","",COUNTIFS(Publikace!$A$4:$A$503,$A206))</f>
        <v/>
      </c>
      <c r="AG206" s="38" t="str">
        <f>IF($A206="","",IF(AF206=0,"",_xlfn.MINIFS(Publikace!$E$4:$E$503,Publikace!$A$4:$A$503,$A206)))</f>
        <v/>
      </c>
      <c r="AH206" s="37" t="str">
        <f t="shared" si="3"/>
        <v/>
      </c>
      <c r="AI206" s="39" t="str">
        <f ca="1">IF($A206="","",TRIM(IF(AND($U206&lt;&gt;"",$U206&lt;TODAY(),$W206&lt;&gt;"Schváleno",$W206&lt;&gt;"Odloženo",$W206&lt;&gt;"Zrušeno"),"Po termínu odevzdání. ","")&amp;IF(AND($W206="Schváleno",OR($X206="",$Y206="")),"Schváleno bez jména / data. ","")&amp;IF(OR($G206="",$H206="",$I206="",$F206=""),"Chybí zařazení (kategorie, typ, profil nebo měsíc). ","")&amp;IF(AND(OR($I206="Honza",$I206="Radek"),OR($J206="",$J206="Nevztahuje se")),"Doplnit charakter (osobní / pracovní). ","")&amp;IF(AND($W206="Schváleno",$AE206&gt;0),"Schváleno, ale má otevřené připomínky. ","")&amp;IF(AND($AA206="Publikováno",$AF206=0),"Publikováno bez záznamu v listu Publikace. ","")&amp;IF(AND($C206&lt;&gt;"",$D206=""),"Chybí číslo dílu série. ","")&amp;IF(AND($E206&lt;&gt;"",$W206&lt;&gt;"Schváleno",$W206&lt;&gt;"Odloženo",$W206&lt;&gt;"Zrušeno",IFERROR(VLOOKUP($E206,Nastavení!$A$30:$G$53,3,FALSE()),0)&gt;0,IFERROR(VLOOKUP($E206,Nastavení!$A$30:$G$53,3,FALSE()),0)&lt;TODAY()),"Neschváleno po termínu cyklu. ","")))</f>
        <v/>
      </c>
    </row>
    <row r="207" spans="1:35" x14ac:dyDescent="0.2">
      <c r="A207" s="35"/>
      <c r="B207" s="11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11"/>
      <c r="N207" s="11"/>
      <c r="O207" s="11"/>
      <c r="P207" s="11"/>
      <c r="Q207" s="11"/>
      <c r="R207" s="11"/>
      <c r="S207" s="11"/>
      <c r="T207" s="35"/>
      <c r="U207" s="36"/>
      <c r="V207" s="11"/>
      <c r="W207" s="35"/>
      <c r="X207" s="35"/>
      <c r="Y207" s="36"/>
      <c r="Z207" s="11"/>
      <c r="AA207" s="35"/>
      <c r="AB207" s="36"/>
      <c r="AC207" s="35"/>
      <c r="AD207" s="35"/>
      <c r="AE207" s="37" t="str">
        <f>IF($A207="","",COUNTIFS(Připomínky!$A$4:$A$503,$A207,Připomínky!$J$4:$J$503,"Nevyřešeno"))</f>
        <v/>
      </c>
      <c r="AF207" s="37" t="str">
        <f>IF($A207="","",COUNTIFS(Publikace!$A$4:$A$503,$A207))</f>
        <v/>
      </c>
      <c r="AG207" s="38" t="str">
        <f>IF($A207="","",IF(AF207=0,"",_xlfn.MINIFS(Publikace!$E$4:$E$503,Publikace!$A$4:$A$503,$A207)))</f>
        <v/>
      </c>
      <c r="AH207" s="37" t="str">
        <f t="shared" si="3"/>
        <v/>
      </c>
      <c r="AI207" s="39" t="str">
        <f ca="1">IF($A207="","",TRIM(IF(AND($U207&lt;&gt;"",$U207&lt;TODAY(),$W207&lt;&gt;"Schváleno",$W207&lt;&gt;"Odloženo",$W207&lt;&gt;"Zrušeno"),"Po termínu odevzdání. ","")&amp;IF(AND($W207="Schváleno",OR($X207="",$Y207="")),"Schváleno bez jména / data. ","")&amp;IF(OR($G207="",$H207="",$I207="",$F207=""),"Chybí zařazení (kategorie, typ, profil nebo měsíc). ","")&amp;IF(AND(OR($I207="Honza",$I207="Radek"),OR($J207="",$J207="Nevztahuje se")),"Doplnit charakter (osobní / pracovní). ","")&amp;IF(AND($W207="Schváleno",$AE207&gt;0),"Schváleno, ale má otevřené připomínky. ","")&amp;IF(AND($AA207="Publikováno",$AF207=0),"Publikováno bez záznamu v listu Publikace. ","")&amp;IF(AND($C207&lt;&gt;"",$D207=""),"Chybí číslo dílu série. ","")&amp;IF(AND($E207&lt;&gt;"",$W207&lt;&gt;"Schváleno",$W207&lt;&gt;"Odloženo",$W207&lt;&gt;"Zrušeno",IFERROR(VLOOKUP($E207,Nastavení!$A$30:$G$53,3,FALSE()),0)&gt;0,IFERROR(VLOOKUP($E207,Nastavení!$A$30:$G$53,3,FALSE()),0)&lt;TODAY()),"Neschváleno po termínu cyklu. ","")))</f>
        <v/>
      </c>
    </row>
    <row r="208" spans="1:35" x14ac:dyDescent="0.2">
      <c r="A208" s="35"/>
      <c r="B208" s="11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11"/>
      <c r="N208" s="11"/>
      <c r="O208" s="11"/>
      <c r="P208" s="11"/>
      <c r="Q208" s="11"/>
      <c r="R208" s="11"/>
      <c r="S208" s="11"/>
      <c r="T208" s="35"/>
      <c r="U208" s="36"/>
      <c r="V208" s="11"/>
      <c r="W208" s="35"/>
      <c r="X208" s="35"/>
      <c r="Y208" s="36"/>
      <c r="Z208" s="11"/>
      <c r="AA208" s="35"/>
      <c r="AB208" s="36"/>
      <c r="AC208" s="35"/>
      <c r="AD208" s="35"/>
      <c r="AE208" s="37" t="str">
        <f>IF($A208="","",COUNTIFS(Připomínky!$A$4:$A$503,$A208,Připomínky!$J$4:$J$503,"Nevyřešeno"))</f>
        <v/>
      </c>
      <c r="AF208" s="37" t="str">
        <f>IF($A208="","",COUNTIFS(Publikace!$A$4:$A$503,$A208))</f>
        <v/>
      </c>
      <c r="AG208" s="38" t="str">
        <f>IF($A208="","",IF(AF208=0,"",_xlfn.MINIFS(Publikace!$E$4:$E$503,Publikace!$A$4:$A$503,$A208)))</f>
        <v/>
      </c>
      <c r="AH208" s="37" t="str">
        <f t="shared" si="3"/>
        <v/>
      </c>
      <c r="AI208" s="39" t="str">
        <f ca="1">IF($A208="","",TRIM(IF(AND($U208&lt;&gt;"",$U208&lt;TODAY(),$W208&lt;&gt;"Schváleno",$W208&lt;&gt;"Odloženo",$W208&lt;&gt;"Zrušeno"),"Po termínu odevzdání. ","")&amp;IF(AND($W208="Schváleno",OR($X208="",$Y208="")),"Schváleno bez jména / data. ","")&amp;IF(OR($G208="",$H208="",$I208="",$F208=""),"Chybí zařazení (kategorie, typ, profil nebo měsíc). ","")&amp;IF(AND(OR($I208="Honza",$I208="Radek"),OR($J208="",$J208="Nevztahuje se")),"Doplnit charakter (osobní / pracovní). ","")&amp;IF(AND($W208="Schváleno",$AE208&gt;0),"Schváleno, ale má otevřené připomínky. ","")&amp;IF(AND($AA208="Publikováno",$AF208=0),"Publikováno bez záznamu v listu Publikace. ","")&amp;IF(AND($C208&lt;&gt;"",$D208=""),"Chybí číslo dílu série. ","")&amp;IF(AND($E208&lt;&gt;"",$W208&lt;&gt;"Schváleno",$W208&lt;&gt;"Odloženo",$W208&lt;&gt;"Zrušeno",IFERROR(VLOOKUP($E208,Nastavení!$A$30:$G$53,3,FALSE()),0)&gt;0,IFERROR(VLOOKUP($E208,Nastavení!$A$30:$G$53,3,FALSE()),0)&lt;TODAY()),"Neschváleno po termínu cyklu. ","")))</f>
        <v/>
      </c>
    </row>
    <row r="209" spans="1:35" x14ac:dyDescent="0.2">
      <c r="A209" s="35"/>
      <c r="B209" s="11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11"/>
      <c r="N209" s="11"/>
      <c r="O209" s="11"/>
      <c r="P209" s="11"/>
      <c r="Q209" s="11"/>
      <c r="R209" s="11"/>
      <c r="S209" s="11"/>
      <c r="T209" s="35"/>
      <c r="U209" s="36"/>
      <c r="V209" s="11"/>
      <c r="W209" s="35"/>
      <c r="X209" s="35"/>
      <c r="Y209" s="36"/>
      <c r="Z209" s="11"/>
      <c r="AA209" s="35"/>
      <c r="AB209" s="36"/>
      <c r="AC209" s="35"/>
      <c r="AD209" s="35"/>
      <c r="AE209" s="37" t="str">
        <f>IF($A209="","",COUNTIFS(Připomínky!$A$4:$A$503,$A209,Připomínky!$J$4:$J$503,"Nevyřešeno"))</f>
        <v/>
      </c>
      <c r="AF209" s="37" t="str">
        <f>IF($A209="","",COUNTIFS(Publikace!$A$4:$A$503,$A209))</f>
        <v/>
      </c>
      <c r="AG209" s="38" t="str">
        <f>IF($A209="","",IF(AF209=0,"",_xlfn.MINIFS(Publikace!$E$4:$E$503,Publikace!$A$4:$A$503,$A209)))</f>
        <v/>
      </c>
      <c r="AH209" s="37" t="str">
        <f t="shared" si="3"/>
        <v/>
      </c>
      <c r="AI209" s="39" t="str">
        <f ca="1">IF($A209="","",TRIM(IF(AND($U209&lt;&gt;"",$U209&lt;TODAY(),$W209&lt;&gt;"Schváleno",$W209&lt;&gt;"Odloženo",$W209&lt;&gt;"Zrušeno"),"Po termínu odevzdání. ","")&amp;IF(AND($W209="Schváleno",OR($X209="",$Y209="")),"Schváleno bez jména / data. ","")&amp;IF(OR($G209="",$H209="",$I209="",$F209=""),"Chybí zařazení (kategorie, typ, profil nebo měsíc). ","")&amp;IF(AND(OR($I209="Honza",$I209="Radek"),OR($J209="",$J209="Nevztahuje se")),"Doplnit charakter (osobní / pracovní). ","")&amp;IF(AND($W209="Schváleno",$AE209&gt;0),"Schváleno, ale má otevřené připomínky. ","")&amp;IF(AND($AA209="Publikováno",$AF209=0),"Publikováno bez záznamu v listu Publikace. ","")&amp;IF(AND($C209&lt;&gt;"",$D209=""),"Chybí číslo dílu série. ","")&amp;IF(AND($E209&lt;&gt;"",$W209&lt;&gt;"Schváleno",$W209&lt;&gt;"Odloženo",$W209&lt;&gt;"Zrušeno",IFERROR(VLOOKUP($E209,Nastavení!$A$30:$G$53,3,FALSE()),0)&gt;0,IFERROR(VLOOKUP($E209,Nastavení!$A$30:$G$53,3,FALSE()),0)&lt;TODAY()),"Neschváleno po termínu cyklu. ","")))</f>
        <v/>
      </c>
    </row>
    <row r="210" spans="1:35" x14ac:dyDescent="0.2">
      <c r="A210" s="35"/>
      <c r="B210" s="11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11"/>
      <c r="N210" s="11"/>
      <c r="O210" s="11"/>
      <c r="P210" s="11"/>
      <c r="Q210" s="11"/>
      <c r="R210" s="11"/>
      <c r="S210" s="11"/>
      <c r="T210" s="35"/>
      <c r="U210" s="36"/>
      <c r="V210" s="11"/>
      <c r="W210" s="35"/>
      <c r="X210" s="35"/>
      <c r="Y210" s="36"/>
      <c r="Z210" s="11"/>
      <c r="AA210" s="35"/>
      <c r="AB210" s="36"/>
      <c r="AC210" s="35"/>
      <c r="AD210" s="35"/>
      <c r="AE210" s="37" t="str">
        <f>IF($A210="","",COUNTIFS(Připomínky!$A$4:$A$503,$A210,Připomínky!$J$4:$J$503,"Nevyřešeno"))</f>
        <v/>
      </c>
      <c r="AF210" s="37" t="str">
        <f>IF($A210="","",COUNTIFS(Publikace!$A$4:$A$503,$A210))</f>
        <v/>
      </c>
      <c r="AG210" s="38" t="str">
        <f>IF($A210="","",IF(AF210=0,"",_xlfn.MINIFS(Publikace!$E$4:$E$503,Publikace!$A$4:$A$503,$A210)))</f>
        <v/>
      </c>
      <c r="AH210" s="37" t="str">
        <f t="shared" si="3"/>
        <v/>
      </c>
      <c r="AI210" s="39" t="str">
        <f ca="1">IF($A210="","",TRIM(IF(AND($U210&lt;&gt;"",$U210&lt;TODAY(),$W210&lt;&gt;"Schváleno",$W210&lt;&gt;"Odloženo",$W210&lt;&gt;"Zrušeno"),"Po termínu odevzdání. ","")&amp;IF(AND($W210="Schváleno",OR($X210="",$Y210="")),"Schváleno bez jména / data. ","")&amp;IF(OR($G210="",$H210="",$I210="",$F210=""),"Chybí zařazení (kategorie, typ, profil nebo měsíc). ","")&amp;IF(AND(OR($I210="Honza",$I210="Radek"),OR($J210="",$J210="Nevztahuje se")),"Doplnit charakter (osobní / pracovní). ","")&amp;IF(AND($W210="Schváleno",$AE210&gt;0),"Schváleno, ale má otevřené připomínky. ","")&amp;IF(AND($AA210="Publikováno",$AF210=0),"Publikováno bez záznamu v listu Publikace. ","")&amp;IF(AND($C210&lt;&gt;"",$D210=""),"Chybí číslo dílu série. ","")&amp;IF(AND($E210&lt;&gt;"",$W210&lt;&gt;"Schváleno",$W210&lt;&gt;"Odloženo",$W210&lt;&gt;"Zrušeno",IFERROR(VLOOKUP($E210,Nastavení!$A$30:$G$53,3,FALSE()),0)&gt;0,IFERROR(VLOOKUP($E210,Nastavení!$A$30:$G$53,3,FALSE()),0)&lt;TODAY()),"Neschváleno po termínu cyklu. ","")))</f>
        <v/>
      </c>
    </row>
    <row r="211" spans="1:35" x14ac:dyDescent="0.2">
      <c r="A211" s="35"/>
      <c r="B211" s="11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11"/>
      <c r="N211" s="11"/>
      <c r="O211" s="11"/>
      <c r="P211" s="11"/>
      <c r="Q211" s="11"/>
      <c r="R211" s="11"/>
      <c r="S211" s="11"/>
      <c r="T211" s="35"/>
      <c r="U211" s="36"/>
      <c r="V211" s="11"/>
      <c r="W211" s="35"/>
      <c r="X211" s="35"/>
      <c r="Y211" s="36"/>
      <c r="Z211" s="11"/>
      <c r="AA211" s="35"/>
      <c r="AB211" s="36"/>
      <c r="AC211" s="35"/>
      <c r="AD211" s="35"/>
      <c r="AE211" s="37" t="str">
        <f>IF($A211="","",COUNTIFS(Připomínky!$A$4:$A$503,$A211,Připomínky!$J$4:$J$503,"Nevyřešeno"))</f>
        <v/>
      </c>
      <c r="AF211" s="37" t="str">
        <f>IF($A211="","",COUNTIFS(Publikace!$A$4:$A$503,$A211))</f>
        <v/>
      </c>
      <c r="AG211" s="38" t="str">
        <f>IF($A211="","",IF(AF211=0,"",_xlfn.MINIFS(Publikace!$E$4:$E$503,Publikace!$A$4:$A$503,$A211)))</f>
        <v/>
      </c>
      <c r="AH211" s="37" t="str">
        <f t="shared" si="3"/>
        <v/>
      </c>
      <c r="AI211" s="39" t="str">
        <f ca="1">IF($A211="","",TRIM(IF(AND($U211&lt;&gt;"",$U211&lt;TODAY(),$W211&lt;&gt;"Schváleno",$W211&lt;&gt;"Odloženo",$W211&lt;&gt;"Zrušeno"),"Po termínu odevzdání. ","")&amp;IF(AND($W211="Schváleno",OR($X211="",$Y211="")),"Schváleno bez jména / data. ","")&amp;IF(OR($G211="",$H211="",$I211="",$F211=""),"Chybí zařazení (kategorie, typ, profil nebo měsíc). ","")&amp;IF(AND(OR($I211="Honza",$I211="Radek"),OR($J211="",$J211="Nevztahuje se")),"Doplnit charakter (osobní / pracovní). ","")&amp;IF(AND($W211="Schváleno",$AE211&gt;0),"Schváleno, ale má otevřené připomínky. ","")&amp;IF(AND($AA211="Publikováno",$AF211=0),"Publikováno bez záznamu v listu Publikace. ","")&amp;IF(AND($C211&lt;&gt;"",$D211=""),"Chybí číslo dílu série. ","")&amp;IF(AND($E211&lt;&gt;"",$W211&lt;&gt;"Schváleno",$W211&lt;&gt;"Odloženo",$W211&lt;&gt;"Zrušeno",IFERROR(VLOOKUP($E211,Nastavení!$A$30:$G$53,3,FALSE()),0)&gt;0,IFERROR(VLOOKUP($E211,Nastavení!$A$30:$G$53,3,FALSE()),0)&lt;TODAY()),"Neschváleno po termínu cyklu. ","")))</f>
        <v/>
      </c>
    </row>
    <row r="212" spans="1:35" x14ac:dyDescent="0.2">
      <c r="A212" s="35"/>
      <c r="B212" s="11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11"/>
      <c r="N212" s="11"/>
      <c r="O212" s="11"/>
      <c r="P212" s="11"/>
      <c r="Q212" s="11"/>
      <c r="R212" s="11"/>
      <c r="S212" s="11"/>
      <c r="T212" s="35"/>
      <c r="U212" s="36"/>
      <c r="V212" s="11"/>
      <c r="W212" s="35"/>
      <c r="X212" s="35"/>
      <c r="Y212" s="36"/>
      <c r="Z212" s="11"/>
      <c r="AA212" s="35"/>
      <c r="AB212" s="36"/>
      <c r="AC212" s="35"/>
      <c r="AD212" s="35"/>
      <c r="AE212" s="37" t="str">
        <f>IF($A212="","",COUNTIFS(Připomínky!$A$4:$A$503,$A212,Připomínky!$J$4:$J$503,"Nevyřešeno"))</f>
        <v/>
      </c>
      <c r="AF212" s="37" t="str">
        <f>IF($A212="","",COUNTIFS(Publikace!$A$4:$A$503,$A212))</f>
        <v/>
      </c>
      <c r="AG212" s="38" t="str">
        <f>IF($A212="","",IF(AF212=0,"",_xlfn.MINIFS(Publikace!$E$4:$E$503,Publikace!$A$4:$A$503,$A212)))</f>
        <v/>
      </c>
      <c r="AH212" s="37" t="str">
        <f t="shared" si="3"/>
        <v/>
      </c>
      <c r="AI212" s="39" t="str">
        <f ca="1">IF($A212="","",TRIM(IF(AND($U212&lt;&gt;"",$U212&lt;TODAY(),$W212&lt;&gt;"Schváleno",$W212&lt;&gt;"Odloženo",$W212&lt;&gt;"Zrušeno"),"Po termínu odevzdání. ","")&amp;IF(AND($W212="Schváleno",OR($X212="",$Y212="")),"Schváleno bez jména / data. ","")&amp;IF(OR($G212="",$H212="",$I212="",$F212=""),"Chybí zařazení (kategorie, typ, profil nebo měsíc). ","")&amp;IF(AND(OR($I212="Honza",$I212="Radek"),OR($J212="",$J212="Nevztahuje se")),"Doplnit charakter (osobní / pracovní). ","")&amp;IF(AND($W212="Schváleno",$AE212&gt;0),"Schváleno, ale má otevřené připomínky. ","")&amp;IF(AND($AA212="Publikováno",$AF212=0),"Publikováno bez záznamu v listu Publikace. ","")&amp;IF(AND($C212&lt;&gt;"",$D212=""),"Chybí číslo dílu série. ","")&amp;IF(AND($E212&lt;&gt;"",$W212&lt;&gt;"Schváleno",$W212&lt;&gt;"Odloženo",$W212&lt;&gt;"Zrušeno",IFERROR(VLOOKUP($E212,Nastavení!$A$30:$G$53,3,FALSE()),0)&gt;0,IFERROR(VLOOKUP($E212,Nastavení!$A$30:$G$53,3,FALSE()),0)&lt;TODAY()),"Neschváleno po termínu cyklu. ","")))</f>
        <v/>
      </c>
    </row>
    <row r="213" spans="1:35" x14ac:dyDescent="0.2">
      <c r="A213" s="35"/>
      <c r="B213" s="11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11"/>
      <c r="N213" s="11"/>
      <c r="O213" s="11"/>
      <c r="P213" s="11"/>
      <c r="Q213" s="11"/>
      <c r="R213" s="11"/>
      <c r="S213" s="11"/>
      <c r="T213" s="35"/>
      <c r="U213" s="36"/>
      <c r="V213" s="11"/>
      <c r="W213" s="35"/>
      <c r="X213" s="35"/>
      <c r="Y213" s="36"/>
      <c r="Z213" s="11"/>
      <c r="AA213" s="35"/>
      <c r="AB213" s="36"/>
      <c r="AC213" s="35"/>
      <c r="AD213" s="35"/>
      <c r="AE213" s="37" t="str">
        <f>IF($A213="","",COUNTIFS(Připomínky!$A$4:$A$503,$A213,Připomínky!$J$4:$J$503,"Nevyřešeno"))</f>
        <v/>
      </c>
      <c r="AF213" s="37" t="str">
        <f>IF($A213="","",COUNTIFS(Publikace!$A$4:$A$503,$A213))</f>
        <v/>
      </c>
      <c r="AG213" s="38" t="str">
        <f>IF($A213="","",IF(AF213=0,"",_xlfn.MINIFS(Publikace!$E$4:$E$503,Publikace!$A$4:$A$503,$A213)))</f>
        <v/>
      </c>
      <c r="AH213" s="37" t="str">
        <f t="shared" si="3"/>
        <v/>
      </c>
      <c r="AI213" s="39" t="str">
        <f ca="1">IF($A213="","",TRIM(IF(AND($U213&lt;&gt;"",$U213&lt;TODAY(),$W213&lt;&gt;"Schváleno",$W213&lt;&gt;"Odloženo",$W213&lt;&gt;"Zrušeno"),"Po termínu odevzdání. ","")&amp;IF(AND($W213="Schváleno",OR($X213="",$Y213="")),"Schváleno bez jména / data. ","")&amp;IF(OR($G213="",$H213="",$I213="",$F213=""),"Chybí zařazení (kategorie, typ, profil nebo měsíc). ","")&amp;IF(AND(OR($I213="Honza",$I213="Radek"),OR($J213="",$J213="Nevztahuje se")),"Doplnit charakter (osobní / pracovní). ","")&amp;IF(AND($W213="Schváleno",$AE213&gt;0),"Schváleno, ale má otevřené připomínky. ","")&amp;IF(AND($AA213="Publikováno",$AF213=0),"Publikováno bez záznamu v listu Publikace. ","")&amp;IF(AND($C213&lt;&gt;"",$D213=""),"Chybí číslo dílu série. ","")&amp;IF(AND($E213&lt;&gt;"",$W213&lt;&gt;"Schváleno",$W213&lt;&gt;"Odloženo",$W213&lt;&gt;"Zrušeno",IFERROR(VLOOKUP($E213,Nastavení!$A$30:$G$53,3,FALSE()),0)&gt;0,IFERROR(VLOOKUP($E213,Nastavení!$A$30:$G$53,3,FALSE()),0)&lt;TODAY()),"Neschváleno po termínu cyklu. ","")))</f>
        <v/>
      </c>
    </row>
    <row r="214" spans="1:35" x14ac:dyDescent="0.2">
      <c r="A214" s="35"/>
      <c r="B214" s="11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11"/>
      <c r="N214" s="11"/>
      <c r="O214" s="11"/>
      <c r="P214" s="11"/>
      <c r="Q214" s="11"/>
      <c r="R214" s="11"/>
      <c r="S214" s="11"/>
      <c r="T214" s="35"/>
      <c r="U214" s="36"/>
      <c r="V214" s="11"/>
      <c r="W214" s="35"/>
      <c r="X214" s="35"/>
      <c r="Y214" s="36"/>
      <c r="Z214" s="11"/>
      <c r="AA214" s="35"/>
      <c r="AB214" s="36"/>
      <c r="AC214" s="35"/>
      <c r="AD214" s="35"/>
      <c r="AE214" s="37" t="str">
        <f>IF($A214="","",COUNTIFS(Připomínky!$A$4:$A$503,$A214,Připomínky!$J$4:$J$503,"Nevyřešeno"))</f>
        <v/>
      </c>
      <c r="AF214" s="37" t="str">
        <f>IF($A214="","",COUNTIFS(Publikace!$A$4:$A$503,$A214))</f>
        <v/>
      </c>
      <c r="AG214" s="38" t="str">
        <f>IF($A214="","",IF(AF214=0,"",_xlfn.MINIFS(Publikace!$E$4:$E$503,Publikace!$A$4:$A$503,$A214)))</f>
        <v/>
      </c>
      <c r="AH214" s="37" t="str">
        <f t="shared" si="3"/>
        <v/>
      </c>
      <c r="AI214" s="39" t="str">
        <f ca="1">IF($A214="","",TRIM(IF(AND($U214&lt;&gt;"",$U214&lt;TODAY(),$W214&lt;&gt;"Schváleno",$W214&lt;&gt;"Odloženo",$W214&lt;&gt;"Zrušeno"),"Po termínu odevzdání. ","")&amp;IF(AND($W214="Schváleno",OR($X214="",$Y214="")),"Schváleno bez jména / data. ","")&amp;IF(OR($G214="",$H214="",$I214="",$F214=""),"Chybí zařazení (kategorie, typ, profil nebo měsíc). ","")&amp;IF(AND(OR($I214="Honza",$I214="Radek"),OR($J214="",$J214="Nevztahuje se")),"Doplnit charakter (osobní / pracovní). ","")&amp;IF(AND($W214="Schváleno",$AE214&gt;0),"Schváleno, ale má otevřené připomínky. ","")&amp;IF(AND($AA214="Publikováno",$AF214=0),"Publikováno bez záznamu v listu Publikace. ","")&amp;IF(AND($C214&lt;&gt;"",$D214=""),"Chybí číslo dílu série. ","")&amp;IF(AND($E214&lt;&gt;"",$W214&lt;&gt;"Schváleno",$W214&lt;&gt;"Odloženo",$W214&lt;&gt;"Zrušeno",IFERROR(VLOOKUP($E214,Nastavení!$A$30:$G$53,3,FALSE()),0)&gt;0,IFERROR(VLOOKUP($E214,Nastavení!$A$30:$G$53,3,FALSE()),0)&lt;TODAY()),"Neschváleno po termínu cyklu. ","")))</f>
        <v/>
      </c>
    </row>
    <row r="215" spans="1:35" x14ac:dyDescent="0.2">
      <c r="A215" s="35"/>
      <c r="B215" s="11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11"/>
      <c r="N215" s="11"/>
      <c r="O215" s="11"/>
      <c r="P215" s="11"/>
      <c r="Q215" s="11"/>
      <c r="R215" s="11"/>
      <c r="S215" s="11"/>
      <c r="T215" s="35"/>
      <c r="U215" s="36"/>
      <c r="V215" s="11"/>
      <c r="W215" s="35"/>
      <c r="X215" s="35"/>
      <c r="Y215" s="36"/>
      <c r="Z215" s="11"/>
      <c r="AA215" s="35"/>
      <c r="AB215" s="36"/>
      <c r="AC215" s="35"/>
      <c r="AD215" s="35"/>
      <c r="AE215" s="37" t="str">
        <f>IF($A215="","",COUNTIFS(Připomínky!$A$4:$A$503,$A215,Připomínky!$J$4:$J$503,"Nevyřešeno"))</f>
        <v/>
      </c>
      <c r="AF215" s="37" t="str">
        <f>IF($A215="","",COUNTIFS(Publikace!$A$4:$A$503,$A215))</f>
        <v/>
      </c>
      <c r="AG215" s="38" t="str">
        <f>IF($A215="","",IF(AF215=0,"",_xlfn.MINIFS(Publikace!$E$4:$E$503,Publikace!$A$4:$A$503,$A215)))</f>
        <v/>
      </c>
      <c r="AH215" s="37" t="str">
        <f t="shared" si="3"/>
        <v/>
      </c>
      <c r="AI215" s="39" t="str">
        <f ca="1">IF($A215="","",TRIM(IF(AND($U215&lt;&gt;"",$U215&lt;TODAY(),$W215&lt;&gt;"Schváleno",$W215&lt;&gt;"Odloženo",$W215&lt;&gt;"Zrušeno"),"Po termínu odevzdání. ","")&amp;IF(AND($W215="Schváleno",OR($X215="",$Y215="")),"Schváleno bez jména / data. ","")&amp;IF(OR($G215="",$H215="",$I215="",$F215=""),"Chybí zařazení (kategorie, typ, profil nebo měsíc). ","")&amp;IF(AND(OR($I215="Honza",$I215="Radek"),OR($J215="",$J215="Nevztahuje se")),"Doplnit charakter (osobní / pracovní). ","")&amp;IF(AND($W215="Schváleno",$AE215&gt;0),"Schváleno, ale má otevřené připomínky. ","")&amp;IF(AND($AA215="Publikováno",$AF215=0),"Publikováno bez záznamu v listu Publikace. ","")&amp;IF(AND($C215&lt;&gt;"",$D215=""),"Chybí číslo dílu série. ","")&amp;IF(AND($E215&lt;&gt;"",$W215&lt;&gt;"Schváleno",$W215&lt;&gt;"Odloženo",$W215&lt;&gt;"Zrušeno",IFERROR(VLOOKUP($E215,Nastavení!$A$30:$G$53,3,FALSE()),0)&gt;0,IFERROR(VLOOKUP($E215,Nastavení!$A$30:$G$53,3,FALSE()),0)&lt;TODAY()),"Neschváleno po termínu cyklu. ","")))</f>
        <v/>
      </c>
    </row>
    <row r="216" spans="1:35" x14ac:dyDescent="0.2">
      <c r="A216" s="35"/>
      <c r="B216" s="11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11"/>
      <c r="N216" s="11"/>
      <c r="O216" s="11"/>
      <c r="P216" s="11"/>
      <c r="Q216" s="11"/>
      <c r="R216" s="11"/>
      <c r="S216" s="11"/>
      <c r="T216" s="35"/>
      <c r="U216" s="36"/>
      <c r="V216" s="11"/>
      <c r="W216" s="35"/>
      <c r="X216" s="35"/>
      <c r="Y216" s="36"/>
      <c r="Z216" s="11"/>
      <c r="AA216" s="35"/>
      <c r="AB216" s="36"/>
      <c r="AC216" s="35"/>
      <c r="AD216" s="35"/>
      <c r="AE216" s="37" t="str">
        <f>IF($A216="","",COUNTIFS(Připomínky!$A$4:$A$503,$A216,Připomínky!$J$4:$J$503,"Nevyřešeno"))</f>
        <v/>
      </c>
      <c r="AF216" s="37" t="str">
        <f>IF($A216="","",COUNTIFS(Publikace!$A$4:$A$503,$A216))</f>
        <v/>
      </c>
      <c r="AG216" s="38" t="str">
        <f>IF($A216="","",IF(AF216=0,"",_xlfn.MINIFS(Publikace!$E$4:$E$503,Publikace!$A$4:$A$503,$A216)))</f>
        <v/>
      </c>
      <c r="AH216" s="37" t="str">
        <f t="shared" si="3"/>
        <v/>
      </c>
      <c r="AI216" s="39" t="str">
        <f ca="1">IF($A216="","",TRIM(IF(AND($U216&lt;&gt;"",$U216&lt;TODAY(),$W216&lt;&gt;"Schváleno",$W216&lt;&gt;"Odloženo",$W216&lt;&gt;"Zrušeno"),"Po termínu odevzdání. ","")&amp;IF(AND($W216="Schváleno",OR($X216="",$Y216="")),"Schváleno bez jména / data. ","")&amp;IF(OR($G216="",$H216="",$I216="",$F216=""),"Chybí zařazení (kategorie, typ, profil nebo měsíc). ","")&amp;IF(AND(OR($I216="Honza",$I216="Radek"),OR($J216="",$J216="Nevztahuje se")),"Doplnit charakter (osobní / pracovní). ","")&amp;IF(AND($W216="Schváleno",$AE216&gt;0),"Schváleno, ale má otevřené připomínky. ","")&amp;IF(AND($AA216="Publikováno",$AF216=0),"Publikováno bez záznamu v listu Publikace. ","")&amp;IF(AND($C216&lt;&gt;"",$D216=""),"Chybí číslo dílu série. ","")&amp;IF(AND($E216&lt;&gt;"",$W216&lt;&gt;"Schváleno",$W216&lt;&gt;"Odloženo",$W216&lt;&gt;"Zrušeno",IFERROR(VLOOKUP($E216,Nastavení!$A$30:$G$53,3,FALSE()),0)&gt;0,IFERROR(VLOOKUP($E216,Nastavení!$A$30:$G$53,3,FALSE()),0)&lt;TODAY()),"Neschváleno po termínu cyklu. ","")))</f>
        <v/>
      </c>
    </row>
    <row r="217" spans="1:35" x14ac:dyDescent="0.2">
      <c r="A217" s="35"/>
      <c r="B217" s="11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11"/>
      <c r="N217" s="11"/>
      <c r="O217" s="11"/>
      <c r="P217" s="11"/>
      <c r="Q217" s="11"/>
      <c r="R217" s="11"/>
      <c r="S217" s="11"/>
      <c r="T217" s="35"/>
      <c r="U217" s="36"/>
      <c r="V217" s="11"/>
      <c r="W217" s="35"/>
      <c r="X217" s="35"/>
      <c r="Y217" s="36"/>
      <c r="Z217" s="11"/>
      <c r="AA217" s="35"/>
      <c r="AB217" s="36"/>
      <c r="AC217" s="35"/>
      <c r="AD217" s="35"/>
      <c r="AE217" s="37" t="str">
        <f>IF($A217="","",COUNTIFS(Připomínky!$A$4:$A$503,$A217,Připomínky!$J$4:$J$503,"Nevyřešeno"))</f>
        <v/>
      </c>
      <c r="AF217" s="37" t="str">
        <f>IF($A217="","",COUNTIFS(Publikace!$A$4:$A$503,$A217))</f>
        <v/>
      </c>
      <c r="AG217" s="38" t="str">
        <f>IF($A217="","",IF(AF217=0,"",_xlfn.MINIFS(Publikace!$E$4:$E$503,Publikace!$A$4:$A$503,$A217)))</f>
        <v/>
      </c>
      <c r="AH217" s="37" t="str">
        <f t="shared" si="3"/>
        <v/>
      </c>
      <c r="AI217" s="39" t="str">
        <f ca="1">IF($A217="","",TRIM(IF(AND($U217&lt;&gt;"",$U217&lt;TODAY(),$W217&lt;&gt;"Schváleno",$W217&lt;&gt;"Odloženo",$W217&lt;&gt;"Zrušeno"),"Po termínu odevzdání. ","")&amp;IF(AND($W217="Schváleno",OR($X217="",$Y217="")),"Schváleno bez jména / data. ","")&amp;IF(OR($G217="",$H217="",$I217="",$F217=""),"Chybí zařazení (kategorie, typ, profil nebo měsíc). ","")&amp;IF(AND(OR($I217="Honza",$I217="Radek"),OR($J217="",$J217="Nevztahuje se")),"Doplnit charakter (osobní / pracovní). ","")&amp;IF(AND($W217="Schváleno",$AE217&gt;0),"Schváleno, ale má otevřené připomínky. ","")&amp;IF(AND($AA217="Publikováno",$AF217=0),"Publikováno bez záznamu v listu Publikace. ","")&amp;IF(AND($C217&lt;&gt;"",$D217=""),"Chybí číslo dílu série. ","")&amp;IF(AND($E217&lt;&gt;"",$W217&lt;&gt;"Schváleno",$W217&lt;&gt;"Odloženo",$W217&lt;&gt;"Zrušeno",IFERROR(VLOOKUP($E217,Nastavení!$A$30:$G$53,3,FALSE()),0)&gt;0,IFERROR(VLOOKUP($E217,Nastavení!$A$30:$G$53,3,FALSE()),0)&lt;TODAY()),"Neschváleno po termínu cyklu. ","")))</f>
        <v/>
      </c>
    </row>
    <row r="218" spans="1:35" x14ac:dyDescent="0.2">
      <c r="A218" s="35"/>
      <c r="B218" s="11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11"/>
      <c r="N218" s="11"/>
      <c r="O218" s="11"/>
      <c r="P218" s="11"/>
      <c r="Q218" s="11"/>
      <c r="R218" s="11"/>
      <c r="S218" s="11"/>
      <c r="T218" s="35"/>
      <c r="U218" s="36"/>
      <c r="V218" s="11"/>
      <c r="W218" s="35"/>
      <c r="X218" s="35"/>
      <c r="Y218" s="36"/>
      <c r="Z218" s="11"/>
      <c r="AA218" s="35"/>
      <c r="AB218" s="36"/>
      <c r="AC218" s="35"/>
      <c r="AD218" s="35"/>
      <c r="AE218" s="37" t="str">
        <f>IF($A218="","",COUNTIFS(Připomínky!$A$4:$A$503,$A218,Připomínky!$J$4:$J$503,"Nevyřešeno"))</f>
        <v/>
      </c>
      <c r="AF218" s="37" t="str">
        <f>IF($A218="","",COUNTIFS(Publikace!$A$4:$A$503,$A218))</f>
        <v/>
      </c>
      <c r="AG218" s="38" t="str">
        <f>IF($A218="","",IF(AF218=0,"",_xlfn.MINIFS(Publikace!$E$4:$E$503,Publikace!$A$4:$A$503,$A218)))</f>
        <v/>
      </c>
      <c r="AH218" s="37" t="str">
        <f t="shared" si="3"/>
        <v/>
      </c>
      <c r="AI218" s="39" t="str">
        <f ca="1">IF($A218="","",TRIM(IF(AND($U218&lt;&gt;"",$U218&lt;TODAY(),$W218&lt;&gt;"Schváleno",$W218&lt;&gt;"Odloženo",$W218&lt;&gt;"Zrušeno"),"Po termínu odevzdání. ","")&amp;IF(AND($W218="Schváleno",OR($X218="",$Y218="")),"Schváleno bez jména / data. ","")&amp;IF(OR($G218="",$H218="",$I218="",$F218=""),"Chybí zařazení (kategorie, typ, profil nebo měsíc). ","")&amp;IF(AND(OR($I218="Honza",$I218="Radek"),OR($J218="",$J218="Nevztahuje se")),"Doplnit charakter (osobní / pracovní). ","")&amp;IF(AND($W218="Schváleno",$AE218&gt;0),"Schváleno, ale má otevřené připomínky. ","")&amp;IF(AND($AA218="Publikováno",$AF218=0),"Publikováno bez záznamu v listu Publikace. ","")&amp;IF(AND($C218&lt;&gt;"",$D218=""),"Chybí číslo dílu série. ","")&amp;IF(AND($E218&lt;&gt;"",$W218&lt;&gt;"Schváleno",$W218&lt;&gt;"Odloženo",$W218&lt;&gt;"Zrušeno",IFERROR(VLOOKUP($E218,Nastavení!$A$30:$G$53,3,FALSE()),0)&gt;0,IFERROR(VLOOKUP($E218,Nastavení!$A$30:$G$53,3,FALSE()),0)&lt;TODAY()),"Neschváleno po termínu cyklu. ","")))</f>
        <v/>
      </c>
    </row>
    <row r="219" spans="1:35" x14ac:dyDescent="0.2">
      <c r="A219" s="35"/>
      <c r="B219" s="11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11"/>
      <c r="N219" s="11"/>
      <c r="O219" s="11"/>
      <c r="P219" s="11"/>
      <c r="Q219" s="11"/>
      <c r="R219" s="11"/>
      <c r="S219" s="11"/>
      <c r="T219" s="35"/>
      <c r="U219" s="36"/>
      <c r="V219" s="11"/>
      <c r="W219" s="35"/>
      <c r="X219" s="35"/>
      <c r="Y219" s="36"/>
      <c r="Z219" s="11"/>
      <c r="AA219" s="35"/>
      <c r="AB219" s="36"/>
      <c r="AC219" s="35"/>
      <c r="AD219" s="35"/>
      <c r="AE219" s="37" t="str">
        <f>IF($A219="","",COUNTIFS(Připomínky!$A$4:$A$503,$A219,Připomínky!$J$4:$J$503,"Nevyřešeno"))</f>
        <v/>
      </c>
      <c r="AF219" s="37" t="str">
        <f>IF($A219="","",COUNTIFS(Publikace!$A$4:$A$503,$A219))</f>
        <v/>
      </c>
      <c r="AG219" s="38" t="str">
        <f>IF($A219="","",IF(AF219=0,"",_xlfn.MINIFS(Publikace!$E$4:$E$503,Publikace!$A$4:$A$503,$A219)))</f>
        <v/>
      </c>
      <c r="AH219" s="37" t="str">
        <f t="shared" si="3"/>
        <v/>
      </c>
      <c r="AI219" s="39" t="str">
        <f ca="1">IF($A219="","",TRIM(IF(AND($U219&lt;&gt;"",$U219&lt;TODAY(),$W219&lt;&gt;"Schváleno",$W219&lt;&gt;"Odloženo",$W219&lt;&gt;"Zrušeno"),"Po termínu odevzdání. ","")&amp;IF(AND($W219="Schváleno",OR($X219="",$Y219="")),"Schváleno bez jména / data. ","")&amp;IF(OR($G219="",$H219="",$I219="",$F219=""),"Chybí zařazení (kategorie, typ, profil nebo měsíc). ","")&amp;IF(AND(OR($I219="Honza",$I219="Radek"),OR($J219="",$J219="Nevztahuje se")),"Doplnit charakter (osobní / pracovní). ","")&amp;IF(AND($W219="Schváleno",$AE219&gt;0),"Schváleno, ale má otevřené připomínky. ","")&amp;IF(AND($AA219="Publikováno",$AF219=0),"Publikováno bez záznamu v listu Publikace. ","")&amp;IF(AND($C219&lt;&gt;"",$D219=""),"Chybí číslo dílu série. ","")&amp;IF(AND($E219&lt;&gt;"",$W219&lt;&gt;"Schváleno",$W219&lt;&gt;"Odloženo",$W219&lt;&gt;"Zrušeno",IFERROR(VLOOKUP($E219,Nastavení!$A$30:$G$53,3,FALSE()),0)&gt;0,IFERROR(VLOOKUP($E219,Nastavení!$A$30:$G$53,3,FALSE()),0)&lt;TODAY()),"Neschváleno po termínu cyklu. ","")))</f>
        <v/>
      </c>
    </row>
    <row r="220" spans="1:35" x14ac:dyDescent="0.2">
      <c r="A220" s="35"/>
      <c r="B220" s="11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11"/>
      <c r="N220" s="11"/>
      <c r="O220" s="11"/>
      <c r="P220" s="11"/>
      <c r="Q220" s="11"/>
      <c r="R220" s="11"/>
      <c r="S220" s="11"/>
      <c r="T220" s="35"/>
      <c r="U220" s="36"/>
      <c r="V220" s="11"/>
      <c r="W220" s="35"/>
      <c r="X220" s="35"/>
      <c r="Y220" s="36"/>
      <c r="Z220" s="11"/>
      <c r="AA220" s="35"/>
      <c r="AB220" s="36"/>
      <c r="AC220" s="35"/>
      <c r="AD220" s="35"/>
      <c r="AE220" s="37" t="str">
        <f>IF($A220="","",COUNTIFS(Připomínky!$A$4:$A$503,$A220,Připomínky!$J$4:$J$503,"Nevyřešeno"))</f>
        <v/>
      </c>
      <c r="AF220" s="37" t="str">
        <f>IF($A220="","",COUNTIFS(Publikace!$A$4:$A$503,$A220))</f>
        <v/>
      </c>
      <c r="AG220" s="38" t="str">
        <f>IF($A220="","",IF(AF220=0,"",_xlfn.MINIFS(Publikace!$E$4:$E$503,Publikace!$A$4:$A$503,$A220)))</f>
        <v/>
      </c>
      <c r="AH220" s="37" t="str">
        <f t="shared" si="3"/>
        <v/>
      </c>
      <c r="AI220" s="39" t="str">
        <f ca="1">IF($A220="","",TRIM(IF(AND($U220&lt;&gt;"",$U220&lt;TODAY(),$W220&lt;&gt;"Schváleno",$W220&lt;&gt;"Odloženo",$W220&lt;&gt;"Zrušeno"),"Po termínu odevzdání. ","")&amp;IF(AND($W220="Schváleno",OR($X220="",$Y220="")),"Schváleno bez jména / data. ","")&amp;IF(OR($G220="",$H220="",$I220="",$F220=""),"Chybí zařazení (kategorie, typ, profil nebo měsíc). ","")&amp;IF(AND(OR($I220="Honza",$I220="Radek"),OR($J220="",$J220="Nevztahuje se")),"Doplnit charakter (osobní / pracovní). ","")&amp;IF(AND($W220="Schváleno",$AE220&gt;0),"Schváleno, ale má otevřené připomínky. ","")&amp;IF(AND($AA220="Publikováno",$AF220=0),"Publikováno bez záznamu v listu Publikace. ","")&amp;IF(AND($C220&lt;&gt;"",$D220=""),"Chybí číslo dílu série. ","")&amp;IF(AND($E220&lt;&gt;"",$W220&lt;&gt;"Schváleno",$W220&lt;&gt;"Odloženo",$W220&lt;&gt;"Zrušeno",IFERROR(VLOOKUP($E220,Nastavení!$A$30:$G$53,3,FALSE()),0)&gt;0,IFERROR(VLOOKUP($E220,Nastavení!$A$30:$G$53,3,FALSE()),0)&lt;TODAY()),"Neschváleno po termínu cyklu. ","")))</f>
        <v/>
      </c>
    </row>
    <row r="221" spans="1:35" x14ac:dyDescent="0.2">
      <c r="A221" s="35"/>
      <c r="B221" s="11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11"/>
      <c r="N221" s="11"/>
      <c r="O221" s="11"/>
      <c r="P221" s="11"/>
      <c r="Q221" s="11"/>
      <c r="R221" s="11"/>
      <c r="S221" s="11"/>
      <c r="T221" s="35"/>
      <c r="U221" s="36"/>
      <c r="V221" s="11"/>
      <c r="W221" s="35"/>
      <c r="X221" s="35"/>
      <c r="Y221" s="36"/>
      <c r="Z221" s="11"/>
      <c r="AA221" s="35"/>
      <c r="AB221" s="36"/>
      <c r="AC221" s="35"/>
      <c r="AD221" s="35"/>
      <c r="AE221" s="37" t="str">
        <f>IF($A221="","",COUNTIFS(Připomínky!$A$4:$A$503,$A221,Připomínky!$J$4:$J$503,"Nevyřešeno"))</f>
        <v/>
      </c>
      <c r="AF221" s="37" t="str">
        <f>IF($A221="","",COUNTIFS(Publikace!$A$4:$A$503,$A221))</f>
        <v/>
      </c>
      <c r="AG221" s="38" t="str">
        <f>IF($A221="","",IF(AF221=0,"",_xlfn.MINIFS(Publikace!$E$4:$E$503,Publikace!$A$4:$A$503,$A221)))</f>
        <v/>
      </c>
      <c r="AH221" s="37" t="str">
        <f t="shared" si="3"/>
        <v/>
      </c>
      <c r="AI221" s="39" t="str">
        <f ca="1">IF($A221="","",TRIM(IF(AND($U221&lt;&gt;"",$U221&lt;TODAY(),$W221&lt;&gt;"Schváleno",$W221&lt;&gt;"Odloženo",$W221&lt;&gt;"Zrušeno"),"Po termínu odevzdání. ","")&amp;IF(AND($W221="Schváleno",OR($X221="",$Y221="")),"Schváleno bez jména / data. ","")&amp;IF(OR($G221="",$H221="",$I221="",$F221=""),"Chybí zařazení (kategorie, typ, profil nebo měsíc). ","")&amp;IF(AND(OR($I221="Honza",$I221="Radek"),OR($J221="",$J221="Nevztahuje se")),"Doplnit charakter (osobní / pracovní). ","")&amp;IF(AND($W221="Schváleno",$AE221&gt;0),"Schváleno, ale má otevřené připomínky. ","")&amp;IF(AND($AA221="Publikováno",$AF221=0),"Publikováno bez záznamu v listu Publikace. ","")&amp;IF(AND($C221&lt;&gt;"",$D221=""),"Chybí číslo dílu série. ","")&amp;IF(AND($E221&lt;&gt;"",$W221&lt;&gt;"Schváleno",$W221&lt;&gt;"Odloženo",$W221&lt;&gt;"Zrušeno",IFERROR(VLOOKUP($E221,Nastavení!$A$30:$G$53,3,FALSE()),0)&gt;0,IFERROR(VLOOKUP($E221,Nastavení!$A$30:$G$53,3,FALSE()),0)&lt;TODAY()),"Neschváleno po termínu cyklu. ","")))</f>
        <v/>
      </c>
    </row>
    <row r="222" spans="1:35" x14ac:dyDescent="0.2">
      <c r="A222" s="35"/>
      <c r="B222" s="11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11"/>
      <c r="N222" s="11"/>
      <c r="O222" s="11"/>
      <c r="P222" s="11"/>
      <c r="Q222" s="11"/>
      <c r="R222" s="11"/>
      <c r="S222" s="11"/>
      <c r="T222" s="35"/>
      <c r="U222" s="36"/>
      <c r="V222" s="11"/>
      <c r="W222" s="35"/>
      <c r="X222" s="35"/>
      <c r="Y222" s="36"/>
      <c r="Z222" s="11"/>
      <c r="AA222" s="35"/>
      <c r="AB222" s="36"/>
      <c r="AC222" s="35"/>
      <c r="AD222" s="35"/>
      <c r="AE222" s="37" t="str">
        <f>IF($A222="","",COUNTIFS(Připomínky!$A$4:$A$503,$A222,Připomínky!$J$4:$J$503,"Nevyřešeno"))</f>
        <v/>
      </c>
      <c r="AF222" s="37" t="str">
        <f>IF($A222="","",COUNTIFS(Publikace!$A$4:$A$503,$A222))</f>
        <v/>
      </c>
      <c r="AG222" s="38" t="str">
        <f>IF($A222="","",IF(AF222=0,"",_xlfn.MINIFS(Publikace!$E$4:$E$503,Publikace!$A$4:$A$503,$A222)))</f>
        <v/>
      </c>
      <c r="AH222" s="37" t="str">
        <f t="shared" si="3"/>
        <v/>
      </c>
      <c r="AI222" s="39" t="str">
        <f ca="1">IF($A222="","",TRIM(IF(AND($U222&lt;&gt;"",$U222&lt;TODAY(),$W222&lt;&gt;"Schváleno",$W222&lt;&gt;"Odloženo",$W222&lt;&gt;"Zrušeno"),"Po termínu odevzdání. ","")&amp;IF(AND($W222="Schváleno",OR($X222="",$Y222="")),"Schváleno bez jména / data. ","")&amp;IF(OR($G222="",$H222="",$I222="",$F222=""),"Chybí zařazení (kategorie, typ, profil nebo měsíc). ","")&amp;IF(AND(OR($I222="Honza",$I222="Radek"),OR($J222="",$J222="Nevztahuje se")),"Doplnit charakter (osobní / pracovní). ","")&amp;IF(AND($W222="Schváleno",$AE222&gt;0),"Schváleno, ale má otevřené připomínky. ","")&amp;IF(AND($AA222="Publikováno",$AF222=0),"Publikováno bez záznamu v listu Publikace. ","")&amp;IF(AND($C222&lt;&gt;"",$D222=""),"Chybí číslo dílu série. ","")&amp;IF(AND($E222&lt;&gt;"",$W222&lt;&gt;"Schváleno",$W222&lt;&gt;"Odloženo",$W222&lt;&gt;"Zrušeno",IFERROR(VLOOKUP($E222,Nastavení!$A$30:$G$53,3,FALSE()),0)&gt;0,IFERROR(VLOOKUP($E222,Nastavení!$A$30:$G$53,3,FALSE()),0)&lt;TODAY()),"Neschváleno po termínu cyklu. ","")))</f>
        <v/>
      </c>
    </row>
    <row r="223" spans="1:35" x14ac:dyDescent="0.2">
      <c r="A223" s="35"/>
      <c r="B223" s="11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11"/>
      <c r="N223" s="11"/>
      <c r="O223" s="11"/>
      <c r="P223" s="11"/>
      <c r="Q223" s="11"/>
      <c r="R223" s="11"/>
      <c r="S223" s="11"/>
      <c r="T223" s="35"/>
      <c r="U223" s="36"/>
      <c r="V223" s="11"/>
      <c r="W223" s="35"/>
      <c r="X223" s="35"/>
      <c r="Y223" s="36"/>
      <c r="Z223" s="11"/>
      <c r="AA223" s="35"/>
      <c r="AB223" s="36"/>
      <c r="AC223" s="35"/>
      <c r="AD223" s="35"/>
      <c r="AE223" s="37" t="str">
        <f>IF($A223="","",COUNTIFS(Připomínky!$A$4:$A$503,$A223,Připomínky!$J$4:$J$503,"Nevyřešeno"))</f>
        <v/>
      </c>
      <c r="AF223" s="37" t="str">
        <f>IF($A223="","",COUNTIFS(Publikace!$A$4:$A$503,$A223))</f>
        <v/>
      </c>
      <c r="AG223" s="38" t="str">
        <f>IF($A223="","",IF(AF223=0,"",_xlfn.MINIFS(Publikace!$E$4:$E$503,Publikace!$A$4:$A$503,$A223)))</f>
        <v/>
      </c>
      <c r="AH223" s="37" t="str">
        <f t="shared" si="3"/>
        <v/>
      </c>
      <c r="AI223" s="39" t="str">
        <f ca="1">IF($A223="","",TRIM(IF(AND($U223&lt;&gt;"",$U223&lt;TODAY(),$W223&lt;&gt;"Schváleno",$W223&lt;&gt;"Odloženo",$W223&lt;&gt;"Zrušeno"),"Po termínu odevzdání. ","")&amp;IF(AND($W223="Schváleno",OR($X223="",$Y223="")),"Schváleno bez jména / data. ","")&amp;IF(OR($G223="",$H223="",$I223="",$F223=""),"Chybí zařazení (kategorie, typ, profil nebo měsíc). ","")&amp;IF(AND(OR($I223="Honza",$I223="Radek"),OR($J223="",$J223="Nevztahuje se")),"Doplnit charakter (osobní / pracovní). ","")&amp;IF(AND($W223="Schváleno",$AE223&gt;0),"Schváleno, ale má otevřené připomínky. ","")&amp;IF(AND($AA223="Publikováno",$AF223=0),"Publikováno bez záznamu v listu Publikace. ","")&amp;IF(AND($C223&lt;&gt;"",$D223=""),"Chybí číslo dílu série. ","")&amp;IF(AND($E223&lt;&gt;"",$W223&lt;&gt;"Schváleno",$W223&lt;&gt;"Odloženo",$W223&lt;&gt;"Zrušeno",IFERROR(VLOOKUP($E223,Nastavení!$A$30:$G$53,3,FALSE()),0)&gt;0,IFERROR(VLOOKUP($E223,Nastavení!$A$30:$G$53,3,FALSE()),0)&lt;TODAY()),"Neschváleno po termínu cyklu. ","")))</f>
        <v/>
      </c>
    </row>
    <row r="224" spans="1:35" x14ac:dyDescent="0.2">
      <c r="A224" s="35"/>
      <c r="B224" s="11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11"/>
      <c r="N224" s="11"/>
      <c r="O224" s="11"/>
      <c r="P224" s="11"/>
      <c r="Q224" s="11"/>
      <c r="R224" s="11"/>
      <c r="S224" s="11"/>
      <c r="T224" s="35"/>
      <c r="U224" s="36"/>
      <c r="V224" s="11"/>
      <c r="W224" s="35"/>
      <c r="X224" s="35"/>
      <c r="Y224" s="36"/>
      <c r="Z224" s="11"/>
      <c r="AA224" s="35"/>
      <c r="AB224" s="36"/>
      <c r="AC224" s="35"/>
      <c r="AD224" s="35"/>
      <c r="AE224" s="37" t="str">
        <f>IF($A224="","",COUNTIFS(Připomínky!$A$4:$A$503,$A224,Připomínky!$J$4:$J$503,"Nevyřešeno"))</f>
        <v/>
      </c>
      <c r="AF224" s="37" t="str">
        <f>IF($A224="","",COUNTIFS(Publikace!$A$4:$A$503,$A224))</f>
        <v/>
      </c>
      <c r="AG224" s="38" t="str">
        <f>IF($A224="","",IF(AF224=0,"",_xlfn.MINIFS(Publikace!$E$4:$E$503,Publikace!$A$4:$A$503,$A224)))</f>
        <v/>
      </c>
      <c r="AH224" s="37" t="str">
        <f t="shared" si="3"/>
        <v/>
      </c>
      <c r="AI224" s="39" t="str">
        <f ca="1">IF($A224="","",TRIM(IF(AND($U224&lt;&gt;"",$U224&lt;TODAY(),$W224&lt;&gt;"Schváleno",$W224&lt;&gt;"Odloženo",$W224&lt;&gt;"Zrušeno"),"Po termínu odevzdání. ","")&amp;IF(AND($W224="Schváleno",OR($X224="",$Y224="")),"Schváleno bez jména / data. ","")&amp;IF(OR($G224="",$H224="",$I224="",$F224=""),"Chybí zařazení (kategorie, typ, profil nebo měsíc). ","")&amp;IF(AND(OR($I224="Honza",$I224="Radek"),OR($J224="",$J224="Nevztahuje se")),"Doplnit charakter (osobní / pracovní). ","")&amp;IF(AND($W224="Schváleno",$AE224&gt;0),"Schváleno, ale má otevřené připomínky. ","")&amp;IF(AND($AA224="Publikováno",$AF224=0),"Publikováno bez záznamu v listu Publikace. ","")&amp;IF(AND($C224&lt;&gt;"",$D224=""),"Chybí číslo dílu série. ","")&amp;IF(AND($E224&lt;&gt;"",$W224&lt;&gt;"Schváleno",$W224&lt;&gt;"Odloženo",$W224&lt;&gt;"Zrušeno",IFERROR(VLOOKUP($E224,Nastavení!$A$30:$G$53,3,FALSE()),0)&gt;0,IFERROR(VLOOKUP($E224,Nastavení!$A$30:$G$53,3,FALSE()),0)&lt;TODAY()),"Neschváleno po termínu cyklu. ","")))</f>
        <v/>
      </c>
    </row>
    <row r="225" spans="1:35" x14ac:dyDescent="0.2">
      <c r="A225" s="35"/>
      <c r="B225" s="11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11"/>
      <c r="N225" s="11"/>
      <c r="O225" s="11"/>
      <c r="P225" s="11"/>
      <c r="Q225" s="11"/>
      <c r="R225" s="11"/>
      <c r="S225" s="11"/>
      <c r="T225" s="35"/>
      <c r="U225" s="36"/>
      <c r="V225" s="11"/>
      <c r="W225" s="35"/>
      <c r="X225" s="35"/>
      <c r="Y225" s="36"/>
      <c r="Z225" s="11"/>
      <c r="AA225" s="35"/>
      <c r="AB225" s="36"/>
      <c r="AC225" s="35"/>
      <c r="AD225" s="35"/>
      <c r="AE225" s="37" t="str">
        <f>IF($A225="","",COUNTIFS(Připomínky!$A$4:$A$503,$A225,Připomínky!$J$4:$J$503,"Nevyřešeno"))</f>
        <v/>
      </c>
      <c r="AF225" s="37" t="str">
        <f>IF($A225="","",COUNTIFS(Publikace!$A$4:$A$503,$A225))</f>
        <v/>
      </c>
      <c r="AG225" s="38" t="str">
        <f>IF($A225="","",IF(AF225=0,"",_xlfn.MINIFS(Publikace!$E$4:$E$503,Publikace!$A$4:$A$503,$A225)))</f>
        <v/>
      </c>
      <c r="AH225" s="37" t="str">
        <f t="shared" si="3"/>
        <v/>
      </c>
      <c r="AI225" s="39" t="str">
        <f ca="1">IF($A225="","",TRIM(IF(AND($U225&lt;&gt;"",$U225&lt;TODAY(),$W225&lt;&gt;"Schváleno",$W225&lt;&gt;"Odloženo",$W225&lt;&gt;"Zrušeno"),"Po termínu odevzdání. ","")&amp;IF(AND($W225="Schváleno",OR($X225="",$Y225="")),"Schváleno bez jména / data. ","")&amp;IF(OR($G225="",$H225="",$I225="",$F225=""),"Chybí zařazení (kategorie, typ, profil nebo měsíc). ","")&amp;IF(AND(OR($I225="Honza",$I225="Radek"),OR($J225="",$J225="Nevztahuje se")),"Doplnit charakter (osobní / pracovní). ","")&amp;IF(AND($W225="Schváleno",$AE225&gt;0),"Schváleno, ale má otevřené připomínky. ","")&amp;IF(AND($AA225="Publikováno",$AF225=0),"Publikováno bez záznamu v listu Publikace. ","")&amp;IF(AND($C225&lt;&gt;"",$D225=""),"Chybí číslo dílu série. ","")&amp;IF(AND($E225&lt;&gt;"",$W225&lt;&gt;"Schváleno",$W225&lt;&gt;"Odloženo",$W225&lt;&gt;"Zrušeno",IFERROR(VLOOKUP($E225,Nastavení!$A$30:$G$53,3,FALSE()),0)&gt;0,IFERROR(VLOOKUP($E225,Nastavení!$A$30:$G$53,3,FALSE()),0)&lt;TODAY()),"Neschváleno po termínu cyklu. ","")))</f>
        <v/>
      </c>
    </row>
    <row r="226" spans="1:35" x14ac:dyDescent="0.2">
      <c r="A226" s="35"/>
      <c r="B226" s="11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11"/>
      <c r="N226" s="11"/>
      <c r="O226" s="11"/>
      <c r="P226" s="11"/>
      <c r="Q226" s="11"/>
      <c r="R226" s="11"/>
      <c r="S226" s="11"/>
      <c r="T226" s="35"/>
      <c r="U226" s="36"/>
      <c r="V226" s="11"/>
      <c r="W226" s="35"/>
      <c r="X226" s="35"/>
      <c r="Y226" s="36"/>
      <c r="Z226" s="11"/>
      <c r="AA226" s="35"/>
      <c r="AB226" s="36"/>
      <c r="AC226" s="35"/>
      <c r="AD226" s="35"/>
      <c r="AE226" s="37" t="str">
        <f>IF($A226="","",COUNTIFS(Připomínky!$A$4:$A$503,$A226,Připomínky!$J$4:$J$503,"Nevyřešeno"))</f>
        <v/>
      </c>
      <c r="AF226" s="37" t="str">
        <f>IF($A226="","",COUNTIFS(Publikace!$A$4:$A$503,$A226))</f>
        <v/>
      </c>
      <c r="AG226" s="38" t="str">
        <f>IF($A226="","",IF(AF226=0,"",_xlfn.MINIFS(Publikace!$E$4:$E$503,Publikace!$A$4:$A$503,$A226)))</f>
        <v/>
      </c>
      <c r="AH226" s="37" t="str">
        <f t="shared" si="3"/>
        <v/>
      </c>
      <c r="AI226" s="39" t="str">
        <f ca="1">IF($A226="","",TRIM(IF(AND($U226&lt;&gt;"",$U226&lt;TODAY(),$W226&lt;&gt;"Schváleno",$W226&lt;&gt;"Odloženo",$W226&lt;&gt;"Zrušeno"),"Po termínu odevzdání. ","")&amp;IF(AND($W226="Schváleno",OR($X226="",$Y226="")),"Schváleno bez jména / data. ","")&amp;IF(OR($G226="",$H226="",$I226="",$F226=""),"Chybí zařazení (kategorie, typ, profil nebo měsíc). ","")&amp;IF(AND(OR($I226="Honza",$I226="Radek"),OR($J226="",$J226="Nevztahuje se")),"Doplnit charakter (osobní / pracovní). ","")&amp;IF(AND($W226="Schváleno",$AE226&gt;0),"Schváleno, ale má otevřené připomínky. ","")&amp;IF(AND($AA226="Publikováno",$AF226=0),"Publikováno bez záznamu v listu Publikace. ","")&amp;IF(AND($C226&lt;&gt;"",$D226=""),"Chybí číslo dílu série. ","")&amp;IF(AND($E226&lt;&gt;"",$W226&lt;&gt;"Schváleno",$W226&lt;&gt;"Odloženo",$W226&lt;&gt;"Zrušeno",IFERROR(VLOOKUP($E226,Nastavení!$A$30:$G$53,3,FALSE()),0)&gt;0,IFERROR(VLOOKUP($E226,Nastavení!$A$30:$G$53,3,FALSE()),0)&lt;TODAY()),"Neschváleno po termínu cyklu. ","")))</f>
        <v/>
      </c>
    </row>
    <row r="227" spans="1:35" x14ac:dyDescent="0.2">
      <c r="A227" s="35"/>
      <c r="B227" s="11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11"/>
      <c r="N227" s="11"/>
      <c r="O227" s="11"/>
      <c r="P227" s="11"/>
      <c r="Q227" s="11"/>
      <c r="R227" s="11"/>
      <c r="S227" s="11"/>
      <c r="T227" s="35"/>
      <c r="U227" s="36"/>
      <c r="V227" s="11"/>
      <c r="W227" s="35"/>
      <c r="X227" s="35"/>
      <c r="Y227" s="36"/>
      <c r="Z227" s="11"/>
      <c r="AA227" s="35"/>
      <c r="AB227" s="36"/>
      <c r="AC227" s="35"/>
      <c r="AD227" s="35"/>
      <c r="AE227" s="37" t="str">
        <f>IF($A227="","",COUNTIFS(Připomínky!$A$4:$A$503,$A227,Připomínky!$J$4:$J$503,"Nevyřešeno"))</f>
        <v/>
      </c>
      <c r="AF227" s="37" t="str">
        <f>IF($A227="","",COUNTIFS(Publikace!$A$4:$A$503,$A227))</f>
        <v/>
      </c>
      <c r="AG227" s="38" t="str">
        <f>IF($A227="","",IF(AF227=0,"",_xlfn.MINIFS(Publikace!$E$4:$E$503,Publikace!$A$4:$A$503,$A227)))</f>
        <v/>
      </c>
      <c r="AH227" s="37" t="str">
        <f t="shared" si="3"/>
        <v/>
      </c>
      <c r="AI227" s="39" t="str">
        <f ca="1">IF($A227="","",TRIM(IF(AND($U227&lt;&gt;"",$U227&lt;TODAY(),$W227&lt;&gt;"Schváleno",$W227&lt;&gt;"Odloženo",$W227&lt;&gt;"Zrušeno"),"Po termínu odevzdání. ","")&amp;IF(AND($W227="Schváleno",OR($X227="",$Y227="")),"Schváleno bez jména / data. ","")&amp;IF(OR($G227="",$H227="",$I227="",$F227=""),"Chybí zařazení (kategorie, typ, profil nebo měsíc). ","")&amp;IF(AND(OR($I227="Honza",$I227="Radek"),OR($J227="",$J227="Nevztahuje se")),"Doplnit charakter (osobní / pracovní). ","")&amp;IF(AND($W227="Schváleno",$AE227&gt;0),"Schváleno, ale má otevřené připomínky. ","")&amp;IF(AND($AA227="Publikováno",$AF227=0),"Publikováno bez záznamu v listu Publikace. ","")&amp;IF(AND($C227&lt;&gt;"",$D227=""),"Chybí číslo dílu série. ","")&amp;IF(AND($E227&lt;&gt;"",$W227&lt;&gt;"Schváleno",$W227&lt;&gt;"Odloženo",$W227&lt;&gt;"Zrušeno",IFERROR(VLOOKUP($E227,Nastavení!$A$30:$G$53,3,FALSE()),0)&gt;0,IFERROR(VLOOKUP($E227,Nastavení!$A$30:$G$53,3,FALSE()),0)&lt;TODAY()),"Neschváleno po termínu cyklu. ","")))</f>
        <v/>
      </c>
    </row>
    <row r="228" spans="1:35" x14ac:dyDescent="0.2">
      <c r="A228" s="35"/>
      <c r="B228" s="11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11"/>
      <c r="N228" s="11"/>
      <c r="O228" s="11"/>
      <c r="P228" s="11"/>
      <c r="Q228" s="11"/>
      <c r="R228" s="11"/>
      <c r="S228" s="11"/>
      <c r="T228" s="35"/>
      <c r="U228" s="36"/>
      <c r="V228" s="11"/>
      <c r="W228" s="35"/>
      <c r="X228" s="35"/>
      <c r="Y228" s="36"/>
      <c r="Z228" s="11"/>
      <c r="AA228" s="35"/>
      <c r="AB228" s="36"/>
      <c r="AC228" s="35"/>
      <c r="AD228" s="35"/>
      <c r="AE228" s="37" t="str">
        <f>IF($A228="","",COUNTIFS(Připomínky!$A$4:$A$503,$A228,Připomínky!$J$4:$J$503,"Nevyřešeno"))</f>
        <v/>
      </c>
      <c r="AF228" s="37" t="str">
        <f>IF($A228="","",COUNTIFS(Publikace!$A$4:$A$503,$A228))</f>
        <v/>
      </c>
      <c r="AG228" s="38" t="str">
        <f>IF($A228="","",IF(AF228=0,"",_xlfn.MINIFS(Publikace!$E$4:$E$503,Publikace!$A$4:$A$503,$A228)))</f>
        <v/>
      </c>
      <c r="AH228" s="37" t="str">
        <f t="shared" si="3"/>
        <v/>
      </c>
      <c r="AI228" s="39" t="str">
        <f ca="1">IF($A228="","",TRIM(IF(AND($U228&lt;&gt;"",$U228&lt;TODAY(),$W228&lt;&gt;"Schváleno",$W228&lt;&gt;"Odloženo",$W228&lt;&gt;"Zrušeno"),"Po termínu odevzdání. ","")&amp;IF(AND($W228="Schváleno",OR($X228="",$Y228="")),"Schváleno bez jména / data. ","")&amp;IF(OR($G228="",$H228="",$I228="",$F228=""),"Chybí zařazení (kategorie, typ, profil nebo měsíc). ","")&amp;IF(AND(OR($I228="Honza",$I228="Radek"),OR($J228="",$J228="Nevztahuje se")),"Doplnit charakter (osobní / pracovní). ","")&amp;IF(AND($W228="Schváleno",$AE228&gt;0),"Schváleno, ale má otevřené připomínky. ","")&amp;IF(AND($AA228="Publikováno",$AF228=0),"Publikováno bez záznamu v listu Publikace. ","")&amp;IF(AND($C228&lt;&gt;"",$D228=""),"Chybí číslo dílu série. ","")&amp;IF(AND($E228&lt;&gt;"",$W228&lt;&gt;"Schváleno",$W228&lt;&gt;"Odloženo",$W228&lt;&gt;"Zrušeno",IFERROR(VLOOKUP($E228,Nastavení!$A$30:$G$53,3,FALSE()),0)&gt;0,IFERROR(VLOOKUP($E228,Nastavení!$A$30:$G$53,3,FALSE()),0)&lt;TODAY()),"Neschváleno po termínu cyklu. ","")))</f>
        <v/>
      </c>
    </row>
    <row r="229" spans="1:35" x14ac:dyDescent="0.2">
      <c r="A229" s="35"/>
      <c r="B229" s="11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11"/>
      <c r="N229" s="11"/>
      <c r="O229" s="11"/>
      <c r="P229" s="11"/>
      <c r="Q229" s="11"/>
      <c r="R229" s="11"/>
      <c r="S229" s="11"/>
      <c r="T229" s="35"/>
      <c r="U229" s="36"/>
      <c r="V229" s="11"/>
      <c r="W229" s="35"/>
      <c r="X229" s="35"/>
      <c r="Y229" s="36"/>
      <c r="Z229" s="11"/>
      <c r="AA229" s="35"/>
      <c r="AB229" s="36"/>
      <c r="AC229" s="35"/>
      <c r="AD229" s="35"/>
      <c r="AE229" s="37" t="str">
        <f>IF($A229="","",COUNTIFS(Připomínky!$A$4:$A$503,$A229,Připomínky!$J$4:$J$503,"Nevyřešeno"))</f>
        <v/>
      </c>
      <c r="AF229" s="37" t="str">
        <f>IF($A229="","",COUNTIFS(Publikace!$A$4:$A$503,$A229))</f>
        <v/>
      </c>
      <c r="AG229" s="38" t="str">
        <f>IF($A229="","",IF(AF229=0,"",_xlfn.MINIFS(Publikace!$E$4:$E$503,Publikace!$A$4:$A$503,$A229)))</f>
        <v/>
      </c>
      <c r="AH229" s="37" t="str">
        <f t="shared" si="3"/>
        <v/>
      </c>
      <c r="AI229" s="39" t="str">
        <f ca="1">IF($A229="","",TRIM(IF(AND($U229&lt;&gt;"",$U229&lt;TODAY(),$W229&lt;&gt;"Schváleno",$W229&lt;&gt;"Odloženo",$W229&lt;&gt;"Zrušeno"),"Po termínu odevzdání. ","")&amp;IF(AND($W229="Schváleno",OR($X229="",$Y229="")),"Schváleno bez jména / data. ","")&amp;IF(OR($G229="",$H229="",$I229="",$F229=""),"Chybí zařazení (kategorie, typ, profil nebo měsíc). ","")&amp;IF(AND(OR($I229="Honza",$I229="Radek"),OR($J229="",$J229="Nevztahuje se")),"Doplnit charakter (osobní / pracovní). ","")&amp;IF(AND($W229="Schváleno",$AE229&gt;0),"Schváleno, ale má otevřené připomínky. ","")&amp;IF(AND($AA229="Publikováno",$AF229=0),"Publikováno bez záznamu v listu Publikace. ","")&amp;IF(AND($C229&lt;&gt;"",$D229=""),"Chybí číslo dílu série. ","")&amp;IF(AND($E229&lt;&gt;"",$W229&lt;&gt;"Schváleno",$W229&lt;&gt;"Odloženo",$W229&lt;&gt;"Zrušeno",IFERROR(VLOOKUP($E229,Nastavení!$A$30:$G$53,3,FALSE()),0)&gt;0,IFERROR(VLOOKUP($E229,Nastavení!$A$30:$G$53,3,FALSE()),0)&lt;TODAY()),"Neschváleno po termínu cyklu. ","")))</f>
        <v/>
      </c>
    </row>
    <row r="230" spans="1:35" x14ac:dyDescent="0.2">
      <c r="A230" s="35"/>
      <c r="B230" s="11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11"/>
      <c r="N230" s="11"/>
      <c r="O230" s="11"/>
      <c r="P230" s="11"/>
      <c r="Q230" s="11"/>
      <c r="R230" s="11"/>
      <c r="S230" s="11"/>
      <c r="T230" s="35"/>
      <c r="U230" s="36"/>
      <c r="V230" s="11"/>
      <c r="W230" s="35"/>
      <c r="X230" s="35"/>
      <c r="Y230" s="36"/>
      <c r="Z230" s="11"/>
      <c r="AA230" s="35"/>
      <c r="AB230" s="36"/>
      <c r="AC230" s="35"/>
      <c r="AD230" s="35"/>
      <c r="AE230" s="37" t="str">
        <f>IF($A230="","",COUNTIFS(Připomínky!$A$4:$A$503,$A230,Připomínky!$J$4:$J$503,"Nevyřešeno"))</f>
        <v/>
      </c>
      <c r="AF230" s="37" t="str">
        <f>IF($A230="","",COUNTIFS(Publikace!$A$4:$A$503,$A230))</f>
        <v/>
      </c>
      <c r="AG230" s="38" t="str">
        <f>IF($A230="","",IF(AF230=0,"",_xlfn.MINIFS(Publikace!$E$4:$E$503,Publikace!$A$4:$A$503,$A230)))</f>
        <v/>
      </c>
      <c r="AH230" s="37" t="str">
        <f t="shared" si="3"/>
        <v/>
      </c>
      <c r="AI230" s="39" t="str">
        <f ca="1">IF($A230="","",TRIM(IF(AND($U230&lt;&gt;"",$U230&lt;TODAY(),$W230&lt;&gt;"Schváleno",$W230&lt;&gt;"Odloženo",$W230&lt;&gt;"Zrušeno"),"Po termínu odevzdání. ","")&amp;IF(AND($W230="Schváleno",OR($X230="",$Y230="")),"Schváleno bez jména / data. ","")&amp;IF(OR($G230="",$H230="",$I230="",$F230=""),"Chybí zařazení (kategorie, typ, profil nebo měsíc). ","")&amp;IF(AND(OR($I230="Honza",$I230="Radek"),OR($J230="",$J230="Nevztahuje se")),"Doplnit charakter (osobní / pracovní). ","")&amp;IF(AND($W230="Schváleno",$AE230&gt;0),"Schváleno, ale má otevřené připomínky. ","")&amp;IF(AND($AA230="Publikováno",$AF230=0),"Publikováno bez záznamu v listu Publikace. ","")&amp;IF(AND($C230&lt;&gt;"",$D230=""),"Chybí číslo dílu série. ","")&amp;IF(AND($E230&lt;&gt;"",$W230&lt;&gt;"Schváleno",$W230&lt;&gt;"Odloženo",$W230&lt;&gt;"Zrušeno",IFERROR(VLOOKUP($E230,Nastavení!$A$30:$G$53,3,FALSE()),0)&gt;0,IFERROR(VLOOKUP($E230,Nastavení!$A$30:$G$53,3,FALSE()),0)&lt;TODAY()),"Neschváleno po termínu cyklu. ","")))</f>
        <v/>
      </c>
    </row>
    <row r="231" spans="1:35" x14ac:dyDescent="0.2">
      <c r="A231" s="35"/>
      <c r="B231" s="11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11"/>
      <c r="N231" s="11"/>
      <c r="O231" s="11"/>
      <c r="P231" s="11"/>
      <c r="Q231" s="11"/>
      <c r="R231" s="11"/>
      <c r="S231" s="11"/>
      <c r="T231" s="35"/>
      <c r="U231" s="36"/>
      <c r="V231" s="11"/>
      <c r="W231" s="35"/>
      <c r="X231" s="35"/>
      <c r="Y231" s="36"/>
      <c r="Z231" s="11"/>
      <c r="AA231" s="35"/>
      <c r="AB231" s="36"/>
      <c r="AC231" s="35"/>
      <c r="AD231" s="35"/>
      <c r="AE231" s="37" t="str">
        <f>IF($A231="","",COUNTIFS(Připomínky!$A$4:$A$503,$A231,Připomínky!$J$4:$J$503,"Nevyřešeno"))</f>
        <v/>
      </c>
      <c r="AF231" s="37" t="str">
        <f>IF($A231="","",COUNTIFS(Publikace!$A$4:$A$503,$A231))</f>
        <v/>
      </c>
      <c r="AG231" s="38" t="str">
        <f>IF($A231="","",IF(AF231=0,"",_xlfn.MINIFS(Publikace!$E$4:$E$503,Publikace!$A$4:$A$503,$A231)))</f>
        <v/>
      </c>
      <c r="AH231" s="37" t="str">
        <f t="shared" si="3"/>
        <v/>
      </c>
      <c r="AI231" s="39" t="str">
        <f ca="1">IF($A231="","",TRIM(IF(AND($U231&lt;&gt;"",$U231&lt;TODAY(),$W231&lt;&gt;"Schváleno",$W231&lt;&gt;"Odloženo",$W231&lt;&gt;"Zrušeno"),"Po termínu odevzdání. ","")&amp;IF(AND($W231="Schváleno",OR($X231="",$Y231="")),"Schváleno bez jména / data. ","")&amp;IF(OR($G231="",$H231="",$I231="",$F231=""),"Chybí zařazení (kategorie, typ, profil nebo měsíc). ","")&amp;IF(AND(OR($I231="Honza",$I231="Radek"),OR($J231="",$J231="Nevztahuje se")),"Doplnit charakter (osobní / pracovní). ","")&amp;IF(AND($W231="Schváleno",$AE231&gt;0),"Schváleno, ale má otevřené připomínky. ","")&amp;IF(AND($AA231="Publikováno",$AF231=0),"Publikováno bez záznamu v listu Publikace. ","")&amp;IF(AND($C231&lt;&gt;"",$D231=""),"Chybí číslo dílu série. ","")&amp;IF(AND($E231&lt;&gt;"",$W231&lt;&gt;"Schváleno",$W231&lt;&gt;"Odloženo",$W231&lt;&gt;"Zrušeno",IFERROR(VLOOKUP($E231,Nastavení!$A$30:$G$53,3,FALSE()),0)&gt;0,IFERROR(VLOOKUP($E231,Nastavení!$A$30:$G$53,3,FALSE()),0)&lt;TODAY()),"Neschváleno po termínu cyklu. ","")))</f>
        <v/>
      </c>
    </row>
    <row r="232" spans="1:35" x14ac:dyDescent="0.2">
      <c r="A232" s="35"/>
      <c r="B232" s="11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11"/>
      <c r="N232" s="11"/>
      <c r="O232" s="11"/>
      <c r="P232" s="11"/>
      <c r="Q232" s="11"/>
      <c r="R232" s="11"/>
      <c r="S232" s="11"/>
      <c r="T232" s="35"/>
      <c r="U232" s="36"/>
      <c r="V232" s="11"/>
      <c r="W232" s="35"/>
      <c r="X232" s="35"/>
      <c r="Y232" s="36"/>
      <c r="Z232" s="11"/>
      <c r="AA232" s="35"/>
      <c r="AB232" s="36"/>
      <c r="AC232" s="35"/>
      <c r="AD232" s="35"/>
      <c r="AE232" s="37" t="str">
        <f>IF($A232="","",COUNTIFS(Připomínky!$A$4:$A$503,$A232,Připomínky!$J$4:$J$503,"Nevyřešeno"))</f>
        <v/>
      </c>
      <c r="AF232" s="37" t="str">
        <f>IF($A232="","",COUNTIFS(Publikace!$A$4:$A$503,$A232))</f>
        <v/>
      </c>
      <c r="AG232" s="38" t="str">
        <f>IF($A232="","",IF(AF232=0,"",_xlfn.MINIFS(Publikace!$E$4:$E$503,Publikace!$A$4:$A$503,$A232)))</f>
        <v/>
      </c>
      <c r="AH232" s="37" t="str">
        <f t="shared" si="3"/>
        <v/>
      </c>
      <c r="AI232" s="39" t="str">
        <f ca="1">IF($A232="","",TRIM(IF(AND($U232&lt;&gt;"",$U232&lt;TODAY(),$W232&lt;&gt;"Schváleno",$W232&lt;&gt;"Odloženo",$W232&lt;&gt;"Zrušeno"),"Po termínu odevzdání. ","")&amp;IF(AND($W232="Schváleno",OR($X232="",$Y232="")),"Schváleno bez jména / data. ","")&amp;IF(OR($G232="",$H232="",$I232="",$F232=""),"Chybí zařazení (kategorie, typ, profil nebo měsíc). ","")&amp;IF(AND(OR($I232="Honza",$I232="Radek"),OR($J232="",$J232="Nevztahuje se")),"Doplnit charakter (osobní / pracovní). ","")&amp;IF(AND($W232="Schváleno",$AE232&gt;0),"Schváleno, ale má otevřené připomínky. ","")&amp;IF(AND($AA232="Publikováno",$AF232=0),"Publikováno bez záznamu v listu Publikace. ","")&amp;IF(AND($C232&lt;&gt;"",$D232=""),"Chybí číslo dílu série. ","")&amp;IF(AND($E232&lt;&gt;"",$W232&lt;&gt;"Schváleno",$W232&lt;&gt;"Odloženo",$W232&lt;&gt;"Zrušeno",IFERROR(VLOOKUP($E232,Nastavení!$A$30:$G$53,3,FALSE()),0)&gt;0,IFERROR(VLOOKUP($E232,Nastavení!$A$30:$G$53,3,FALSE()),0)&lt;TODAY()),"Neschváleno po termínu cyklu. ","")))</f>
        <v/>
      </c>
    </row>
    <row r="233" spans="1:35" x14ac:dyDescent="0.2">
      <c r="A233" s="35"/>
      <c r="B233" s="11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11"/>
      <c r="N233" s="11"/>
      <c r="O233" s="11"/>
      <c r="P233" s="11"/>
      <c r="Q233" s="11"/>
      <c r="R233" s="11"/>
      <c r="S233" s="11"/>
      <c r="T233" s="35"/>
      <c r="U233" s="36"/>
      <c r="V233" s="11"/>
      <c r="W233" s="35"/>
      <c r="X233" s="35"/>
      <c r="Y233" s="36"/>
      <c r="Z233" s="11"/>
      <c r="AA233" s="35"/>
      <c r="AB233" s="36"/>
      <c r="AC233" s="35"/>
      <c r="AD233" s="35"/>
      <c r="AE233" s="37" t="str">
        <f>IF($A233="","",COUNTIFS(Připomínky!$A$4:$A$503,$A233,Připomínky!$J$4:$J$503,"Nevyřešeno"))</f>
        <v/>
      </c>
      <c r="AF233" s="37" t="str">
        <f>IF($A233="","",COUNTIFS(Publikace!$A$4:$A$503,$A233))</f>
        <v/>
      </c>
      <c r="AG233" s="38" t="str">
        <f>IF($A233="","",IF(AF233=0,"",_xlfn.MINIFS(Publikace!$E$4:$E$503,Publikace!$A$4:$A$503,$A233)))</f>
        <v/>
      </c>
      <c r="AH233" s="37" t="str">
        <f t="shared" si="3"/>
        <v/>
      </c>
      <c r="AI233" s="39" t="str">
        <f ca="1">IF($A233="","",TRIM(IF(AND($U233&lt;&gt;"",$U233&lt;TODAY(),$W233&lt;&gt;"Schváleno",$W233&lt;&gt;"Odloženo",$W233&lt;&gt;"Zrušeno"),"Po termínu odevzdání. ","")&amp;IF(AND($W233="Schváleno",OR($X233="",$Y233="")),"Schváleno bez jména / data. ","")&amp;IF(OR($G233="",$H233="",$I233="",$F233=""),"Chybí zařazení (kategorie, typ, profil nebo měsíc). ","")&amp;IF(AND(OR($I233="Honza",$I233="Radek"),OR($J233="",$J233="Nevztahuje se")),"Doplnit charakter (osobní / pracovní). ","")&amp;IF(AND($W233="Schváleno",$AE233&gt;0),"Schváleno, ale má otevřené připomínky. ","")&amp;IF(AND($AA233="Publikováno",$AF233=0),"Publikováno bez záznamu v listu Publikace. ","")&amp;IF(AND($C233&lt;&gt;"",$D233=""),"Chybí číslo dílu série. ","")&amp;IF(AND($E233&lt;&gt;"",$W233&lt;&gt;"Schváleno",$W233&lt;&gt;"Odloženo",$W233&lt;&gt;"Zrušeno",IFERROR(VLOOKUP($E233,Nastavení!$A$30:$G$53,3,FALSE()),0)&gt;0,IFERROR(VLOOKUP($E233,Nastavení!$A$30:$G$53,3,FALSE()),0)&lt;TODAY()),"Neschváleno po termínu cyklu. ","")))</f>
        <v/>
      </c>
    </row>
    <row r="234" spans="1:35" x14ac:dyDescent="0.2">
      <c r="A234" s="35"/>
      <c r="B234" s="11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11"/>
      <c r="N234" s="11"/>
      <c r="O234" s="11"/>
      <c r="P234" s="11"/>
      <c r="Q234" s="11"/>
      <c r="R234" s="11"/>
      <c r="S234" s="11"/>
      <c r="T234" s="35"/>
      <c r="U234" s="36"/>
      <c r="V234" s="11"/>
      <c r="W234" s="35"/>
      <c r="X234" s="35"/>
      <c r="Y234" s="36"/>
      <c r="Z234" s="11"/>
      <c r="AA234" s="35"/>
      <c r="AB234" s="36"/>
      <c r="AC234" s="35"/>
      <c r="AD234" s="35"/>
      <c r="AE234" s="37" t="str">
        <f>IF($A234="","",COUNTIFS(Připomínky!$A$4:$A$503,$A234,Připomínky!$J$4:$J$503,"Nevyřešeno"))</f>
        <v/>
      </c>
      <c r="AF234" s="37" t="str">
        <f>IF($A234="","",COUNTIFS(Publikace!$A$4:$A$503,$A234))</f>
        <v/>
      </c>
      <c r="AG234" s="38" t="str">
        <f>IF($A234="","",IF(AF234=0,"",_xlfn.MINIFS(Publikace!$E$4:$E$503,Publikace!$A$4:$A$503,$A234)))</f>
        <v/>
      </c>
      <c r="AH234" s="37" t="str">
        <f t="shared" si="3"/>
        <v/>
      </c>
      <c r="AI234" s="39" t="str">
        <f ca="1">IF($A234="","",TRIM(IF(AND($U234&lt;&gt;"",$U234&lt;TODAY(),$W234&lt;&gt;"Schváleno",$W234&lt;&gt;"Odloženo",$W234&lt;&gt;"Zrušeno"),"Po termínu odevzdání. ","")&amp;IF(AND($W234="Schváleno",OR($X234="",$Y234="")),"Schváleno bez jména / data. ","")&amp;IF(OR($G234="",$H234="",$I234="",$F234=""),"Chybí zařazení (kategorie, typ, profil nebo měsíc). ","")&amp;IF(AND(OR($I234="Honza",$I234="Radek"),OR($J234="",$J234="Nevztahuje se")),"Doplnit charakter (osobní / pracovní). ","")&amp;IF(AND($W234="Schváleno",$AE234&gt;0),"Schváleno, ale má otevřené připomínky. ","")&amp;IF(AND($AA234="Publikováno",$AF234=0),"Publikováno bez záznamu v listu Publikace. ","")&amp;IF(AND($C234&lt;&gt;"",$D234=""),"Chybí číslo dílu série. ","")&amp;IF(AND($E234&lt;&gt;"",$W234&lt;&gt;"Schváleno",$W234&lt;&gt;"Odloženo",$W234&lt;&gt;"Zrušeno",IFERROR(VLOOKUP($E234,Nastavení!$A$30:$G$53,3,FALSE()),0)&gt;0,IFERROR(VLOOKUP($E234,Nastavení!$A$30:$G$53,3,FALSE()),0)&lt;TODAY()),"Neschváleno po termínu cyklu. ","")))</f>
        <v/>
      </c>
    </row>
    <row r="235" spans="1:35" x14ac:dyDescent="0.2">
      <c r="A235" s="35"/>
      <c r="B235" s="11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11"/>
      <c r="N235" s="11"/>
      <c r="O235" s="11"/>
      <c r="P235" s="11"/>
      <c r="Q235" s="11"/>
      <c r="R235" s="11"/>
      <c r="S235" s="11"/>
      <c r="T235" s="35"/>
      <c r="U235" s="36"/>
      <c r="V235" s="11"/>
      <c r="W235" s="35"/>
      <c r="X235" s="35"/>
      <c r="Y235" s="36"/>
      <c r="Z235" s="11"/>
      <c r="AA235" s="35"/>
      <c r="AB235" s="36"/>
      <c r="AC235" s="35"/>
      <c r="AD235" s="35"/>
      <c r="AE235" s="37" t="str">
        <f>IF($A235="","",COUNTIFS(Připomínky!$A$4:$A$503,$A235,Připomínky!$J$4:$J$503,"Nevyřešeno"))</f>
        <v/>
      </c>
      <c r="AF235" s="37" t="str">
        <f>IF($A235="","",COUNTIFS(Publikace!$A$4:$A$503,$A235))</f>
        <v/>
      </c>
      <c r="AG235" s="38" t="str">
        <f>IF($A235="","",IF(AF235=0,"",_xlfn.MINIFS(Publikace!$E$4:$E$503,Publikace!$A$4:$A$503,$A235)))</f>
        <v/>
      </c>
      <c r="AH235" s="37" t="str">
        <f t="shared" si="3"/>
        <v/>
      </c>
      <c r="AI235" s="39" t="str">
        <f ca="1">IF($A235="","",TRIM(IF(AND($U235&lt;&gt;"",$U235&lt;TODAY(),$W235&lt;&gt;"Schváleno",$W235&lt;&gt;"Odloženo",$W235&lt;&gt;"Zrušeno"),"Po termínu odevzdání. ","")&amp;IF(AND($W235="Schváleno",OR($X235="",$Y235="")),"Schváleno bez jména / data. ","")&amp;IF(OR($G235="",$H235="",$I235="",$F235=""),"Chybí zařazení (kategorie, typ, profil nebo měsíc). ","")&amp;IF(AND(OR($I235="Honza",$I235="Radek"),OR($J235="",$J235="Nevztahuje se")),"Doplnit charakter (osobní / pracovní). ","")&amp;IF(AND($W235="Schváleno",$AE235&gt;0),"Schváleno, ale má otevřené připomínky. ","")&amp;IF(AND($AA235="Publikováno",$AF235=0),"Publikováno bez záznamu v listu Publikace. ","")&amp;IF(AND($C235&lt;&gt;"",$D235=""),"Chybí číslo dílu série. ","")&amp;IF(AND($E235&lt;&gt;"",$W235&lt;&gt;"Schváleno",$W235&lt;&gt;"Odloženo",$W235&lt;&gt;"Zrušeno",IFERROR(VLOOKUP($E235,Nastavení!$A$30:$G$53,3,FALSE()),0)&gt;0,IFERROR(VLOOKUP($E235,Nastavení!$A$30:$G$53,3,FALSE()),0)&lt;TODAY()),"Neschváleno po termínu cyklu. ","")))</f>
        <v/>
      </c>
    </row>
    <row r="236" spans="1:35" x14ac:dyDescent="0.2">
      <c r="A236" s="35"/>
      <c r="B236" s="11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11"/>
      <c r="N236" s="11"/>
      <c r="O236" s="11"/>
      <c r="P236" s="11"/>
      <c r="Q236" s="11"/>
      <c r="R236" s="11"/>
      <c r="S236" s="11"/>
      <c r="T236" s="35"/>
      <c r="U236" s="36"/>
      <c r="V236" s="11"/>
      <c r="W236" s="35"/>
      <c r="X236" s="35"/>
      <c r="Y236" s="36"/>
      <c r="Z236" s="11"/>
      <c r="AA236" s="35"/>
      <c r="AB236" s="36"/>
      <c r="AC236" s="35"/>
      <c r="AD236" s="35"/>
      <c r="AE236" s="37" t="str">
        <f>IF($A236="","",COUNTIFS(Připomínky!$A$4:$A$503,$A236,Připomínky!$J$4:$J$503,"Nevyřešeno"))</f>
        <v/>
      </c>
      <c r="AF236" s="37" t="str">
        <f>IF($A236="","",COUNTIFS(Publikace!$A$4:$A$503,$A236))</f>
        <v/>
      </c>
      <c r="AG236" s="38" t="str">
        <f>IF($A236="","",IF(AF236=0,"",_xlfn.MINIFS(Publikace!$E$4:$E$503,Publikace!$A$4:$A$503,$A236)))</f>
        <v/>
      </c>
      <c r="AH236" s="37" t="str">
        <f t="shared" si="3"/>
        <v/>
      </c>
      <c r="AI236" s="39" t="str">
        <f ca="1">IF($A236="","",TRIM(IF(AND($U236&lt;&gt;"",$U236&lt;TODAY(),$W236&lt;&gt;"Schváleno",$W236&lt;&gt;"Odloženo",$W236&lt;&gt;"Zrušeno"),"Po termínu odevzdání. ","")&amp;IF(AND($W236="Schváleno",OR($X236="",$Y236="")),"Schváleno bez jména / data. ","")&amp;IF(OR($G236="",$H236="",$I236="",$F236=""),"Chybí zařazení (kategorie, typ, profil nebo měsíc). ","")&amp;IF(AND(OR($I236="Honza",$I236="Radek"),OR($J236="",$J236="Nevztahuje se")),"Doplnit charakter (osobní / pracovní). ","")&amp;IF(AND($W236="Schváleno",$AE236&gt;0),"Schváleno, ale má otevřené připomínky. ","")&amp;IF(AND($AA236="Publikováno",$AF236=0),"Publikováno bez záznamu v listu Publikace. ","")&amp;IF(AND($C236&lt;&gt;"",$D236=""),"Chybí číslo dílu série. ","")&amp;IF(AND($E236&lt;&gt;"",$W236&lt;&gt;"Schváleno",$W236&lt;&gt;"Odloženo",$W236&lt;&gt;"Zrušeno",IFERROR(VLOOKUP($E236,Nastavení!$A$30:$G$53,3,FALSE()),0)&gt;0,IFERROR(VLOOKUP($E236,Nastavení!$A$30:$G$53,3,FALSE()),0)&lt;TODAY()),"Neschváleno po termínu cyklu. ","")))</f>
        <v/>
      </c>
    </row>
    <row r="237" spans="1:35" x14ac:dyDescent="0.2">
      <c r="A237" s="35"/>
      <c r="B237" s="11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11"/>
      <c r="N237" s="11"/>
      <c r="O237" s="11"/>
      <c r="P237" s="11"/>
      <c r="Q237" s="11"/>
      <c r="R237" s="11"/>
      <c r="S237" s="11"/>
      <c r="T237" s="35"/>
      <c r="U237" s="36"/>
      <c r="V237" s="11"/>
      <c r="W237" s="35"/>
      <c r="X237" s="35"/>
      <c r="Y237" s="36"/>
      <c r="Z237" s="11"/>
      <c r="AA237" s="35"/>
      <c r="AB237" s="36"/>
      <c r="AC237" s="35"/>
      <c r="AD237" s="35"/>
      <c r="AE237" s="37" t="str">
        <f>IF($A237="","",COUNTIFS(Připomínky!$A$4:$A$503,$A237,Připomínky!$J$4:$J$503,"Nevyřešeno"))</f>
        <v/>
      </c>
      <c r="AF237" s="37" t="str">
        <f>IF($A237="","",COUNTIFS(Publikace!$A$4:$A$503,$A237))</f>
        <v/>
      </c>
      <c r="AG237" s="38" t="str">
        <f>IF($A237="","",IF(AF237=0,"",_xlfn.MINIFS(Publikace!$E$4:$E$503,Publikace!$A$4:$A$503,$A237)))</f>
        <v/>
      </c>
      <c r="AH237" s="37" t="str">
        <f t="shared" si="3"/>
        <v/>
      </c>
      <c r="AI237" s="39" t="str">
        <f ca="1">IF($A237="","",TRIM(IF(AND($U237&lt;&gt;"",$U237&lt;TODAY(),$W237&lt;&gt;"Schváleno",$W237&lt;&gt;"Odloženo",$W237&lt;&gt;"Zrušeno"),"Po termínu odevzdání. ","")&amp;IF(AND($W237="Schváleno",OR($X237="",$Y237="")),"Schváleno bez jména / data. ","")&amp;IF(OR($G237="",$H237="",$I237="",$F237=""),"Chybí zařazení (kategorie, typ, profil nebo měsíc). ","")&amp;IF(AND(OR($I237="Honza",$I237="Radek"),OR($J237="",$J237="Nevztahuje se")),"Doplnit charakter (osobní / pracovní). ","")&amp;IF(AND($W237="Schváleno",$AE237&gt;0),"Schváleno, ale má otevřené připomínky. ","")&amp;IF(AND($AA237="Publikováno",$AF237=0),"Publikováno bez záznamu v listu Publikace. ","")&amp;IF(AND($C237&lt;&gt;"",$D237=""),"Chybí číslo dílu série. ","")&amp;IF(AND($E237&lt;&gt;"",$W237&lt;&gt;"Schváleno",$W237&lt;&gt;"Odloženo",$W237&lt;&gt;"Zrušeno",IFERROR(VLOOKUP($E237,Nastavení!$A$30:$G$53,3,FALSE()),0)&gt;0,IFERROR(VLOOKUP($E237,Nastavení!$A$30:$G$53,3,FALSE()),0)&lt;TODAY()),"Neschváleno po termínu cyklu. ","")))</f>
        <v/>
      </c>
    </row>
    <row r="238" spans="1:35" x14ac:dyDescent="0.2">
      <c r="A238" s="35"/>
      <c r="B238" s="11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11"/>
      <c r="N238" s="11"/>
      <c r="O238" s="11"/>
      <c r="P238" s="11"/>
      <c r="Q238" s="11"/>
      <c r="R238" s="11"/>
      <c r="S238" s="11"/>
      <c r="T238" s="35"/>
      <c r="U238" s="36"/>
      <c r="V238" s="11"/>
      <c r="W238" s="35"/>
      <c r="X238" s="35"/>
      <c r="Y238" s="36"/>
      <c r="Z238" s="11"/>
      <c r="AA238" s="35"/>
      <c r="AB238" s="36"/>
      <c r="AC238" s="35"/>
      <c r="AD238" s="35"/>
      <c r="AE238" s="37" t="str">
        <f>IF($A238="","",COUNTIFS(Připomínky!$A$4:$A$503,$A238,Připomínky!$J$4:$J$503,"Nevyřešeno"))</f>
        <v/>
      </c>
      <c r="AF238" s="37" t="str">
        <f>IF($A238="","",COUNTIFS(Publikace!$A$4:$A$503,$A238))</f>
        <v/>
      </c>
      <c r="AG238" s="38" t="str">
        <f>IF($A238="","",IF(AF238=0,"",_xlfn.MINIFS(Publikace!$E$4:$E$503,Publikace!$A$4:$A$503,$A238)))</f>
        <v/>
      </c>
      <c r="AH238" s="37" t="str">
        <f t="shared" si="3"/>
        <v/>
      </c>
      <c r="AI238" s="39" t="str">
        <f ca="1">IF($A238="","",TRIM(IF(AND($U238&lt;&gt;"",$U238&lt;TODAY(),$W238&lt;&gt;"Schváleno",$W238&lt;&gt;"Odloženo",$W238&lt;&gt;"Zrušeno"),"Po termínu odevzdání. ","")&amp;IF(AND($W238="Schváleno",OR($X238="",$Y238="")),"Schváleno bez jména / data. ","")&amp;IF(OR($G238="",$H238="",$I238="",$F238=""),"Chybí zařazení (kategorie, typ, profil nebo měsíc). ","")&amp;IF(AND(OR($I238="Honza",$I238="Radek"),OR($J238="",$J238="Nevztahuje se")),"Doplnit charakter (osobní / pracovní). ","")&amp;IF(AND($W238="Schváleno",$AE238&gt;0),"Schváleno, ale má otevřené připomínky. ","")&amp;IF(AND($AA238="Publikováno",$AF238=0),"Publikováno bez záznamu v listu Publikace. ","")&amp;IF(AND($C238&lt;&gt;"",$D238=""),"Chybí číslo dílu série. ","")&amp;IF(AND($E238&lt;&gt;"",$W238&lt;&gt;"Schváleno",$W238&lt;&gt;"Odloženo",$W238&lt;&gt;"Zrušeno",IFERROR(VLOOKUP($E238,Nastavení!$A$30:$G$53,3,FALSE()),0)&gt;0,IFERROR(VLOOKUP($E238,Nastavení!$A$30:$G$53,3,FALSE()),0)&lt;TODAY()),"Neschváleno po termínu cyklu. ","")))</f>
        <v/>
      </c>
    </row>
    <row r="239" spans="1:35" x14ac:dyDescent="0.2">
      <c r="A239" s="35"/>
      <c r="B239" s="11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11"/>
      <c r="N239" s="11"/>
      <c r="O239" s="11"/>
      <c r="P239" s="11"/>
      <c r="Q239" s="11"/>
      <c r="R239" s="11"/>
      <c r="S239" s="11"/>
      <c r="T239" s="35"/>
      <c r="U239" s="36"/>
      <c r="V239" s="11"/>
      <c r="W239" s="35"/>
      <c r="X239" s="35"/>
      <c r="Y239" s="36"/>
      <c r="Z239" s="11"/>
      <c r="AA239" s="35"/>
      <c r="AB239" s="36"/>
      <c r="AC239" s="35"/>
      <c r="AD239" s="35"/>
      <c r="AE239" s="37" t="str">
        <f>IF($A239="","",COUNTIFS(Připomínky!$A$4:$A$503,$A239,Připomínky!$J$4:$J$503,"Nevyřešeno"))</f>
        <v/>
      </c>
      <c r="AF239" s="37" t="str">
        <f>IF($A239="","",COUNTIFS(Publikace!$A$4:$A$503,$A239))</f>
        <v/>
      </c>
      <c r="AG239" s="38" t="str">
        <f>IF($A239="","",IF(AF239=0,"",_xlfn.MINIFS(Publikace!$E$4:$E$503,Publikace!$A$4:$A$503,$A239)))</f>
        <v/>
      </c>
      <c r="AH239" s="37" t="str">
        <f t="shared" si="3"/>
        <v/>
      </c>
      <c r="AI239" s="39" t="str">
        <f ca="1">IF($A239="","",TRIM(IF(AND($U239&lt;&gt;"",$U239&lt;TODAY(),$W239&lt;&gt;"Schváleno",$W239&lt;&gt;"Odloženo",$W239&lt;&gt;"Zrušeno"),"Po termínu odevzdání. ","")&amp;IF(AND($W239="Schváleno",OR($X239="",$Y239="")),"Schváleno bez jména / data. ","")&amp;IF(OR($G239="",$H239="",$I239="",$F239=""),"Chybí zařazení (kategorie, typ, profil nebo měsíc). ","")&amp;IF(AND(OR($I239="Honza",$I239="Radek"),OR($J239="",$J239="Nevztahuje se")),"Doplnit charakter (osobní / pracovní). ","")&amp;IF(AND($W239="Schváleno",$AE239&gt;0),"Schváleno, ale má otevřené připomínky. ","")&amp;IF(AND($AA239="Publikováno",$AF239=0),"Publikováno bez záznamu v listu Publikace. ","")&amp;IF(AND($C239&lt;&gt;"",$D239=""),"Chybí číslo dílu série. ","")&amp;IF(AND($E239&lt;&gt;"",$W239&lt;&gt;"Schváleno",$W239&lt;&gt;"Odloženo",$W239&lt;&gt;"Zrušeno",IFERROR(VLOOKUP($E239,Nastavení!$A$30:$G$53,3,FALSE()),0)&gt;0,IFERROR(VLOOKUP($E239,Nastavení!$A$30:$G$53,3,FALSE()),0)&lt;TODAY()),"Neschváleno po termínu cyklu. ","")))</f>
        <v/>
      </c>
    </row>
    <row r="240" spans="1:35" x14ac:dyDescent="0.2">
      <c r="A240" s="35"/>
      <c r="B240" s="11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11"/>
      <c r="N240" s="11"/>
      <c r="O240" s="11"/>
      <c r="P240" s="11"/>
      <c r="Q240" s="11"/>
      <c r="R240" s="11"/>
      <c r="S240" s="11"/>
      <c r="T240" s="35"/>
      <c r="U240" s="36"/>
      <c r="V240" s="11"/>
      <c r="W240" s="35"/>
      <c r="X240" s="35"/>
      <c r="Y240" s="36"/>
      <c r="Z240" s="11"/>
      <c r="AA240" s="35"/>
      <c r="AB240" s="36"/>
      <c r="AC240" s="35"/>
      <c r="AD240" s="35"/>
      <c r="AE240" s="37" t="str">
        <f>IF($A240="","",COUNTIFS(Připomínky!$A$4:$A$503,$A240,Připomínky!$J$4:$J$503,"Nevyřešeno"))</f>
        <v/>
      </c>
      <c r="AF240" s="37" t="str">
        <f>IF($A240="","",COUNTIFS(Publikace!$A$4:$A$503,$A240))</f>
        <v/>
      </c>
      <c r="AG240" s="38" t="str">
        <f>IF($A240="","",IF(AF240=0,"",_xlfn.MINIFS(Publikace!$E$4:$E$503,Publikace!$A$4:$A$503,$A240)))</f>
        <v/>
      </c>
      <c r="AH240" s="37" t="str">
        <f t="shared" si="3"/>
        <v/>
      </c>
      <c r="AI240" s="39" t="str">
        <f ca="1">IF($A240="","",TRIM(IF(AND($U240&lt;&gt;"",$U240&lt;TODAY(),$W240&lt;&gt;"Schváleno",$W240&lt;&gt;"Odloženo",$W240&lt;&gt;"Zrušeno"),"Po termínu odevzdání. ","")&amp;IF(AND($W240="Schváleno",OR($X240="",$Y240="")),"Schváleno bez jména / data. ","")&amp;IF(OR($G240="",$H240="",$I240="",$F240=""),"Chybí zařazení (kategorie, typ, profil nebo měsíc). ","")&amp;IF(AND(OR($I240="Honza",$I240="Radek"),OR($J240="",$J240="Nevztahuje se")),"Doplnit charakter (osobní / pracovní). ","")&amp;IF(AND($W240="Schváleno",$AE240&gt;0),"Schváleno, ale má otevřené připomínky. ","")&amp;IF(AND($AA240="Publikováno",$AF240=0),"Publikováno bez záznamu v listu Publikace. ","")&amp;IF(AND($C240&lt;&gt;"",$D240=""),"Chybí číslo dílu série. ","")&amp;IF(AND($E240&lt;&gt;"",$W240&lt;&gt;"Schváleno",$W240&lt;&gt;"Odloženo",$W240&lt;&gt;"Zrušeno",IFERROR(VLOOKUP($E240,Nastavení!$A$30:$G$53,3,FALSE()),0)&gt;0,IFERROR(VLOOKUP($E240,Nastavení!$A$30:$G$53,3,FALSE()),0)&lt;TODAY()),"Neschváleno po termínu cyklu. ","")))</f>
        <v/>
      </c>
    </row>
    <row r="241" spans="1:35" x14ac:dyDescent="0.2">
      <c r="A241" s="35"/>
      <c r="B241" s="11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11"/>
      <c r="N241" s="11"/>
      <c r="O241" s="11"/>
      <c r="P241" s="11"/>
      <c r="Q241" s="11"/>
      <c r="R241" s="11"/>
      <c r="S241" s="11"/>
      <c r="T241" s="35"/>
      <c r="U241" s="36"/>
      <c r="V241" s="11"/>
      <c r="W241" s="35"/>
      <c r="X241" s="35"/>
      <c r="Y241" s="36"/>
      <c r="Z241" s="11"/>
      <c r="AA241" s="35"/>
      <c r="AB241" s="36"/>
      <c r="AC241" s="35"/>
      <c r="AD241" s="35"/>
      <c r="AE241" s="37" t="str">
        <f>IF($A241="","",COUNTIFS(Připomínky!$A$4:$A$503,$A241,Připomínky!$J$4:$J$503,"Nevyřešeno"))</f>
        <v/>
      </c>
      <c r="AF241" s="37" t="str">
        <f>IF($A241="","",COUNTIFS(Publikace!$A$4:$A$503,$A241))</f>
        <v/>
      </c>
      <c r="AG241" s="38" t="str">
        <f>IF($A241="","",IF(AF241=0,"",_xlfn.MINIFS(Publikace!$E$4:$E$503,Publikace!$A$4:$A$503,$A241)))</f>
        <v/>
      </c>
      <c r="AH241" s="37" t="str">
        <f t="shared" si="3"/>
        <v/>
      </c>
      <c r="AI241" s="39" t="str">
        <f ca="1">IF($A241="","",TRIM(IF(AND($U241&lt;&gt;"",$U241&lt;TODAY(),$W241&lt;&gt;"Schváleno",$W241&lt;&gt;"Odloženo",$W241&lt;&gt;"Zrušeno"),"Po termínu odevzdání. ","")&amp;IF(AND($W241="Schváleno",OR($X241="",$Y241="")),"Schváleno bez jména / data. ","")&amp;IF(OR($G241="",$H241="",$I241="",$F241=""),"Chybí zařazení (kategorie, typ, profil nebo měsíc). ","")&amp;IF(AND(OR($I241="Honza",$I241="Radek"),OR($J241="",$J241="Nevztahuje se")),"Doplnit charakter (osobní / pracovní). ","")&amp;IF(AND($W241="Schváleno",$AE241&gt;0),"Schváleno, ale má otevřené připomínky. ","")&amp;IF(AND($AA241="Publikováno",$AF241=0),"Publikováno bez záznamu v listu Publikace. ","")&amp;IF(AND($C241&lt;&gt;"",$D241=""),"Chybí číslo dílu série. ","")&amp;IF(AND($E241&lt;&gt;"",$W241&lt;&gt;"Schváleno",$W241&lt;&gt;"Odloženo",$W241&lt;&gt;"Zrušeno",IFERROR(VLOOKUP($E241,Nastavení!$A$30:$G$53,3,FALSE()),0)&gt;0,IFERROR(VLOOKUP($E241,Nastavení!$A$30:$G$53,3,FALSE()),0)&lt;TODAY()),"Neschváleno po termínu cyklu. ","")))</f>
        <v/>
      </c>
    </row>
    <row r="242" spans="1:35" x14ac:dyDescent="0.2">
      <c r="A242" s="35"/>
      <c r="B242" s="11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11"/>
      <c r="N242" s="11"/>
      <c r="O242" s="11"/>
      <c r="P242" s="11"/>
      <c r="Q242" s="11"/>
      <c r="R242" s="11"/>
      <c r="S242" s="11"/>
      <c r="T242" s="35"/>
      <c r="U242" s="36"/>
      <c r="V242" s="11"/>
      <c r="W242" s="35"/>
      <c r="X242" s="35"/>
      <c r="Y242" s="36"/>
      <c r="Z242" s="11"/>
      <c r="AA242" s="35"/>
      <c r="AB242" s="36"/>
      <c r="AC242" s="35"/>
      <c r="AD242" s="35"/>
      <c r="AE242" s="37" t="str">
        <f>IF($A242="","",COUNTIFS(Připomínky!$A$4:$A$503,$A242,Připomínky!$J$4:$J$503,"Nevyřešeno"))</f>
        <v/>
      </c>
      <c r="AF242" s="37" t="str">
        <f>IF($A242="","",COUNTIFS(Publikace!$A$4:$A$503,$A242))</f>
        <v/>
      </c>
      <c r="AG242" s="38" t="str">
        <f>IF($A242="","",IF(AF242=0,"",_xlfn.MINIFS(Publikace!$E$4:$E$503,Publikace!$A$4:$A$503,$A242)))</f>
        <v/>
      </c>
      <c r="AH242" s="37" t="str">
        <f t="shared" si="3"/>
        <v/>
      </c>
      <c r="AI242" s="39" t="str">
        <f ca="1">IF($A242="","",TRIM(IF(AND($U242&lt;&gt;"",$U242&lt;TODAY(),$W242&lt;&gt;"Schváleno",$W242&lt;&gt;"Odloženo",$W242&lt;&gt;"Zrušeno"),"Po termínu odevzdání. ","")&amp;IF(AND($W242="Schváleno",OR($X242="",$Y242="")),"Schváleno bez jména / data. ","")&amp;IF(OR($G242="",$H242="",$I242="",$F242=""),"Chybí zařazení (kategorie, typ, profil nebo měsíc). ","")&amp;IF(AND(OR($I242="Honza",$I242="Radek"),OR($J242="",$J242="Nevztahuje se")),"Doplnit charakter (osobní / pracovní). ","")&amp;IF(AND($W242="Schváleno",$AE242&gt;0),"Schváleno, ale má otevřené připomínky. ","")&amp;IF(AND($AA242="Publikováno",$AF242=0),"Publikováno bez záznamu v listu Publikace. ","")&amp;IF(AND($C242&lt;&gt;"",$D242=""),"Chybí číslo dílu série. ","")&amp;IF(AND($E242&lt;&gt;"",$W242&lt;&gt;"Schváleno",$W242&lt;&gt;"Odloženo",$W242&lt;&gt;"Zrušeno",IFERROR(VLOOKUP($E242,Nastavení!$A$30:$G$53,3,FALSE()),0)&gt;0,IFERROR(VLOOKUP($E242,Nastavení!$A$30:$G$53,3,FALSE()),0)&lt;TODAY()),"Neschváleno po termínu cyklu. ","")))</f>
        <v/>
      </c>
    </row>
    <row r="243" spans="1:35" x14ac:dyDescent="0.2">
      <c r="A243" s="35"/>
      <c r="B243" s="11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11"/>
      <c r="N243" s="11"/>
      <c r="O243" s="11"/>
      <c r="P243" s="11"/>
      <c r="Q243" s="11"/>
      <c r="R243" s="11"/>
      <c r="S243" s="11"/>
      <c r="T243" s="35"/>
      <c r="U243" s="36"/>
      <c r="V243" s="11"/>
      <c r="W243" s="35"/>
      <c r="X243" s="35"/>
      <c r="Y243" s="36"/>
      <c r="Z243" s="11"/>
      <c r="AA243" s="35"/>
      <c r="AB243" s="36"/>
      <c r="AC243" s="35"/>
      <c r="AD243" s="35"/>
      <c r="AE243" s="37" t="str">
        <f>IF($A243="","",COUNTIFS(Připomínky!$A$4:$A$503,$A243,Připomínky!$J$4:$J$503,"Nevyřešeno"))</f>
        <v/>
      </c>
      <c r="AF243" s="37" t="str">
        <f>IF($A243="","",COUNTIFS(Publikace!$A$4:$A$503,$A243))</f>
        <v/>
      </c>
      <c r="AG243" s="38" t="str">
        <f>IF($A243="","",IF(AF243=0,"",_xlfn.MINIFS(Publikace!$E$4:$E$503,Publikace!$A$4:$A$503,$A243)))</f>
        <v/>
      </c>
      <c r="AH243" s="37" t="str">
        <f t="shared" si="3"/>
        <v/>
      </c>
      <c r="AI243" s="39" t="str">
        <f ca="1">IF($A243="","",TRIM(IF(AND($U243&lt;&gt;"",$U243&lt;TODAY(),$W243&lt;&gt;"Schváleno",$W243&lt;&gt;"Odloženo",$W243&lt;&gt;"Zrušeno"),"Po termínu odevzdání. ","")&amp;IF(AND($W243="Schváleno",OR($X243="",$Y243="")),"Schváleno bez jména / data. ","")&amp;IF(OR($G243="",$H243="",$I243="",$F243=""),"Chybí zařazení (kategorie, typ, profil nebo měsíc). ","")&amp;IF(AND(OR($I243="Honza",$I243="Radek"),OR($J243="",$J243="Nevztahuje se")),"Doplnit charakter (osobní / pracovní). ","")&amp;IF(AND($W243="Schváleno",$AE243&gt;0),"Schváleno, ale má otevřené připomínky. ","")&amp;IF(AND($AA243="Publikováno",$AF243=0),"Publikováno bez záznamu v listu Publikace. ","")&amp;IF(AND($C243&lt;&gt;"",$D243=""),"Chybí číslo dílu série. ","")&amp;IF(AND($E243&lt;&gt;"",$W243&lt;&gt;"Schváleno",$W243&lt;&gt;"Odloženo",$W243&lt;&gt;"Zrušeno",IFERROR(VLOOKUP($E243,Nastavení!$A$30:$G$53,3,FALSE()),0)&gt;0,IFERROR(VLOOKUP($E243,Nastavení!$A$30:$G$53,3,FALSE()),0)&lt;TODAY()),"Neschváleno po termínu cyklu. ","")))</f>
        <v/>
      </c>
    </row>
    <row r="244" spans="1:35" x14ac:dyDescent="0.2">
      <c r="A244" s="35"/>
      <c r="B244" s="11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11"/>
      <c r="N244" s="11"/>
      <c r="O244" s="11"/>
      <c r="P244" s="11"/>
      <c r="Q244" s="11"/>
      <c r="R244" s="11"/>
      <c r="S244" s="11"/>
      <c r="T244" s="35"/>
      <c r="U244" s="36"/>
      <c r="V244" s="11"/>
      <c r="W244" s="35"/>
      <c r="X244" s="35"/>
      <c r="Y244" s="36"/>
      <c r="Z244" s="11"/>
      <c r="AA244" s="35"/>
      <c r="AB244" s="36"/>
      <c r="AC244" s="35"/>
      <c r="AD244" s="35"/>
      <c r="AE244" s="37" t="str">
        <f>IF($A244="","",COUNTIFS(Připomínky!$A$4:$A$503,$A244,Připomínky!$J$4:$J$503,"Nevyřešeno"))</f>
        <v/>
      </c>
      <c r="AF244" s="37" t="str">
        <f>IF($A244="","",COUNTIFS(Publikace!$A$4:$A$503,$A244))</f>
        <v/>
      </c>
      <c r="AG244" s="38" t="str">
        <f>IF($A244="","",IF(AF244=0,"",_xlfn.MINIFS(Publikace!$E$4:$E$503,Publikace!$A$4:$A$503,$A244)))</f>
        <v/>
      </c>
      <c r="AH244" s="37" t="str">
        <f t="shared" si="3"/>
        <v/>
      </c>
      <c r="AI244" s="39" t="str">
        <f ca="1">IF($A244="","",TRIM(IF(AND($U244&lt;&gt;"",$U244&lt;TODAY(),$W244&lt;&gt;"Schváleno",$W244&lt;&gt;"Odloženo",$W244&lt;&gt;"Zrušeno"),"Po termínu odevzdání. ","")&amp;IF(AND($W244="Schváleno",OR($X244="",$Y244="")),"Schváleno bez jména / data. ","")&amp;IF(OR($G244="",$H244="",$I244="",$F244=""),"Chybí zařazení (kategorie, typ, profil nebo měsíc). ","")&amp;IF(AND(OR($I244="Honza",$I244="Radek"),OR($J244="",$J244="Nevztahuje se")),"Doplnit charakter (osobní / pracovní). ","")&amp;IF(AND($W244="Schváleno",$AE244&gt;0),"Schváleno, ale má otevřené připomínky. ","")&amp;IF(AND($AA244="Publikováno",$AF244=0),"Publikováno bez záznamu v listu Publikace. ","")&amp;IF(AND($C244&lt;&gt;"",$D244=""),"Chybí číslo dílu série. ","")&amp;IF(AND($E244&lt;&gt;"",$W244&lt;&gt;"Schváleno",$W244&lt;&gt;"Odloženo",$W244&lt;&gt;"Zrušeno",IFERROR(VLOOKUP($E244,Nastavení!$A$30:$G$53,3,FALSE()),0)&gt;0,IFERROR(VLOOKUP($E244,Nastavení!$A$30:$G$53,3,FALSE()),0)&lt;TODAY()),"Neschváleno po termínu cyklu. ","")))</f>
        <v/>
      </c>
    </row>
    <row r="245" spans="1:35" x14ac:dyDescent="0.2">
      <c r="A245" s="35"/>
      <c r="B245" s="11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11"/>
      <c r="N245" s="11"/>
      <c r="O245" s="11"/>
      <c r="P245" s="11"/>
      <c r="Q245" s="11"/>
      <c r="R245" s="11"/>
      <c r="S245" s="11"/>
      <c r="T245" s="35"/>
      <c r="U245" s="36"/>
      <c r="V245" s="11"/>
      <c r="W245" s="35"/>
      <c r="X245" s="35"/>
      <c r="Y245" s="36"/>
      <c r="Z245" s="11"/>
      <c r="AA245" s="35"/>
      <c r="AB245" s="36"/>
      <c r="AC245" s="35"/>
      <c r="AD245" s="35"/>
      <c r="AE245" s="37" t="str">
        <f>IF($A245="","",COUNTIFS(Připomínky!$A$4:$A$503,$A245,Připomínky!$J$4:$J$503,"Nevyřešeno"))</f>
        <v/>
      </c>
      <c r="AF245" s="37" t="str">
        <f>IF($A245="","",COUNTIFS(Publikace!$A$4:$A$503,$A245))</f>
        <v/>
      </c>
      <c r="AG245" s="38" t="str">
        <f>IF($A245="","",IF(AF245=0,"",_xlfn.MINIFS(Publikace!$E$4:$E$503,Publikace!$A$4:$A$503,$A245)))</f>
        <v/>
      </c>
      <c r="AH245" s="37" t="str">
        <f t="shared" si="3"/>
        <v/>
      </c>
      <c r="AI245" s="39" t="str">
        <f ca="1">IF($A245="","",TRIM(IF(AND($U245&lt;&gt;"",$U245&lt;TODAY(),$W245&lt;&gt;"Schváleno",$W245&lt;&gt;"Odloženo",$W245&lt;&gt;"Zrušeno"),"Po termínu odevzdání. ","")&amp;IF(AND($W245="Schváleno",OR($X245="",$Y245="")),"Schváleno bez jména / data. ","")&amp;IF(OR($G245="",$H245="",$I245="",$F245=""),"Chybí zařazení (kategorie, typ, profil nebo měsíc). ","")&amp;IF(AND(OR($I245="Honza",$I245="Radek"),OR($J245="",$J245="Nevztahuje se")),"Doplnit charakter (osobní / pracovní). ","")&amp;IF(AND($W245="Schváleno",$AE245&gt;0),"Schváleno, ale má otevřené připomínky. ","")&amp;IF(AND($AA245="Publikováno",$AF245=0),"Publikováno bez záznamu v listu Publikace. ","")&amp;IF(AND($C245&lt;&gt;"",$D245=""),"Chybí číslo dílu série. ","")&amp;IF(AND($E245&lt;&gt;"",$W245&lt;&gt;"Schváleno",$W245&lt;&gt;"Odloženo",$W245&lt;&gt;"Zrušeno",IFERROR(VLOOKUP($E245,Nastavení!$A$30:$G$53,3,FALSE()),0)&gt;0,IFERROR(VLOOKUP($E245,Nastavení!$A$30:$G$53,3,FALSE()),0)&lt;TODAY()),"Neschváleno po termínu cyklu. ","")))</f>
        <v/>
      </c>
    </row>
    <row r="246" spans="1:35" x14ac:dyDescent="0.2">
      <c r="A246" s="35"/>
      <c r="B246" s="11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11"/>
      <c r="N246" s="11"/>
      <c r="O246" s="11"/>
      <c r="P246" s="11"/>
      <c r="Q246" s="11"/>
      <c r="R246" s="11"/>
      <c r="S246" s="11"/>
      <c r="T246" s="35"/>
      <c r="U246" s="36"/>
      <c r="V246" s="11"/>
      <c r="W246" s="35"/>
      <c r="X246" s="35"/>
      <c r="Y246" s="36"/>
      <c r="Z246" s="11"/>
      <c r="AA246" s="35"/>
      <c r="AB246" s="36"/>
      <c r="AC246" s="35"/>
      <c r="AD246" s="35"/>
      <c r="AE246" s="37" t="str">
        <f>IF($A246="","",COUNTIFS(Připomínky!$A$4:$A$503,$A246,Připomínky!$J$4:$J$503,"Nevyřešeno"))</f>
        <v/>
      </c>
      <c r="AF246" s="37" t="str">
        <f>IF($A246="","",COUNTIFS(Publikace!$A$4:$A$503,$A246))</f>
        <v/>
      </c>
      <c r="AG246" s="38" t="str">
        <f>IF($A246="","",IF(AF246=0,"",_xlfn.MINIFS(Publikace!$E$4:$E$503,Publikace!$A$4:$A$503,$A246)))</f>
        <v/>
      </c>
      <c r="AH246" s="37" t="str">
        <f t="shared" si="3"/>
        <v/>
      </c>
      <c r="AI246" s="39" t="str">
        <f ca="1">IF($A246="","",TRIM(IF(AND($U246&lt;&gt;"",$U246&lt;TODAY(),$W246&lt;&gt;"Schváleno",$W246&lt;&gt;"Odloženo",$W246&lt;&gt;"Zrušeno"),"Po termínu odevzdání. ","")&amp;IF(AND($W246="Schváleno",OR($X246="",$Y246="")),"Schváleno bez jména / data. ","")&amp;IF(OR($G246="",$H246="",$I246="",$F246=""),"Chybí zařazení (kategorie, typ, profil nebo měsíc). ","")&amp;IF(AND(OR($I246="Honza",$I246="Radek"),OR($J246="",$J246="Nevztahuje se")),"Doplnit charakter (osobní / pracovní). ","")&amp;IF(AND($W246="Schváleno",$AE246&gt;0),"Schváleno, ale má otevřené připomínky. ","")&amp;IF(AND($AA246="Publikováno",$AF246=0),"Publikováno bez záznamu v listu Publikace. ","")&amp;IF(AND($C246&lt;&gt;"",$D246=""),"Chybí číslo dílu série. ","")&amp;IF(AND($E246&lt;&gt;"",$W246&lt;&gt;"Schváleno",$W246&lt;&gt;"Odloženo",$W246&lt;&gt;"Zrušeno",IFERROR(VLOOKUP($E246,Nastavení!$A$30:$G$53,3,FALSE()),0)&gt;0,IFERROR(VLOOKUP($E246,Nastavení!$A$30:$G$53,3,FALSE()),0)&lt;TODAY()),"Neschváleno po termínu cyklu. ","")))</f>
        <v/>
      </c>
    </row>
    <row r="247" spans="1:35" x14ac:dyDescent="0.2">
      <c r="A247" s="35"/>
      <c r="B247" s="11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11"/>
      <c r="N247" s="11"/>
      <c r="O247" s="11"/>
      <c r="P247" s="11"/>
      <c r="Q247" s="11"/>
      <c r="R247" s="11"/>
      <c r="S247" s="11"/>
      <c r="T247" s="35"/>
      <c r="U247" s="36"/>
      <c r="V247" s="11"/>
      <c r="W247" s="35"/>
      <c r="X247" s="35"/>
      <c r="Y247" s="36"/>
      <c r="Z247" s="11"/>
      <c r="AA247" s="35"/>
      <c r="AB247" s="36"/>
      <c r="AC247" s="35"/>
      <c r="AD247" s="35"/>
      <c r="AE247" s="37" t="str">
        <f>IF($A247="","",COUNTIFS(Připomínky!$A$4:$A$503,$A247,Připomínky!$J$4:$J$503,"Nevyřešeno"))</f>
        <v/>
      </c>
      <c r="AF247" s="37" t="str">
        <f>IF($A247="","",COUNTIFS(Publikace!$A$4:$A$503,$A247))</f>
        <v/>
      </c>
      <c r="AG247" s="38" t="str">
        <f>IF($A247="","",IF(AF247=0,"",_xlfn.MINIFS(Publikace!$E$4:$E$503,Publikace!$A$4:$A$503,$A247)))</f>
        <v/>
      </c>
      <c r="AH247" s="37" t="str">
        <f t="shared" si="3"/>
        <v/>
      </c>
      <c r="AI247" s="39" t="str">
        <f ca="1">IF($A247="","",TRIM(IF(AND($U247&lt;&gt;"",$U247&lt;TODAY(),$W247&lt;&gt;"Schváleno",$W247&lt;&gt;"Odloženo",$W247&lt;&gt;"Zrušeno"),"Po termínu odevzdání. ","")&amp;IF(AND($W247="Schváleno",OR($X247="",$Y247="")),"Schváleno bez jména / data. ","")&amp;IF(OR($G247="",$H247="",$I247="",$F247=""),"Chybí zařazení (kategorie, typ, profil nebo měsíc). ","")&amp;IF(AND(OR($I247="Honza",$I247="Radek"),OR($J247="",$J247="Nevztahuje se")),"Doplnit charakter (osobní / pracovní). ","")&amp;IF(AND($W247="Schváleno",$AE247&gt;0),"Schváleno, ale má otevřené připomínky. ","")&amp;IF(AND($AA247="Publikováno",$AF247=0),"Publikováno bez záznamu v listu Publikace. ","")&amp;IF(AND($C247&lt;&gt;"",$D247=""),"Chybí číslo dílu série. ","")&amp;IF(AND($E247&lt;&gt;"",$W247&lt;&gt;"Schváleno",$W247&lt;&gt;"Odloženo",$W247&lt;&gt;"Zrušeno",IFERROR(VLOOKUP($E247,Nastavení!$A$30:$G$53,3,FALSE()),0)&gt;0,IFERROR(VLOOKUP($E247,Nastavení!$A$30:$G$53,3,FALSE()),0)&lt;TODAY()),"Neschváleno po termínu cyklu. ","")))</f>
        <v/>
      </c>
    </row>
    <row r="248" spans="1:35" x14ac:dyDescent="0.2">
      <c r="A248" s="35"/>
      <c r="B248" s="11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11"/>
      <c r="N248" s="11"/>
      <c r="O248" s="11"/>
      <c r="P248" s="11"/>
      <c r="Q248" s="11"/>
      <c r="R248" s="11"/>
      <c r="S248" s="11"/>
      <c r="T248" s="35"/>
      <c r="U248" s="36"/>
      <c r="V248" s="11"/>
      <c r="W248" s="35"/>
      <c r="X248" s="35"/>
      <c r="Y248" s="36"/>
      <c r="Z248" s="11"/>
      <c r="AA248" s="35"/>
      <c r="AB248" s="36"/>
      <c r="AC248" s="35"/>
      <c r="AD248" s="35"/>
      <c r="AE248" s="37" t="str">
        <f>IF($A248="","",COUNTIFS(Připomínky!$A$4:$A$503,$A248,Připomínky!$J$4:$J$503,"Nevyřešeno"))</f>
        <v/>
      </c>
      <c r="AF248" s="37" t="str">
        <f>IF($A248="","",COUNTIFS(Publikace!$A$4:$A$503,$A248))</f>
        <v/>
      </c>
      <c r="AG248" s="38" t="str">
        <f>IF($A248="","",IF(AF248=0,"",_xlfn.MINIFS(Publikace!$E$4:$E$503,Publikace!$A$4:$A$503,$A248)))</f>
        <v/>
      </c>
      <c r="AH248" s="37" t="str">
        <f t="shared" si="3"/>
        <v/>
      </c>
      <c r="AI248" s="39" t="str">
        <f ca="1">IF($A248="","",TRIM(IF(AND($U248&lt;&gt;"",$U248&lt;TODAY(),$W248&lt;&gt;"Schváleno",$W248&lt;&gt;"Odloženo",$W248&lt;&gt;"Zrušeno"),"Po termínu odevzdání. ","")&amp;IF(AND($W248="Schváleno",OR($X248="",$Y248="")),"Schváleno bez jména / data. ","")&amp;IF(OR($G248="",$H248="",$I248="",$F248=""),"Chybí zařazení (kategorie, typ, profil nebo měsíc). ","")&amp;IF(AND(OR($I248="Honza",$I248="Radek"),OR($J248="",$J248="Nevztahuje se")),"Doplnit charakter (osobní / pracovní). ","")&amp;IF(AND($W248="Schváleno",$AE248&gt;0),"Schváleno, ale má otevřené připomínky. ","")&amp;IF(AND($AA248="Publikováno",$AF248=0),"Publikováno bez záznamu v listu Publikace. ","")&amp;IF(AND($C248&lt;&gt;"",$D248=""),"Chybí číslo dílu série. ","")&amp;IF(AND($E248&lt;&gt;"",$W248&lt;&gt;"Schváleno",$W248&lt;&gt;"Odloženo",$W248&lt;&gt;"Zrušeno",IFERROR(VLOOKUP($E248,Nastavení!$A$30:$G$53,3,FALSE()),0)&gt;0,IFERROR(VLOOKUP($E248,Nastavení!$A$30:$G$53,3,FALSE()),0)&lt;TODAY()),"Neschváleno po termínu cyklu. ","")))</f>
        <v/>
      </c>
    </row>
    <row r="249" spans="1:35" x14ac:dyDescent="0.2">
      <c r="A249" s="35"/>
      <c r="B249" s="11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11"/>
      <c r="N249" s="11"/>
      <c r="O249" s="11"/>
      <c r="P249" s="11"/>
      <c r="Q249" s="11"/>
      <c r="R249" s="11"/>
      <c r="S249" s="11"/>
      <c r="T249" s="35"/>
      <c r="U249" s="36"/>
      <c r="V249" s="11"/>
      <c r="W249" s="35"/>
      <c r="X249" s="35"/>
      <c r="Y249" s="36"/>
      <c r="Z249" s="11"/>
      <c r="AA249" s="35"/>
      <c r="AB249" s="36"/>
      <c r="AC249" s="35"/>
      <c r="AD249" s="35"/>
      <c r="AE249" s="37" t="str">
        <f>IF($A249="","",COUNTIFS(Připomínky!$A$4:$A$503,$A249,Připomínky!$J$4:$J$503,"Nevyřešeno"))</f>
        <v/>
      </c>
      <c r="AF249" s="37" t="str">
        <f>IF($A249="","",COUNTIFS(Publikace!$A$4:$A$503,$A249))</f>
        <v/>
      </c>
      <c r="AG249" s="38" t="str">
        <f>IF($A249="","",IF(AF249=0,"",_xlfn.MINIFS(Publikace!$E$4:$E$503,Publikace!$A$4:$A$503,$A249)))</f>
        <v/>
      </c>
      <c r="AH249" s="37" t="str">
        <f t="shared" si="3"/>
        <v/>
      </c>
      <c r="AI249" s="39" t="str">
        <f ca="1">IF($A249="","",TRIM(IF(AND($U249&lt;&gt;"",$U249&lt;TODAY(),$W249&lt;&gt;"Schváleno",$W249&lt;&gt;"Odloženo",$W249&lt;&gt;"Zrušeno"),"Po termínu odevzdání. ","")&amp;IF(AND($W249="Schváleno",OR($X249="",$Y249="")),"Schváleno bez jména / data. ","")&amp;IF(OR($G249="",$H249="",$I249="",$F249=""),"Chybí zařazení (kategorie, typ, profil nebo měsíc). ","")&amp;IF(AND(OR($I249="Honza",$I249="Radek"),OR($J249="",$J249="Nevztahuje se")),"Doplnit charakter (osobní / pracovní). ","")&amp;IF(AND($W249="Schváleno",$AE249&gt;0),"Schváleno, ale má otevřené připomínky. ","")&amp;IF(AND($AA249="Publikováno",$AF249=0),"Publikováno bez záznamu v listu Publikace. ","")&amp;IF(AND($C249&lt;&gt;"",$D249=""),"Chybí číslo dílu série. ","")&amp;IF(AND($E249&lt;&gt;"",$W249&lt;&gt;"Schváleno",$W249&lt;&gt;"Odloženo",$W249&lt;&gt;"Zrušeno",IFERROR(VLOOKUP($E249,Nastavení!$A$30:$G$53,3,FALSE()),0)&gt;0,IFERROR(VLOOKUP($E249,Nastavení!$A$30:$G$53,3,FALSE()),0)&lt;TODAY()),"Neschváleno po termínu cyklu. ","")))</f>
        <v/>
      </c>
    </row>
    <row r="250" spans="1:35" x14ac:dyDescent="0.2">
      <c r="A250" s="35"/>
      <c r="B250" s="11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11"/>
      <c r="N250" s="11"/>
      <c r="O250" s="11"/>
      <c r="P250" s="11"/>
      <c r="Q250" s="11"/>
      <c r="R250" s="11"/>
      <c r="S250" s="11"/>
      <c r="T250" s="35"/>
      <c r="U250" s="36"/>
      <c r="V250" s="11"/>
      <c r="W250" s="35"/>
      <c r="X250" s="35"/>
      <c r="Y250" s="36"/>
      <c r="Z250" s="11"/>
      <c r="AA250" s="35"/>
      <c r="AB250" s="36"/>
      <c r="AC250" s="35"/>
      <c r="AD250" s="35"/>
      <c r="AE250" s="37" t="str">
        <f>IF($A250="","",COUNTIFS(Připomínky!$A$4:$A$503,$A250,Připomínky!$J$4:$J$503,"Nevyřešeno"))</f>
        <v/>
      </c>
      <c r="AF250" s="37" t="str">
        <f>IF($A250="","",COUNTIFS(Publikace!$A$4:$A$503,$A250))</f>
        <v/>
      </c>
      <c r="AG250" s="38" t="str">
        <f>IF($A250="","",IF(AF250=0,"",_xlfn.MINIFS(Publikace!$E$4:$E$503,Publikace!$A$4:$A$503,$A250)))</f>
        <v/>
      </c>
      <c r="AH250" s="37" t="str">
        <f t="shared" si="3"/>
        <v/>
      </c>
      <c r="AI250" s="39" t="str">
        <f ca="1">IF($A250="","",TRIM(IF(AND($U250&lt;&gt;"",$U250&lt;TODAY(),$W250&lt;&gt;"Schváleno",$W250&lt;&gt;"Odloženo",$W250&lt;&gt;"Zrušeno"),"Po termínu odevzdání. ","")&amp;IF(AND($W250="Schváleno",OR($X250="",$Y250="")),"Schváleno bez jména / data. ","")&amp;IF(OR($G250="",$H250="",$I250="",$F250=""),"Chybí zařazení (kategorie, typ, profil nebo měsíc). ","")&amp;IF(AND(OR($I250="Honza",$I250="Radek"),OR($J250="",$J250="Nevztahuje se")),"Doplnit charakter (osobní / pracovní). ","")&amp;IF(AND($W250="Schváleno",$AE250&gt;0),"Schváleno, ale má otevřené připomínky. ","")&amp;IF(AND($AA250="Publikováno",$AF250=0),"Publikováno bez záznamu v listu Publikace. ","")&amp;IF(AND($C250&lt;&gt;"",$D250=""),"Chybí číslo dílu série. ","")&amp;IF(AND($E250&lt;&gt;"",$W250&lt;&gt;"Schváleno",$W250&lt;&gt;"Odloženo",$W250&lt;&gt;"Zrušeno",IFERROR(VLOOKUP($E250,Nastavení!$A$30:$G$53,3,FALSE()),0)&gt;0,IFERROR(VLOOKUP($E250,Nastavení!$A$30:$G$53,3,FALSE()),0)&lt;TODAY()),"Neschváleno po termínu cyklu. ","")))</f>
        <v/>
      </c>
    </row>
    <row r="251" spans="1:35" x14ac:dyDescent="0.2">
      <c r="A251" s="35"/>
      <c r="B251" s="11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11"/>
      <c r="N251" s="11"/>
      <c r="O251" s="11"/>
      <c r="P251" s="11"/>
      <c r="Q251" s="11"/>
      <c r="R251" s="11"/>
      <c r="S251" s="11"/>
      <c r="T251" s="35"/>
      <c r="U251" s="36"/>
      <c r="V251" s="11"/>
      <c r="W251" s="35"/>
      <c r="X251" s="35"/>
      <c r="Y251" s="36"/>
      <c r="Z251" s="11"/>
      <c r="AA251" s="35"/>
      <c r="AB251" s="36"/>
      <c r="AC251" s="35"/>
      <c r="AD251" s="35"/>
      <c r="AE251" s="37" t="str">
        <f>IF($A251="","",COUNTIFS(Připomínky!$A$4:$A$503,$A251,Připomínky!$J$4:$J$503,"Nevyřešeno"))</f>
        <v/>
      </c>
      <c r="AF251" s="37" t="str">
        <f>IF($A251="","",COUNTIFS(Publikace!$A$4:$A$503,$A251))</f>
        <v/>
      </c>
      <c r="AG251" s="38" t="str">
        <f>IF($A251="","",IF(AF251=0,"",_xlfn.MINIFS(Publikace!$E$4:$E$503,Publikace!$A$4:$A$503,$A251)))</f>
        <v/>
      </c>
      <c r="AH251" s="37" t="str">
        <f t="shared" si="3"/>
        <v/>
      </c>
      <c r="AI251" s="39" t="str">
        <f ca="1">IF($A251="","",TRIM(IF(AND($U251&lt;&gt;"",$U251&lt;TODAY(),$W251&lt;&gt;"Schváleno",$W251&lt;&gt;"Odloženo",$W251&lt;&gt;"Zrušeno"),"Po termínu odevzdání. ","")&amp;IF(AND($W251="Schváleno",OR($X251="",$Y251="")),"Schváleno bez jména / data. ","")&amp;IF(OR($G251="",$H251="",$I251="",$F251=""),"Chybí zařazení (kategorie, typ, profil nebo měsíc). ","")&amp;IF(AND(OR($I251="Honza",$I251="Radek"),OR($J251="",$J251="Nevztahuje se")),"Doplnit charakter (osobní / pracovní). ","")&amp;IF(AND($W251="Schváleno",$AE251&gt;0),"Schváleno, ale má otevřené připomínky. ","")&amp;IF(AND($AA251="Publikováno",$AF251=0),"Publikováno bez záznamu v listu Publikace. ","")&amp;IF(AND($C251&lt;&gt;"",$D251=""),"Chybí číslo dílu série. ","")&amp;IF(AND($E251&lt;&gt;"",$W251&lt;&gt;"Schváleno",$W251&lt;&gt;"Odloženo",$W251&lt;&gt;"Zrušeno",IFERROR(VLOOKUP($E251,Nastavení!$A$30:$G$53,3,FALSE()),0)&gt;0,IFERROR(VLOOKUP($E251,Nastavení!$A$30:$G$53,3,FALSE()),0)&lt;TODAY()),"Neschváleno po termínu cyklu. ","")))</f>
        <v/>
      </c>
    </row>
    <row r="252" spans="1:35" x14ac:dyDescent="0.2">
      <c r="A252" s="35"/>
      <c r="B252" s="11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11"/>
      <c r="N252" s="11"/>
      <c r="O252" s="11"/>
      <c r="P252" s="11"/>
      <c r="Q252" s="11"/>
      <c r="R252" s="11"/>
      <c r="S252" s="11"/>
      <c r="T252" s="35"/>
      <c r="U252" s="36"/>
      <c r="V252" s="11"/>
      <c r="W252" s="35"/>
      <c r="X252" s="35"/>
      <c r="Y252" s="36"/>
      <c r="Z252" s="11"/>
      <c r="AA252" s="35"/>
      <c r="AB252" s="36"/>
      <c r="AC252" s="35"/>
      <c r="AD252" s="35"/>
      <c r="AE252" s="37" t="str">
        <f>IF($A252="","",COUNTIFS(Připomínky!$A$4:$A$503,$A252,Připomínky!$J$4:$J$503,"Nevyřešeno"))</f>
        <v/>
      </c>
      <c r="AF252" s="37" t="str">
        <f>IF($A252="","",COUNTIFS(Publikace!$A$4:$A$503,$A252))</f>
        <v/>
      </c>
      <c r="AG252" s="38" t="str">
        <f>IF($A252="","",IF(AF252=0,"",_xlfn.MINIFS(Publikace!$E$4:$E$503,Publikace!$A$4:$A$503,$A252)))</f>
        <v/>
      </c>
      <c r="AH252" s="37" t="str">
        <f t="shared" si="3"/>
        <v/>
      </c>
      <c r="AI252" s="39" t="str">
        <f ca="1">IF($A252="","",TRIM(IF(AND($U252&lt;&gt;"",$U252&lt;TODAY(),$W252&lt;&gt;"Schváleno",$W252&lt;&gt;"Odloženo",$W252&lt;&gt;"Zrušeno"),"Po termínu odevzdání. ","")&amp;IF(AND($W252="Schváleno",OR($X252="",$Y252="")),"Schváleno bez jména / data. ","")&amp;IF(OR($G252="",$H252="",$I252="",$F252=""),"Chybí zařazení (kategorie, typ, profil nebo měsíc). ","")&amp;IF(AND(OR($I252="Honza",$I252="Radek"),OR($J252="",$J252="Nevztahuje se")),"Doplnit charakter (osobní / pracovní). ","")&amp;IF(AND($W252="Schváleno",$AE252&gt;0),"Schváleno, ale má otevřené připomínky. ","")&amp;IF(AND($AA252="Publikováno",$AF252=0),"Publikováno bez záznamu v listu Publikace. ","")&amp;IF(AND($C252&lt;&gt;"",$D252=""),"Chybí číslo dílu série. ","")&amp;IF(AND($E252&lt;&gt;"",$W252&lt;&gt;"Schváleno",$W252&lt;&gt;"Odloženo",$W252&lt;&gt;"Zrušeno",IFERROR(VLOOKUP($E252,Nastavení!$A$30:$G$53,3,FALSE()),0)&gt;0,IFERROR(VLOOKUP($E252,Nastavení!$A$30:$G$53,3,FALSE()),0)&lt;TODAY()),"Neschváleno po termínu cyklu. ","")))</f>
        <v/>
      </c>
    </row>
    <row r="253" spans="1:35" x14ac:dyDescent="0.2">
      <c r="A253" s="35"/>
      <c r="B253" s="11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11"/>
      <c r="N253" s="11"/>
      <c r="O253" s="11"/>
      <c r="P253" s="11"/>
      <c r="Q253" s="11"/>
      <c r="R253" s="11"/>
      <c r="S253" s="11"/>
      <c r="T253" s="35"/>
      <c r="U253" s="36"/>
      <c r="V253" s="11"/>
      <c r="W253" s="35"/>
      <c r="X253" s="35"/>
      <c r="Y253" s="36"/>
      <c r="Z253" s="11"/>
      <c r="AA253" s="35"/>
      <c r="AB253" s="36"/>
      <c r="AC253" s="35"/>
      <c r="AD253" s="35"/>
      <c r="AE253" s="37" t="str">
        <f>IF($A253="","",COUNTIFS(Připomínky!$A$4:$A$503,$A253,Připomínky!$J$4:$J$503,"Nevyřešeno"))</f>
        <v/>
      </c>
      <c r="AF253" s="37" t="str">
        <f>IF($A253="","",COUNTIFS(Publikace!$A$4:$A$503,$A253))</f>
        <v/>
      </c>
      <c r="AG253" s="38" t="str">
        <f>IF($A253="","",IF(AF253=0,"",_xlfn.MINIFS(Publikace!$E$4:$E$503,Publikace!$A$4:$A$503,$A253)))</f>
        <v/>
      </c>
      <c r="AH253" s="37" t="str">
        <f t="shared" si="3"/>
        <v/>
      </c>
      <c r="AI253" s="39" t="str">
        <f ca="1">IF($A253="","",TRIM(IF(AND($U253&lt;&gt;"",$U253&lt;TODAY(),$W253&lt;&gt;"Schváleno",$W253&lt;&gt;"Odloženo",$W253&lt;&gt;"Zrušeno"),"Po termínu odevzdání. ","")&amp;IF(AND($W253="Schváleno",OR($X253="",$Y253="")),"Schváleno bez jména / data. ","")&amp;IF(OR($G253="",$H253="",$I253="",$F253=""),"Chybí zařazení (kategorie, typ, profil nebo měsíc). ","")&amp;IF(AND(OR($I253="Honza",$I253="Radek"),OR($J253="",$J253="Nevztahuje se")),"Doplnit charakter (osobní / pracovní). ","")&amp;IF(AND($W253="Schváleno",$AE253&gt;0),"Schváleno, ale má otevřené připomínky. ","")&amp;IF(AND($AA253="Publikováno",$AF253=0),"Publikováno bez záznamu v listu Publikace. ","")&amp;IF(AND($C253&lt;&gt;"",$D253=""),"Chybí číslo dílu série. ","")&amp;IF(AND($E253&lt;&gt;"",$W253&lt;&gt;"Schváleno",$W253&lt;&gt;"Odloženo",$W253&lt;&gt;"Zrušeno",IFERROR(VLOOKUP($E253,Nastavení!$A$30:$G$53,3,FALSE()),0)&gt;0,IFERROR(VLOOKUP($E253,Nastavení!$A$30:$G$53,3,FALSE()),0)&lt;TODAY()),"Neschváleno po termínu cyklu. ","")))</f>
        <v/>
      </c>
    </row>
    <row r="254" spans="1:35" x14ac:dyDescent="0.2">
      <c r="A254" s="35"/>
      <c r="B254" s="11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11"/>
      <c r="N254" s="11"/>
      <c r="O254" s="11"/>
      <c r="P254" s="11"/>
      <c r="Q254" s="11"/>
      <c r="R254" s="11"/>
      <c r="S254" s="11"/>
      <c r="T254" s="35"/>
      <c r="U254" s="36"/>
      <c r="V254" s="11"/>
      <c r="W254" s="35"/>
      <c r="X254" s="35"/>
      <c r="Y254" s="36"/>
      <c r="Z254" s="11"/>
      <c r="AA254" s="35"/>
      <c r="AB254" s="36"/>
      <c r="AC254" s="35"/>
      <c r="AD254" s="35"/>
      <c r="AE254" s="37" t="str">
        <f>IF($A254="","",COUNTIFS(Připomínky!$A$4:$A$503,$A254,Připomínky!$J$4:$J$503,"Nevyřešeno"))</f>
        <v/>
      </c>
      <c r="AF254" s="37" t="str">
        <f>IF($A254="","",COUNTIFS(Publikace!$A$4:$A$503,$A254))</f>
        <v/>
      </c>
      <c r="AG254" s="38" t="str">
        <f>IF($A254="","",IF(AF254=0,"",_xlfn.MINIFS(Publikace!$E$4:$E$503,Publikace!$A$4:$A$503,$A254)))</f>
        <v/>
      </c>
      <c r="AH254" s="37" t="str">
        <f t="shared" si="3"/>
        <v/>
      </c>
      <c r="AI254" s="39" t="str">
        <f ca="1">IF($A254="","",TRIM(IF(AND($U254&lt;&gt;"",$U254&lt;TODAY(),$W254&lt;&gt;"Schváleno",$W254&lt;&gt;"Odloženo",$W254&lt;&gt;"Zrušeno"),"Po termínu odevzdání. ","")&amp;IF(AND($W254="Schváleno",OR($X254="",$Y254="")),"Schváleno bez jména / data. ","")&amp;IF(OR($G254="",$H254="",$I254="",$F254=""),"Chybí zařazení (kategorie, typ, profil nebo měsíc). ","")&amp;IF(AND(OR($I254="Honza",$I254="Radek"),OR($J254="",$J254="Nevztahuje se")),"Doplnit charakter (osobní / pracovní). ","")&amp;IF(AND($W254="Schváleno",$AE254&gt;0),"Schváleno, ale má otevřené připomínky. ","")&amp;IF(AND($AA254="Publikováno",$AF254=0),"Publikováno bez záznamu v listu Publikace. ","")&amp;IF(AND($C254&lt;&gt;"",$D254=""),"Chybí číslo dílu série. ","")&amp;IF(AND($E254&lt;&gt;"",$W254&lt;&gt;"Schváleno",$W254&lt;&gt;"Odloženo",$W254&lt;&gt;"Zrušeno",IFERROR(VLOOKUP($E254,Nastavení!$A$30:$G$53,3,FALSE()),0)&gt;0,IFERROR(VLOOKUP($E254,Nastavení!$A$30:$G$53,3,FALSE()),0)&lt;TODAY()),"Neschváleno po termínu cyklu. ","")))</f>
        <v/>
      </c>
    </row>
    <row r="255" spans="1:35" x14ac:dyDescent="0.2">
      <c r="A255" s="35"/>
      <c r="B255" s="11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11"/>
      <c r="N255" s="11"/>
      <c r="O255" s="11"/>
      <c r="P255" s="11"/>
      <c r="Q255" s="11"/>
      <c r="R255" s="11"/>
      <c r="S255" s="11"/>
      <c r="T255" s="35"/>
      <c r="U255" s="36"/>
      <c r="V255" s="11"/>
      <c r="W255" s="35"/>
      <c r="X255" s="35"/>
      <c r="Y255" s="36"/>
      <c r="Z255" s="11"/>
      <c r="AA255" s="35"/>
      <c r="AB255" s="36"/>
      <c r="AC255" s="35"/>
      <c r="AD255" s="35"/>
      <c r="AE255" s="37" t="str">
        <f>IF($A255="","",COUNTIFS(Připomínky!$A$4:$A$503,$A255,Připomínky!$J$4:$J$503,"Nevyřešeno"))</f>
        <v/>
      </c>
      <c r="AF255" s="37" t="str">
        <f>IF($A255="","",COUNTIFS(Publikace!$A$4:$A$503,$A255))</f>
        <v/>
      </c>
      <c r="AG255" s="38" t="str">
        <f>IF($A255="","",IF(AF255=0,"",_xlfn.MINIFS(Publikace!$E$4:$E$503,Publikace!$A$4:$A$503,$A255)))</f>
        <v/>
      </c>
      <c r="AH255" s="37" t="str">
        <f t="shared" si="3"/>
        <v/>
      </c>
      <c r="AI255" s="39" t="str">
        <f ca="1">IF($A255="","",TRIM(IF(AND($U255&lt;&gt;"",$U255&lt;TODAY(),$W255&lt;&gt;"Schváleno",$W255&lt;&gt;"Odloženo",$W255&lt;&gt;"Zrušeno"),"Po termínu odevzdání. ","")&amp;IF(AND($W255="Schváleno",OR($X255="",$Y255="")),"Schváleno bez jména / data. ","")&amp;IF(OR($G255="",$H255="",$I255="",$F255=""),"Chybí zařazení (kategorie, typ, profil nebo měsíc). ","")&amp;IF(AND(OR($I255="Honza",$I255="Radek"),OR($J255="",$J255="Nevztahuje se")),"Doplnit charakter (osobní / pracovní). ","")&amp;IF(AND($W255="Schváleno",$AE255&gt;0),"Schváleno, ale má otevřené připomínky. ","")&amp;IF(AND($AA255="Publikováno",$AF255=0),"Publikováno bez záznamu v listu Publikace. ","")&amp;IF(AND($C255&lt;&gt;"",$D255=""),"Chybí číslo dílu série. ","")&amp;IF(AND($E255&lt;&gt;"",$W255&lt;&gt;"Schváleno",$W255&lt;&gt;"Odloženo",$W255&lt;&gt;"Zrušeno",IFERROR(VLOOKUP($E255,Nastavení!$A$30:$G$53,3,FALSE()),0)&gt;0,IFERROR(VLOOKUP($E255,Nastavení!$A$30:$G$53,3,FALSE()),0)&lt;TODAY()),"Neschváleno po termínu cyklu. ","")))</f>
        <v/>
      </c>
    </row>
    <row r="256" spans="1:35" x14ac:dyDescent="0.2">
      <c r="A256" s="35"/>
      <c r="B256" s="11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11"/>
      <c r="N256" s="11"/>
      <c r="O256" s="11"/>
      <c r="P256" s="11"/>
      <c r="Q256" s="11"/>
      <c r="R256" s="11"/>
      <c r="S256" s="11"/>
      <c r="T256" s="35"/>
      <c r="U256" s="36"/>
      <c r="V256" s="11"/>
      <c r="W256" s="35"/>
      <c r="X256" s="35"/>
      <c r="Y256" s="36"/>
      <c r="Z256" s="11"/>
      <c r="AA256" s="35"/>
      <c r="AB256" s="36"/>
      <c r="AC256" s="35"/>
      <c r="AD256" s="35"/>
      <c r="AE256" s="37" t="str">
        <f>IF($A256="","",COUNTIFS(Připomínky!$A$4:$A$503,$A256,Připomínky!$J$4:$J$503,"Nevyřešeno"))</f>
        <v/>
      </c>
      <c r="AF256" s="37" t="str">
        <f>IF($A256="","",COUNTIFS(Publikace!$A$4:$A$503,$A256))</f>
        <v/>
      </c>
      <c r="AG256" s="38" t="str">
        <f>IF($A256="","",IF(AF256=0,"",_xlfn.MINIFS(Publikace!$E$4:$E$503,Publikace!$A$4:$A$503,$A256)))</f>
        <v/>
      </c>
      <c r="AH256" s="37" t="str">
        <f t="shared" si="3"/>
        <v/>
      </c>
      <c r="AI256" s="39" t="str">
        <f ca="1">IF($A256="","",TRIM(IF(AND($U256&lt;&gt;"",$U256&lt;TODAY(),$W256&lt;&gt;"Schváleno",$W256&lt;&gt;"Odloženo",$W256&lt;&gt;"Zrušeno"),"Po termínu odevzdání. ","")&amp;IF(AND($W256="Schváleno",OR($X256="",$Y256="")),"Schváleno bez jména / data. ","")&amp;IF(OR($G256="",$H256="",$I256="",$F256=""),"Chybí zařazení (kategorie, typ, profil nebo měsíc). ","")&amp;IF(AND(OR($I256="Honza",$I256="Radek"),OR($J256="",$J256="Nevztahuje se")),"Doplnit charakter (osobní / pracovní). ","")&amp;IF(AND($W256="Schváleno",$AE256&gt;0),"Schváleno, ale má otevřené připomínky. ","")&amp;IF(AND($AA256="Publikováno",$AF256=0),"Publikováno bez záznamu v listu Publikace. ","")&amp;IF(AND($C256&lt;&gt;"",$D256=""),"Chybí číslo dílu série. ","")&amp;IF(AND($E256&lt;&gt;"",$W256&lt;&gt;"Schváleno",$W256&lt;&gt;"Odloženo",$W256&lt;&gt;"Zrušeno",IFERROR(VLOOKUP($E256,Nastavení!$A$30:$G$53,3,FALSE()),0)&gt;0,IFERROR(VLOOKUP($E256,Nastavení!$A$30:$G$53,3,FALSE()),0)&lt;TODAY()),"Neschváleno po termínu cyklu. ","")))</f>
        <v/>
      </c>
    </row>
    <row r="257" spans="1:35" x14ac:dyDescent="0.2">
      <c r="A257" s="35"/>
      <c r="B257" s="11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11"/>
      <c r="N257" s="11"/>
      <c r="O257" s="11"/>
      <c r="P257" s="11"/>
      <c r="Q257" s="11"/>
      <c r="R257" s="11"/>
      <c r="S257" s="11"/>
      <c r="T257" s="35"/>
      <c r="U257" s="36"/>
      <c r="V257" s="11"/>
      <c r="W257" s="35"/>
      <c r="X257" s="35"/>
      <c r="Y257" s="36"/>
      <c r="Z257" s="11"/>
      <c r="AA257" s="35"/>
      <c r="AB257" s="36"/>
      <c r="AC257" s="35"/>
      <c r="AD257" s="35"/>
      <c r="AE257" s="37" t="str">
        <f>IF($A257="","",COUNTIFS(Připomínky!$A$4:$A$503,$A257,Připomínky!$J$4:$J$503,"Nevyřešeno"))</f>
        <v/>
      </c>
      <c r="AF257" s="37" t="str">
        <f>IF($A257="","",COUNTIFS(Publikace!$A$4:$A$503,$A257))</f>
        <v/>
      </c>
      <c r="AG257" s="38" t="str">
        <f>IF($A257="","",IF(AF257=0,"",_xlfn.MINIFS(Publikace!$E$4:$E$503,Publikace!$A$4:$A$503,$A257)))</f>
        <v/>
      </c>
      <c r="AH257" s="37" t="str">
        <f t="shared" si="3"/>
        <v/>
      </c>
      <c r="AI257" s="39" t="str">
        <f ca="1">IF($A257="","",TRIM(IF(AND($U257&lt;&gt;"",$U257&lt;TODAY(),$W257&lt;&gt;"Schváleno",$W257&lt;&gt;"Odloženo",$W257&lt;&gt;"Zrušeno"),"Po termínu odevzdání. ","")&amp;IF(AND($W257="Schváleno",OR($X257="",$Y257="")),"Schváleno bez jména / data. ","")&amp;IF(OR($G257="",$H257="",$I257="",$F257=""),"Chybí zařazení (kategorie, typ, profil nebo měsíc). ","")&amp;IF(AND(OR($I257="Honza",$I257="Radek"),OR($J257="",$J257="Nevztahuje se")),"Doplnit charakter (osobní / pracovní). ","")&amp;IF(AND($W257="Schváleno",$AE257&gt;0),"Schváleno, ale má otevřené připomínky. ","")&amp;IF(AND($AA257="Publikováno",$AF257=0),"Publikováno bez záznamu v listu Publikace. ","")&amp;IF(AND($C257&lt;&gt;"",$D257=""),"Chybí číslo dílu série. ","")&amp;IF(AND($E257&lt;&gt;"",$W257&lt;&gt;"Schváleno",$W257&lt;&gt;"Odloženo",$W257&lt;&gt;"Zrušeno",IFERROR(VLOOKUP($E257,Nastavení!$A$30:$G$53,3,FALSE()),0)&gt;0,IFERROR(VLOOKUP($E257,Nastavení!$A$30:$G$53,3,FALSE()),0)&lt;TODAY()),"Neschváleno po termínu cyklu. ","")))</f>
        <v/>
      </c>
    </row>
    <row r="258" spans="1:35" x14ac:dyDescent="0.2">
      <c r="A258" s="35"/>
      <c r="B258" s="11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11"/>
      <c r="N258" s="11"/>
      <c r="O258" s="11"/>
      <c r="P258" s="11"/>
      <c r="Q258" s="11"/>
      <c r="R258" s="11"/>
      <c r="S258" s="11"/>
      <c r="T258" s="35"/>
      <c r="U258" s="36"/>
      <c r="V258" s="11"/>
      <c r="W258" s="35"/>
      <c r="X258" s="35"/>
      <c r="Y258" s="36"/>
      <c r="Z258" s="11"/>
      <c r="AA258" s="35"/>
      <c r="AB258" s="36"/>
      <c r="AC258" s="35"/>
      <c r="AD258" s="35"/>
      <c r="AE258" s="37" t="str">
        <f>IF($A258="","",COUNTIFS(Připomínky!$A$4:$A$503,$A258,Připomínky!$J$4:$J$503,"Nevyřešeno"))</f>
        <v/>
      </c>
      <c r="AF258" s="37" t="str">
        <f>IF($A258="","",COUNTIFS(Publikace!$A$4:$A$503,$A258))</f>
        <v/>
      </c>
      <c r="AG258" s="38" t="str">
        <f>IF($A258="","",IF(AF258=0,"",_xlfn.MINIFS(Publikace!$E$4:$E$503,Publikace!$A$4:$A$503,$A258)))</f>
        <v/>
      </c>
      <c r="AH258" s="37" t="str">
        <f t="shared" si="3"/>
        <v/>
      </c>
      <c r="AI258" s="39" t="str">
        <f ca="1">IF($A258="","",TRIM(IF(AND($U258&lt;&gt;"",$U258&lt;TODAY(),$W258&lt;&gt;"Schváleno",$W258&lt;&gt;"Odloženo",$W258&lt;&gt;"Zrušeno"),"Po termínu odevzdání. ","")&amp;IF(AND($W258="Schváleno",OR($X258="",$Y258="")),"Schváleno bez jména / data. ","")&amp;IF(OR($G258="",$H258="",$I258="",$F258=""),"Chybí zařazení (kategorie, typ, profil nebo měsíc). ","")&amp;IF(AND(OR($I258="Honza",$I258="Radek"),OR($J258="",$J258="Nevztahuje se")),"Doplnit charakter (osobní / pracovní). ","")&amp;IF(AND($W258="Schváleno",$AE258&gt;0),"Schváleno, ale má otevřené připomínky. ","")&amp;IF(AND($AA258="Publikováno",$AF258=0),"Publikováno bez záznamu v listu Publikace. ","")&amp;IF(AND($C258&lt;&gt;"",$D258=""),"Chybí číslo dílu série. ","")&amp;IF(AND($E258&lt;&gt;"",$W258&lt;&gt;"Schváleno",$W258&lt;&gt;"Odloženo",$W258&lt;&gt;"Zrušeno",IFERROR(VLOOKUP($E258,Nastavení!$A$30:$G$53,3,FALSE()),0)&gt;0,IFERROR(VLOOKUP($E258,Nastavení!$A$30:$G$53,3,FALSE()),0)&lt;TODAY()),"Neschváleno po termínu cyklu. ","")))</f>
        <v/>
      </c>
    </row>
    <row r="259" spans="1:35" x14ac:dyDescent="0.2">
      <c r="A259" s="35"/>
      <c r="B259" s="11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11"/>
      <c r="N259" s="11"/>
      <c r="O259" s="11"/>
      <c r="P259" s="11"/>
      <c r="Q259" s="11"/>
      <c r="R259" s="11"/>
      <c r="S259" s="11"/>
      <c r="T259" s="35"/>
      <c r="U259" s="36"/>
      <c r="V259" s="11"/>
      <c r="W259" s="35"/>
      <c r="X259" s="35"/>
      <c r="Y259" s="36"/>
      <c r="Z259" s="11"/>
      <c r="AA259" s="35"/>
      <c r="AB259" s="36"/>
      <c r="AC259" s="35"/>
      <c r="AD259" s="35"/>
      <c r="AE259" s="37" t="str">
        <f>IF($A259="","",COUNTIFS(Připomínky!$A$4:$A$503,$A259,Připomínky!$J$4:$J$503,"Nevyřešeno"))</f>
        <v/>
      </c>
      <c r="AF259" s="37" t="str">
        <f>IF($A259="","",COUNTIFS(Publikace!$A$4:$A$503,$A259))</f>
        <v/>
      </c>
      <c r="AG259" s="38" t="str">
        <f>IF($A259="","",IF(AF259=0,"",_xlfn.MINIFS(Publikace!$E$4:$E$503,Publikace!$A$4:$A$503,$A259)))</f>
        <v/>
      </c>
      <c r="AH259" s="37" t="str">
        <f t="shared" si="3"/>
        <v/>
      </c>
      <c r="AI259" s="39" t="str">
        <f ca="1">IF($A259="","",TRIM(IF(AND($U259&lt;&gt;"",$U259&lt;TODAY(),$W259&lt;&gt;"Schváleno",$W259&lt;&gt;"Odloženo",$W259&lt;&gt;"Zrušeno"),"Po termínu odevzdání. ","")&amp;IF(AND($W259="Schváleno",OR($X259="",$Y259="")),"Schváleno bez jména / data. ","")&amp;IF(OR($G259="",$H259="",$I259="",$F259=""),"Chybí zařazení (kategorie, typ, profil nebo měsíc). ","")&amp;IF(AND(OR($I259="Honza",$I259="Radek"),OR($J259="",$J259="Nevztahuje se")),"Doplnit charakter (osobní / pracovní). ","")&amp;IF(AND($W259="Schváleno",$AE259&gt;0),"Schváleno, ale má otevřené připomínky. ","")&amp;IF(AND($AA259="Publikováno",$AF259=0),"Publikováno bez záznamu v listu Publikace. ","")&amp;IF(AND($C259&lt;&gt;"",$D259=""),"Chybí číslo dílu série. ","")&amp;IF(AND($E259&lt;&gt;"",$W259&lt;&gt;"Schváleno",$W259&lt;&gt;"Odloženo",$W259&lt;&gt;"Zrušeno",IFERROR(VLOOKUP($E259,Nastavení!$A$30:$G$53,3,FALSE()),0)&gt;0,IFERROR(VLOOKUP($E259,Nastavení!$A$30:$G$53,3,FALSE()),0)&lt;TODAY()),"Neschváleno po termínu cyklu. ","")))</f>
        <v/>
      </c>
    </row>
    <row r="260" spans="1:35" x14ac:dyDescent="0.2">
      <c r="A260" s="35"/>
      <c r="B260" s="11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11"/>
      <c r="N260" s="11"/>
      <c r="O260" s="11"/>
      <c r="P260" s="11"/>
      <c r="Q260" s="11"/>
      <c r="R260" s="11"/>
      <c r="S260" s="11"/>
      <c r="T260" s="35"/>
      <c r="U260" s="36"/>
      <c r="V260" s="11"/>
      <c r="W260" s="35"/>
      <c r="X260" s="35"/>
      <c r="Y260" s="36"/>
      <c r="Z260" s="11"/>
      <c r="AA260" s="35"/>
      <c r="AB260" s="36"/>
      <c r="AC260" s="35"/>
      <c r="AD260" s="35"/>
      <c r="AE260" s="37" t="str">
        <f>IF($A260="","",COUNTIFS(Připomínky!$A$4:$A$503,$A260,Připomínky!$J$4:$J$503,"Nevyřešeno"))</f>
        <v/>
      </c>
      <c r="AF260" s="37" t="str">
        <f>IF($A260="","",COUNTIFS(Publikace!$A$4:$A$503,$A260))</f>
        <v/>
      </c>
      <c r="AG260" s="38" t="str">
        <f>IF($A260="","",IF(AF260=0,"",_xlfn.MINIFS(Publikace!$E$4:$E$503,Publikace!$A$4:$A$503,$A260)))</f>
        <v/>
      </c>
      <c r="AH260" s="37" t="str">
        <f t="shared" ref="AH260:AH323" si="4">IF(AG260="","",YEAR(AG260)&amp;"-"&amp;TEXT(MONTH(AG260),"00"))</f>
        <v/>
      </c>
      <c r="AI260" s="39" t="str">
        <f ca="1">IF($A260="","",TRIM(IF(AND($U260&lt;&gt;"",$U260&lt;TODAY(),$W260&lt;&gt;"Schváleno",$W260&lt;&gt;"Odloženo",$W260&lt;&gt;"Zrušeno"),"Po termínu odevzdání. ","")&amp;IF(AND($W260="Schváleno",OR($X260="",$Y260="")),"Schváleno bez jména / data. ","")&amp;IF(OR($G260="",$H260="",$I260="",$F260=""),"Chybí zařazení (kategorie, typ, profil nebo měsíc). ","")&amp;IF(AND(OR($I260="Honza",$I260="Radek"),OR($J260="",$J260="Nevztahuje se")),"Doplnit charakter (osobní / pracovní). ","")&amp;IF(AND($W260="Schváleno",$AE260&gt;0),"Schváleno, ale má otevřené připomínky. ","")&amp;IF(AND($AA260="Publikováno",$AF260=0),"Publikováno bez záznamu v listu Publikace. ","")&amp;IF(AND($C260&lt;&gt;"",$D260=""),"Chybí číslo dílu série. ","")&amp;IF(AND($E260&lt;&gt;"",$W260&lt;&gt;"Schváleno",$W260&lt;&gt;"Odloženo",$W260&lt;&gt;"Zrušeno",IFERROR(VLOOKUP($E260,Nastavení!$A$30:$G$53,3,FALSE()),0)&gt;0,IFERROR(VLOOKUP($E260,Nastavení!$A$30:$G$53,3,FALSE()),0)&lt;TODAY()),"Neschváleno po termínu cyklu. ","")))</f>
        <v/>
      </c>
    </row>
    <row r="261" spans="1:35" x14ac:dyDescent="0.2">
      <c r="A261" s="35"/>
      <c r="B261" s="11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11"/>
      <c r="N261" s="11"/>
      <c r="O261" s="11"/>
      <c r="P261" s="11"/>
      <c r="Q261" s="11"/>
      <c r="R261" s="11"/>
      <c r="S261" s="11"/>
      <c r="T261" s="35"/>
      <c r="U261" s="36"/>
      <c r="V261" s="11"/>
      <c r="W261" s="35"/>
      <c r="X261" s="35"/>
      <c r="Y261" s="36"/>
      <c r="Z261" s="11"/>
      <c r="AA261" s="35"/>
      <c r="AB261" s="36"/>
      <c r="AC261" s="35"/>
      <c r="AD261" s="35"/>
      <c r="AE261" s="37" t="str">
        <f>IF($A261="","",COUNTIFS(Připomínky!$A$4:$A$503,$A261,Připomínky!$J$4:$J$503,"Nevyřešeno"))</f>
        <v/>
      </c>
      <c r="AF261" s="37" t="str">
        <f>IF($A261="","",COUNTIFS(Publikace!$A$4:$A$503,$A261))</f>
        <v/>
      </c>
      <c r="AG261" s="38" t="str">
        <f>IF($A261="","",IF(AF261=0,"",_xlfn.MINIFS(Publikace!$E$4:$E$503,Publikace!$A$4:$A$503,$A261)))</f>
        <v/>
      </c>
      <c r="AH261" s="37" t="str">
        <f t="shared" si="4"/>
        <v/>
      </c>
      <c r="AI261" s="39" t="str">
        <f ca="1">IF($A261="","",TRIM(IF(AND($U261&lt;&gt;"",$U261&lt;TODAY(),$W261&lt;&gt;"Schváleno",$W261&lt;&gt;"Odloženo",$W261&lt;&gt;"Zrušeno"),"Po termínu odevzdání. ","")&amp;IF(AND($W261="Schváleno",OR($X261="",$Y261="")),"Schváleno bez jména / data. ","")&amp;IF(OR($G261="",$H261="",$I261="",$F261=""),"Chybí zařazení (kategorie, typ, profil nebo měsíc). ","")&amp;IF(AND(OR($I261="Honza",$I261="Radek"),OR($J261="",$J261="Nevztahuje se")),"Doplnit charakter (osobní / pracovní). ","")&amp;IF(AND($W261="Schváleno",$AE261&gt;0),"Schváleno, ale má otevřené připomínky. ","")&amp;IF(AND($AA261="Publikováno",$AF261=0),"Publikováno bez záznamu v listu Publikace. ","")&amp;IF(AND($C261&lt;&gt;"",$D261=""),"Chybí číslo dílu série. ","")&amp;IF(AND($E261&lt;&gt;"",$W261&lt;&gt;"Schváleno",$W261&lt;&gt;"Odloženo",$W261&lt;&gt;"Zrušeno",IFERROR(VLOOKUP($E261,Nastavení!$A$30:$G$53,3,FALSE()),0)&gt;0,IFERROR(VLOOKUP($E261,Nastavení!$A$30:$G$53,3,FALSE()),0)&lt;TODAY()),"Neschváleno po termínu cyklu. ","")))</f>
        <v/>
      </c>
    </row>
    <row r="262" spans="1:35" x14ac:dyDescent="0.2">
      <c r="A262" s="35"/>
      <c r="B262" s="11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11"/>
      <c r="N262" s="11"/>
      <c r="O262" s="11"/>
      <c r="P262" s="11"/>
      <c r="Q262" s="11"/>
      <c r="R262" s="11"/>
      <c r="S262" s="11"/>
      <c r="T262" s="35"/>
      <c r="U262" s="36"/>
      <c r="V262" s="11"/>
      <c r="W262" s="35"/>
      <c r="X262" s="35"/>
      <c r="Y262" s="36"/>
      <c r="Z262" s="11"/>
      <c r="AA262" s="35"/>
      <c r="AB262" s="36"/>
      <c r="AC262" s="35"/>
      <c r="AD262" s="35"/>
      <c r="AE262" s="37" t="str">
        <f>IF($A262="","",COUNTIFS(Připomínky!$A$4:$A$503,$A262,Připomínky!$J$4:$J$503,"Nevyřešeno"))</f>
        <v/>
      </c>
      <c r="AF262" s="37" t="str">
        <f>IF($A262="","",COUNTIFS(Publikace!$A$4:$A$503,$A262))</f>
        <v/>
      </c>
      <c r="AG262" s="38" t="str">
        <f>IF($A262="","",IF(AF262=0,"",_xlfn.MINIFS(Publikace!$E$4:$E$503,Publikace!$A$4:$A$503,$A262)))</f>
        <v/>
      </c>
      <c r="AH262" s="37" t="str">
        <f t="shared" si="4"/>
        <v/>
      </c>
      <c r="AI262" s="39" t="str">
        <f ca="1">IF($A262="","",TRIM(IF(AND($U262&lt;&gt;"",$U262&lt;TODAY(),$W262&lt;&gt;"Schváleno",$W262&lt;&gt;"Odloženo",$W262&lt;&gt;"Zrušeno"),"Po termínu odevzdání. ","")&amp;IF(AND($W262="Schváleno",OR($X262="",$Y262="")),"Schváleno bez jména / data. ","")&amp;IF(OR($G262="",$H262="",$I262="",$F262=""),"Chybí zařazení (kategorie, typ, profil nebo měsíc). ","")&amp;IF(AND(OR($I262="Honza",$I262="Radek"),OR($J262="",$J262="Nevztahuje se")),"Doplnit charakter (osobní / pracovní). ","")&amp;IF(AND($W262="Schváleno",$AE262&gt;0),"Schváleno, ale má otevřené připomínky. ","")&amp;IF(AND($AA262="Publikováno",$AF262=0),"Publikováno bez záznamu v listu Publikace. ","")&amp;IF(AND($C262&lt;&gt;"",$D262=""),"Chybí číslo dílu série. ","")&amp;IF(AND($E262&lt;&gt;"",$W262&lt;&gt;"Schváleno",$W262&lt;&gt;"Odloženo",$W262&lt;&gt;"Zrušeno",IFERROR(VLOOKUP($E262,Nastavení!$A$30:$G$53,3,FALSE()),0)&gt;0,IFERROR(VLOOKUP($E262,Nastavení!$A$30:$G$53,3,FALSE()),0)&lt;TODAY()),"Neschváleno po termínu cyklu. ","")))</f>
        <v/>
      </c>
    </row>
    <row r="263" spans="1:35" x14ac:dyDescent="0.2">
      <c r="A263" s="35"/>
      <c r="B263" s="11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11"/>
      <c r="N263" s="11"/>
      <c r="O263" s="11"/>
      <c r="P263" s="11"/>
      <c r="Q263" s="11"/>
      <c r="R263" s="11"/>
      <c r="S263" s="11"/>
      <c r="T263" s="35"/>
      <c r="U263" s="36"/>
      <c r="V263" s="11"/>
      <c r="W263" s="35"/>
      <c r="X263" s="35"/>
      <c r="Y263" s="36"/>
      <c r="Z263" s="11"/>
      <c r="AA263" s="35"/>
      <c r="AB263" s="36"/>
      <c r="AC263" s="35"/>
      <c r="AD263" s="35"/>
      <c r="AE263" s="37" t="str">
        <f>IF($A263="","",COUNTIFS(Připomínky!$A$4:$A$503,$A263,Připomínky!$J$4:$J$503,"Nevyřešeno"))</f>
        <v/>
      </c>
      <c r="AF263" s="37" t="str">
        <f>IF($A263="","",COUNTIFS(Publikace!$A$4:$A$503,$A263))</f>
        <v/>
      </c>
      <c r="AG263" s="38" t="str">
        <f>IF($A263="","",IF(AF263=0,"",_xlfn.MINIFS(Publikace!$E$4:$E$503,Publikace!$A$4:$A$503,$A263)))</f>
        <v/>
      </c>
      <c r="AH263" s="37" t="str">
        <f t="shared" si="4"/>
        <v/>
      </c>
      <c r="AI263" s="39" t="str">
        <f ca="1">IF($A263="","",TRIM(IF(AND($U263&lt;&gt;"",$U263&lt;TODAY(),$W263&lt;&gt;"Schváleno",$W263&lt;&gt;"Odloženo",$W263&lt;&gt;"Zrušeno"),"Po termínu odevzdání. ","")&amp;IF(AND($W263="Schváleno",OR($X263="",$Y263="")),"Schváleno bez jména / data. ","")&amp;IF(OR($G263="",$H263="",$I263="",$F263=""),"Chybí zařazení (kategorie, typ, profil nebo měsíc). ","")&amp;IF(AND(OR($I263="Honza",$I263="Radek"),OR($J263="",$J263="Nevztahuje se")),"Doplnit charakter (osobní / pracovní). ","")&amp;IF(AND($W263="Schváleno",$AE263&gt;0),"Schváleno, ale má otevřené připomínky. ","")&amp;IF(AND($AA263="Publikováno",$AF263=0),"Publikováno bez záznamu v listu Publikace. ","")&amp;IF(AND($C263&lt;&gt;"",$D263=""),"Chybí číslo dílu série. ","")&amp;IF(AND($E263&lt;&gt;"",$W263&lt;&gt;"Schváleno",$W263&lt;&gt;"Odloženo",$W263&lt;&gt;"Zrušeno",IFERROR(VLOOKUP($E263,Nastavení!$A$30:$G$53,3,FALSE()),0)&gt;0,IFERROR(VLOOKUP($E263,Nastavení!$A$30:$G$53,3,FALSE()),0)&lt;TODAY()),"Neschváleno po termínu cyklu. ","")))</f>
        <v/>
      </c>
    </row>
    <row r="264" spans="1:35" x14ac:dyDescent="0.2">
      <c r="A264" s="35"/>
      <c r="B264" s="11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11"/>
      <c r="N264" s="11"/>
      <c r="O264" s="11"/>
      <c r="P264" s="11"/>
      <c r="Q264" s="11"/>
      <c r="R264" s="11"/>
      <c r="S264" s="11"/>
      <c r="T264" s="35"/>
      <c r="U264" s="36"/>
      <c r="V264" s="11"/>
      <c r="W264" s="35"/>
      <c r="X264" s="35"/>
      <c r="Y264" s="36"/>
      <c r="Z264" s="11"/>
      <c r="AA264" s="35"/>
      <c r="AB264" s="36"/>
      <c r="AC264" s="35"/>
      <c r="AD264" s="35"/>
      <c r="AE264" s="37" t="str">
        <f>IF($A264="","",COUNTIFS(Připomínky!$A$4:$A$503,$A264,Připomínky!$J$4:$J$503,"Nevyřešeno"))</f>
        <v/>
      </c>
      <c r="AF264" s="37" t="str">
        <f>IF($A264="","",COUNTIFS(Publikace!$A$4:$A$503,$A264))</f>
        <v/>
      </c>
      <c r="AG264" s="38" t="str">
        <f>IF($A264="","",IF(AF264=0,"",_xlfn.MINIFS(Publikace!$E$4:$E$503,Publikace!$A$4:$A$503,$A264)))</f>
        <v/>
      </c>
      <c r="AH264" s="37" t="str">
        <f t="shared" si="4"/>
        <v/>
      </c>
      <c r="AI264" s="39" t="str">
        <f ca="1">IF($A264="","",TRIM(IF(AND($U264&lt;&gt;"",$U264&lt;TODAY(),$W264&lt;&gt;"Schváleno",$W264&lt;&gt;"Odloženo",$W264&lt;&gt;"Zrušeno"),"Po termínu odevzdání. ","")&amp;IF(AND($W264="Schváleno",OR($X264="",$Y264="")),"Schváleno bez jména / data. ","")&amp;IF(OR($G264="",$H264="",$I264="",$F264=""),"Chybí zařazení (kategorie, typ, profil nebo měsíc). ","")&amp;IF(AND(OR($I264="Honza",$I264="Radek"),OR($J264="",$J264="Nevztahuje se")),"Doplnit charakter (osobní / pracovní). ","")&amp;IF(AND($W264="Schváleno",$AE264&gt;0),"Schváleno, ale má otevřené připomínky. ","")&amp;IF(AND($AA264="Publikováno",$AF264=0),"Publikováno bez záznamu v listu Publikace. ","")&amp;IF(AND($C264&lt;&gt;"",$D264=""),"Chybí číslo dílu série. ","")&amp;IF(AND($E264&lt;&gt;"",$W264&lt;&gt;"Schváleno",$W264&lt;&gt;"Odloženo",$W264&lt;&gt;"Zrušeno",IFERROR(VLOOKUP($E264,Nastavení!$A$30:$G$53,3,FALSE()),0)&gt;0,IFERROR(VLOOKUP($E264,Nastavení!$A$30:$G$53,3,FALSE()),0)&lt;TODAY()),"Neschváleno po termínu cyklu. ","")))</f>
        <v/>
      </c>
    </row>
    <row r="265" spans="1:35" x14ac:dyDescent="0.2">
      <c r="A265" s="35"/>
      <c r="B265" s="11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11"/>
      <c r="N265" s="11"/>
      <c r="O265" s="11"/>
      <c r="P265" s="11"/>
      <c r="Q265" s="11"/>
      <c r="R265" s="11"/>
      <c r="S265" s="11"/>
      <c r="T265" s="35"/>
      <c r="U265" s="36"/>
      <c r="V265" s="11"/>
      <c r="W265" s="35"/>
      <c r="X265" s="35"/>
      <c r="Y265" s="36"/>
      <c r="Z265" s="11"/>
      <c r="AA265" s="35"/>
      <c r="AB265" s="36"/>
      <c r="AC265" s="35"/>
      <c r="AD265" s="35"/>
      <c r="AE265" s="37" t="str">
        <f>IF($A265="","",COUNTIFS(Připomínky!$A$4:$A$503,$A265,Připomínky!$J$4:$J$503,"Nevyřešeno"))</f>
        <v/>
      </c>
      <c r="AF265" s="37" t="str">
        <f>IF($A265="","",COUNTIFS(Publikace!$A$4:$A$503,$A265))</f>
        <v/>
      </c>
      <c r="AG265" s="38" t="str">
        <f>IF($A265="","",IF(AF265=0,"",_xlfn.MINIFS(Publikace!$E$4:$E$503,Publikace!$A$4:$A$503,$A265)))</f>
        <v/>
      </c>
      <c r="AH265" s="37" t="str">
        <f t="shared" si="4"/>
        <v/>
      </c>
      <c r="AI265" s="39" t="str">
        <f ca="1">IF($A265="","",TRIM(IF(AND($U265&lt;&gt;"",$U265&lt;TODAY(),$W265&lt;&gt;"Schváleno",$W265&lt;&gt;"Odloženo",$W265&lt;&gt;"Zrušeno"),"Po termínu odevzdání. ","")&amp;IF(AND($W265="Schváleno",OR($X265="",$Y265="")),"Schváleno bez jména / data. ","")&amp;IF(OR($G265="",$H265="",$I265="",$F265=""),"Chybí zařazení (kategorie, typ, profil nebo měsíc). ","")&amp;IF(AND(OR($I265="Honza",$I265="Radek"),OR($J265="",$J265="Nevztahuje se")),"Doplnit charakter (osobní / pracovní). ","")&amp;IF(AND($W265="Schváleno",$AE265&gt;0),"Schváleno, ale má otevřené připomínky. ","")&amp;IF(AND($AA265="Publikováno",$AF265=0),"Publikováno bez záznamu v listu Publikace. ","")&amp;IF(AND($C265&lt;&gt;"",$D265=""),"Chybí číslo dílu série. ","")&amp;IF(AND($E265&lt;&gt;"",$W265&lt;&gt;"Schváleno",$W265&lt;&gt;"Odloženo",$W265&lt;&gt;"Zrušeno",IFERROR(VLOOKUP($E265,Nastavení!$A$30:$G$53,3,FALSE()),0)&gt;0,IFERROR(VLOOKUP($E265,Nastavení!$A$30:$G$53,3,FALSE()),0)&lt;TODAY()),"Neschváleno po termínu cyklu. ","")))</f>
        <v/>
      </c>
    </row>
    <row r="266" spans="1:35" x14ac:dyDescent="0.2">
      <c r="A266" s="35"/>
      <c r="B266" s="11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11"/>
      <c r="N266" s="11"/>
      <c r="O266" s="11"/>
      <c r="P266" s="11"/>
      <c r="Q266" s="11"/>
      <c r="R266" s="11"/>
      <c r="S266" s="11"/>
      <c r="T266" s="35"/>
      <c r="U266" s="36"/>
      <c r="V266" s="11"/>
      <c r="W266" s="35"/>
      <c r="X266" s="35"/>
      <c r="Y266" s="36"/>
      <c r="Z266" s="11"/>
      <c r="AA266" s="35"/>
      <c r="AB266" s="36"/>
      <c r="AC266" s="35"/>
      <c r="AD266" s="35"/>
      <c r="AE266" s="37" t="str">
        <f>IF($A266="","",COUNTIFS(Připomínky!$A$4:$A$503,$A266,Připomínky!$J$4:$J$503,"Nevyřešeno"))</f>
        <v/>
      </c>
      <c r="AF266" s="37" t="str">
        <f>IF($A266="","",COUNTIFS(Publikace!$A$4:$A$503,$A266))</f>
        <v/>
      </c>
      <c r="AG266" s="38" t="str">
        <f>IF($A266="","",IF(AF266=0,"",_xlfn.MINIFS(Publikace!$E$4:$E$503,Publikace!$A$4:$A$503,$A266)))</f>
        <v/>
      </c>
      <c r="AH266" s="37" t="str">
        <f t="shared" si="4"/>
        <v/>
      </c>
      <c r="AI266" s="39" t="str">
        <f ca="1">IF($A266="","",TRIM(IF(AND($U266&lt;&gt;"",$U266&lt;TODAY(),$W266&lt;&gt;"Schváleno",$W266&lt;&gt;"Odloženo",$W266&lt;&gt;"Zrušeno"),"Po termínu odevzdání. ","")&amp;IF(AND($W266="Schváleno",OR($X266="",$Y266="")),"Schváleno bez jména / data. ","")&amp;IF(OR($G266="",$H266="",$I266="",$F266=""),"Chybí zařazení (kategorie, typ, profil nebo měsíc). ","")&amp;IF(AND(OR($I266="Honza",$I266="Radek"),OR($J266="",$J266="Nevztahuje se")),"Doplnit charakter (osobní / pracovní). ","")&amp;IF(AND($W266="Schváleno",$AE266&gt;0),"Schváleno, ale má otevřené připomínky. ","")&amp;IF(AND($AA266="Publikováno",$AF266=0),"Publikováno bez záznamu v listu Publikace. ","")&amp;IF(AND($C266&lt;&gt;"",$D266=""),"Chybí číslo dílu série. ","")&amp;IF(AND($E266&lt;&gt;"",$W266&lt;&gt;"Schváleno",$W266&lt;&gt;"Odloženo",$W266&lt;&gt;"Zrušeno",IFERROR(VLOOKUP($E266,Nastavení!$A$30:$G$53,3,FALSE()),0)&gt;0,IFERROR(VLOOKUP($E266,Nastavení!$A$30:$G$53,3,FALSE()),0)&lt;TODAY()),"Neschváleno po termínu cyklu. ","")))</f>
        <v/>
      </c>
    </row>
    <row r="267" spans="1:35" x14ac:dyDescent="0.2">
      <c r="A267" s="35"/>
      <c r="B267" s="11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11"/>
      <c r="N267" s="11"/>
      <c r="O267" s="11"/>
      <c r="P267" s="11"/>
      <c r="Q267" s="11"/>
      <c r="R267" s="11"/>
      <c r="S267" s="11"/>
      <c r="T267" s="35"/>
      <c r="U267" s="36"/>
      <c r="V267" s="11"/>
      <c r="W267" s="35"/>
      <c r="X267" s="35"/>
      <c r="Y267" s="36"/>
      <c r="Z267" s="11"/>
      <c r="AA267" s="35"/>
      <c r="AB267" s="36"/>
      <c r="AC267" s="35"/>
      <c r="AD267" s="35"/>
      <c r="AE267" s="37" t="str">
        <f>IF($A267="","",COUNTIFS(Připomínky!$A$4:$A$503,$A267,Připomínky!$J$4:$J$503,"Nevyřešeno"))</f>
        <v/>
      </c>
      <c r="AF267" s="37" t="str">
        <f>IF($A267="","",COUNTIFS(Publikace!$A$4:$A$503,$A267))</f>
        <v/>
      </c>
      <c r="AG267" s="38" t="str">
        <f>IF($A267="","",IF(AF267=0,"",_xlfn.MINIFS(Publikace!$E$4:$E$503,Publikace!$A$4:$A$503,$A267)))</f>
        <v/>
      </c>
      <c r="AH267" s="37" t="str">
        <f t="shared" si="4"/>
        <v/>
      </c>
      <c r="AI267" s="39" t="str">
        <f ca="1">IF($A267="","",TRIM(IF(AND($U267&lt;&gt;"",$U267&lt;TODAY(),$W267&lt;&gt;"Schváleno",$W267&lt;&gt;"Odloženo",$W267&lt;&gt;"Zrušeno"),"Po termínu odevzdání. ","")&amp;IF(AND($W267="Schváleno",OR($X267="",$Y267="")),"Schváleno bez jména / data. ","")&amp;IF(OR($G267="",$H267="",$I267="",$F267=""),"Chybí zařazení (kategorie, typ, profil nebo měsíc). ","")&amp;IF(AND(OR($I267="Honza",$I267="Radek"),OR($J267="",$J267="Nevztahuje se")),"Doplnit charakter (osobní / pracovní). ","")&amp;IF(AND($W267="Schváleno",$AE267&gt;0),"Schváleno, ale má otevřené připomínky. ","")&amp;IF(AND($AA267="Publikováno",$AF267=0),"Publikováno bez záznamu v listu Publikace. ","")&amp;IF(AND($C267&lt;&gt;"",$D267=""),"Chybí číslo dílu série. ","")&amp;IF(AND($E267&lt;&gt;"",$W267&lt;&gt;"Schváleno",$W267&lt;&gt;"Odloženo",$W267&lt;&gt;"Zrušeno",IFERROR(VLOOKUP($E267,Nastavení!$A$30:$G$53,3,FALSE()),0)&gt;0,IFERROR(VLOOKUP($E267,Nastavení!$A$30:$G$53,3,FALSE()),0)&lt;TODAY()),"Neschváleno po termínu cyklu. ","")))</f>
        <v/>
      </c>
    </row>
    <row r="268" spans="1:35" x14ac:dyDescent="0.2">
      <c r="A268" s="35"/>
      <c r="B268" s="11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11"/>
      <c r="N268" s="11"/>
      <c r="O268" s="11"/>
      <c r="P268" s="11"/>
      <c r="Q268" s="11"/>
      <c r="R268" s="11"/>
      <c r="S268" s="11"/>
      <c r="T268" s="35"/>
      <c r="U268" s="36"/>
      <c r="V268" s="11"/>
      <c r="W268" s="35"/>
      <c r="X268" s="35"/>
      <c r="Y268" s="36"/>
      <c r="Z268" s="11"/>
      <c r="AA268" s="35"/>
      <c r="AB268" s="36"/>
      <c r="AC268" s="35"/>
      <c r="AD268" s="35"/>
      <c r="AE268" s="37" t="str">
        <f>IF($A268="","",COUNTIFS(Připomínky!$A$4:$A$503,$A268,Připomínky!$J$4:$J$503,"Nevyřešeno"))</f>
        <v/>
      </c>
      <c r="AF268" s="37" t="str">
        <f>IF($A268="","",COUNTIFS(Publikace!$A$4:$A$503,$A268))</f>
        <v/>
      </c>
      <c r="AG268" s="38" t="str">
        <f>IF($A268="","",IF(AF268=0,"",_xlfn.MINIFS(Publikace!$E$4:$E$503,Publikace!$A$4:$A$503,$A268)))</f>
        <v/>
      </c>
      <c r="AH268" s="37" t="str">
        <f t="shared" si="4"/>
        <v/>
      </c>
      <c r="AI268" s="39" t="str">
        <f ca="1">IF($A268="","",TRIM(IF(AND($U268&lt;&gt;"",$U268&lt;TODAY(),$W268&lt;&gt;"Schváleno",$W268&lt;&gt;"Odloženo",$W268&lt;&gt;"Zrušeno"),"Po termínu odevzdání. ","")&amp;IF(AND($W268="Schváleno",OR($X268="",$Y268="")),"Schváleno bez jména / data. ","")&amp;IF(OR($G268="",$H268="",$I268="",$F268=""),"Chybí zařazení (kategorie, typ, profil nebo měsíc). ","")&amp;IF(AND(OR($I268="Honza",$I268="Radek"),OR($J268="",$J268="Nevztahuje se")),"Doplnit charakter (osobní / pracovní). ","")&amp;IF(AND($W268="Schváleno",$AE268&gt;0),"Schváleno, ale má otevřené připomínky. ","")&amp;IF(AND($AA268="Publikováno",$AF268=0),"Publikováno bez záznamu v listu Publikace. ","")&amp;IF(AND($C268&lt;&gt;"",$D268=""),"Chybí číslo dílu série. ","")&amp;IF(AND($E268&lt;&gt;"",$W268&lt;&gt;"Schváleno",$W268&lt;&gt;"Odloženo",$W268&lt;&gt;"Zrušeno",IFERROR(VLOOKUP($E268,Nastavení!$A$30:$G$53,3,FALSE()),0)&gt;0,IFERROR(VLOOKUP($E268,Nastavení!$A$30:$G$53,3,FALSE()),0)&lt;TODAY()),"Neschváleno po termínu cyklu. ","")))</f>
        <v/>
      </c>
    </row>
    <row r="269" spans="1:35" x14ac:dyDescent="0.2">
      <c r="A269" s="35"/>
      <c r="B269" s="11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11"/>
      <c r="N269" s="11"/>
      <c r="O269" s="11"/>
      <c r="P269" s="11"/>
      <c r="Q269" s="11"/>
      <c r="R269" s="11"/>
      <c r="S269" s="11"/>
      <c r="T269" s="35"/>
      <c r="U269" s="36"/>
      <c r="V269" s="11"/>
      <c r="W269" s="35"/>
      <c r="X269" s="35"/>
      <c r="Y269" s="36"/>
      <c r="Z269" s="11"/>
      <c r="AA269" s="35"/>
      <c r="AB269" s="36"/>
      <c r="AC269" s="35"/>
      <c r="AD269" s="35"/>
      <c r="AE269" s="37" t="str">
        <f>IF($A269="","",COUNTIFS(Připomínky!$A$4:$A$503,$A269,Připomínky!$J$4:$J$503,"Nevyřešeno"))</f>
        <v/>
      </c>
      <c r="AF269" s="37" t="str">
        <f>IF($A269="","",COUNTIFS(Publikace!$A$4:$A$503,$A269))</f>
        <v/>
      </c>
      <c r="AG269" s="38" t="str">
        <f>IF($A269="","",IF(AF269=0,"",_xlfn.MINIFS(Publikace!$E$4:$E$503,Publikace!$A$4:$A$503,$A269)))</f>
        <v/>
      </c>
      <c r="AH269" s="37" t="str">
        <f t="shared" si="4"/>
        <v/>
      </c>
      <c r="AI269" s="39" t="str">
        <f ca="1">IF($A269="","",TRIM(IF(AND($U269&lt;&gt;"",$U269&lt;TODAY(),$W269&lt;&gt;"Schváleno",$W269&lt;&gt;"Odloženo",$W269&lt;&gt;"Zrušeno"),"Po termínu odevzdání. ","")&amp;IF(AND($W269="Schváleno",OR($X269="",$Y269="")),"Schváleno bez jména / data. ","")&amp;IF(OR($G269="",$H269="",$I269="",$F269=""),"Chybí zařazení (kategorie, typ, profil nebo měsíc). ","")&amp;IF(AND(OR($I269="Honza",$I269="Radek"),OR($J269="",$J269="Nevztahuje se")),"Doplnit charakter (osobní / pracovní). ","")&amp;IF(AND($W269="Schváleno",$AE269&gt;0),"Schváleno, ale má otevřené připomínky. ","")&amp;IF(AND($AA269="Publikováno",$AF269=0),"Publikováno bez záznamu v listu Publikace. ","")&amp;IF(AND($C269&lt;&gt;"",$D269=""),"Chybí číslo dílu série. ","")&amp;IF(AND($E269&lt;&gt;"",$W269&lt;&gt;"Schváleno",$W269&lt;&gt;"Odloženo",$W269&lt;&gt;"Zrušeno",IFERROR(VLOOKUP($E269,Nastavení!$A$30:$G$53,3,FALSE()),0)&gt;0,IFERROR(VLOOKUP($E269,Nastavení!$A$30:$G$53,3,FALSE()),0)&lt;TODAY()),"Neschváleno po termínu cyklu. ","")))</f>
        <v/>
      </c>
    </row>
    <row r="270" spans="1:35" x14ac:dyDescent="0.2">
      <c r="A270" s="35"/>
      <c r="B270" s="11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11"/>
      <c r="N270" s="11"/>
      <c r="O270" s="11"/>
      <c r="P270" s="11"/>
      <c r="Q270" s="11"/>
      <c r="R270" s="11"/>
      <c r="S270" s="11"/>
      <c r="T270" s="35"/>
      <c r="U270" s="36"/>
      <c r="V270" s="11"/>
      <c r="W270" s="35"/>
      <c r="X270" s="35"/>
      <c r="Y270" s="36"/>
      <c r="Z270" s="11"/>
      <c r="AA270" s="35"/>
      <c r="AB270" s="36"/>
      <c r="AC270" s="35"/>
      <c r="AD270" s="35"/>
      <c r="AE270" s="37" t="str">
        <f>IF($A270="","",COUNTIFS(Připomínky!$A$4:$A$503,$A270,Připomínky!$J$4:$J$503,"Nevyřešeno"))</f>
        <v/>
      </c>
      <c r="AF270" s="37" t="str">
        <f>IF($A270="","",COUNTIFS(Publikace!$A$4:$A$503,$A270))</f>
        <v/>
      </c>
      <c r="AG270" s="38" t="str">
        <f>IF($A270="","",IF(AF270=0,"",_xlfn.MINIFS(Publikace!$E$4:$E$503,Publikace!$A$4:$A$503,$A270)))</f>
        <v/>
      </c>
      <c r="AH270" s="37" t="str">
        <f t="shared" si="4"/>
        <v/>
      </c>
      <c r="AI270" s="39" t="str">
        <f ca="1">IF($A270="","",TRIM(IF(AND($U270&lt;&gt;"",$U270&lt;TODAY(),$W270&lt;&gt;"Schváleno",$W270&lt;&gt;"Odloženo",$W270&lt;&gt;"Zrušeno"),"Po termínu odevzdání. ","")&amp;IF(AND($W270="Schváleno",OR($X270="",$Y270="")),"Schváleno bez jména / data. ","")&amp;IF(OR($G270="",$H270="",$I270="",$F270=""),"Chybí zařazení (kategorie, typ, profil nebo měsíc). ","")&amp;IF(AND(OR($I270="Honza",$I270="Radek"),OR($J270="",$J270="Nevztahuje se")),"Doplnit charakter (osobní / pracovní). ","")&amp;IF(AND($W270="Schváleno",$AE270&gt;0),"Schváleno, ale má otevřené připomínky. ","")&amp;IF(AND($AA270="Publikováno",$AF270=0),"Publikováno bez záznamu v listu Publikace. ","")&amp;IF(AND($C270&lt;&gt;"",$D270=""),"Chybí číslo dílu série. ","")&amp;IF(AND($E270&lt;&gt;"",$W270&lt;&gt;"Schváleno",$W270&lt;&gt;"Odloženo",$W270&lt;&gt;"Zrušeno",IFERROR(VLOOKUP($E270,Nastavení!$A$30:$G$53,3,FALSE()),0)&gt;0,IFERROR(VLOOKUP($E270,Nastavení!$A$30:$G$53,3,FALSE()),0)&lt;TODAY()),"Neschváleno po termínu cyklu. ","")))</f>
        <v/>
      </c>
    </row>
    <row r="271" spans="1:35" x14ac:dyDescent="0.2">
      <c r="A271" s="35"/>
      <c r="B271" s="11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11"/>
      <c r="N271" s="11"/>
      <c r="O271" s="11"/>
      <c r="P271" s="11"/>
      <c r="Q271" s="11"/>
      <c r="R271" s="11"/>
      <c r="S271" s="11"/>
      <c r="T271" s="35"/>
      <c r="U271" s="36"/>
      <c r="V271" s="11"/>
      <c r="W271" s="35"/>
      <c r="X271" s="35"/>
      <c r="Y271" s="36"/>
      <c r="Z271" s="11"/>
      <c r="AA271" s="35"/>
      <c r="AB271" s="36"/>
      <c r="AC271" s="35"/>
      <c r="AD271" s="35"/>
      <c r="AE271" s="37" t="str">
        <f>IF($A271="","",COUNTIFS(Připomínky!$A$4:$A$503,$A271,Připomínky!$J$4:$J$503,"Nevyřešeno"))</f>
        <v/>
      </c>
      <c r="AF271" s="37" t="str">
        <f>IF($A271="","",COUNTIFS(Publikace!$A$4:$A$503,$A271))</f>
        <v/>
      </c>
      <c r="AG271" s="38" t="str">
        <f>IF($A271="","",IF(AF271=0,"",_xlfn.MINIFS(Publikace!$E$4:$E$503,Publikace!$A$4:$A$503,$A271)))</f>
        <v/>
      </c>
      <c r="AH271" s="37" t="str">
        <f t="shared" si="4"/>
        <v/>
      </c>
      <c r="AI271" s="39" t="str">
        <f ca="1">IF($A271="","",TRIM(IF(AND($U271&lt;&gt;"",$U271&lt;TODAY(),$W271&lt;&gt;"Schváleno",$W271&lt;&gt;"Odloženo",$W271&lt;&gt;"Zrušeno"),"Po termínu odevzdání. ","")&amp;IF(AND($W271="Schváleno",OR($X271="",$Y271="")),"Schváleno bez jména / data. ","")&amp;IF(OR($G271="",$H271="",$I271="",$F271=""),"Chybí zařazení (kategorie, typ, profil nebo měsíc). ","")&amp;IF(AND(OR($I271="Honza",$I271="Radek"),OR($J271="",$J271="Nevztahuje se")),"Doplnit charakter (osobní / pracovní). ","")&amp;IF(AND($W271="Schváleno",$AE271&gt;0),"Schváleno, ale má otevřené připomínky. ","")&amp;IF(AND($AA271="Publikováno",$AF271=0),"Publikováno bez záznamu v listu Publikace. ","")&amp;IF(AND($C271&lt;&gt;"",$D271=""),"Chybí číslo dílu série. ","")&amp;IF(AND($E271&lt;&gt;"",$W271&lt;&gt;"Schváleno",$W271&lt;&gt;"Odloženo",$W271&lt;&gt;"Zrušeno",IFERROR(VLOOKUP($E271,Nastavení!$A$30:$G$53,3,FALSE()),0)&gt;0,IFERROR(VLOOKUP($E271,Nastavení!$A$30:$G$53,3,FALSE()),0)&lt;TODAY()),"Neschváleno po termínu cyklu. ","")))</f>
        <v/>
      </c>
    </row>
    <row r="272" spans="1:35" x14ac:dyDescent="0.2">
      <c r="A272" s="35"/>
      <c r="B272" s="11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11"/>
      <c r="N272" s="11"/>
      <c r="O272" s="11"/>
      <c r="P272" s="11"/>
      <c r="Q272" s="11"/>
      <c r="R272" s="11"/>
      <c r="S272" s="11"/>
      <c r="T272" s="35"/>
      <c r="U272" s="36"/>
      <c r="V272" s="11"/>
      <c r="W272" s="35"/>
      <c r="X272" s="35"/>
      <c r="Y272" s="36"/>
      <c r="Z272" s="11"/>
      <c r="AA272" s="35"/>
      <c r="AB272" s="36"/>
      <c r="AC272" s="35"/>
      <c r="AD272" s="35"/>
      <c r="AE272" s="37" t="str">
        <f>IF($A272="","",COUNTIFS(Připomínky!$A$4:$A$503,$A272,Připomínky!$J$4:$J$503,"Nevyřešeno"))</f>
        <v/>
      </c>
      <c r="AF272" s="37" t="str">
        <f>IF($A272="","",COUNTIFS(Publikace!$A$4:$A$503,$A272))</f>
        <v/>
      </c>
      <c r="AG272" s="38" t="str">
        <f>IF($A272="","",IF(AF272=0,"",_xlfn.MINIFS(Publikace!$E$4:$E$503,Publikace!$A$4:$A$503,$A272)))</f>
        <v/>
      </c>
      <c r="AH272" s="37" t="str">
        <f t="shared" si="4"/>
        <v/>
      </c>
      <c r="AI272" s="39" t="str">
        <f ca="1">IF($A272="","",TRIM(IF(AND($U272&lt;&gt;"",$U272&lt;TODAY(),$W272&lt;&gt;"Schváleno",$W272&lt;&gt;"Odloženo",$W272&lt;&gt;"Zrušeno"),"Po termínu odevzdání. ","")&amp;IF(AND($W272="Schváleno",OR($X272="",$Y272="")),"Schváleno bez jména / data. ","")&amp;IF(OR($G272="",$H272="",$I272="",$F272=""),"Chybí zařazení (kategorie, typ, profil nebo měsíc). ","")&amp;IF(AND(OR($I272="Honza",$I272="Radek"),OR($J272="",$J272="Nevztahuje se")),"Doplnit charakter (osobní / pracovní). ","")&amp;IF(AND($W272="Schváleno",$AE272&gt;0),"Schváleno, ale má otevřené připomínky. ","")&amp;IF(AND($AA272="Publikováno",$AF272=0),"Publikováno bez záznamu v listu Publikace. ","")&amp;IF(AND($C272&lt;&gt;"",$D272=""),"Chybí číslo dílu série. ","")&amp;IF(AND($E272&lt;&gt;"",$W272&lt;&gt;"Schváleno",$W272&lt;&gt;"Odloženo",$W272&lt;&gt;"Zrušeno",IFERROR(VLOOKUP($E272,Nastavení!$A$30:$G$53,3,FALSE()),0)&gt;0,IFERROR(VLOOKUP($E272,Nastavení!$A$30:$G$53,3,FALSE()),0)&lt;TODAY()),"Neschváleno po termínu cyklu. ","")))</f>
        <v/>
      </c>
    </row>
    <row r="273" spans="1:35" x14ac:dyDescent="0.2">
      <c r="A273" s="35"/>
      <c r="B273" s="11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11"/>
      <c r="N273" s="11"/>
      <c r="O273" s="11"/>
      <c r="P273" s="11"/>
      <c r="Q273" s="11"/>
      <c r="R273" s="11"/>
      <c r="S273" s="11"/>
      <c r="T273" s="35"/>
      <c r="U273" s="36"/>
      <c r="V273" s="11"/>
      <c r="W273" s="35"/>
      <c r="X273" s="35"/>
      <c r="Y273" s="36"/>
      <c r="Z273" s="11"/>
      <c r="AA273" s="35"/>
      <c r="AB273" s="36"/>
      <c r="AC273" s="35"/>
      <c r="AD273" s="35"/>
      <c r="AE273" s="37" t="str">
        <f>IF($A273="","",COUNTIFS(Připomínky!$A$4:$A$503,$A273,Připomínky!$J$4:$J$503,"Nevyřešeno"))</f>
        <v/>
      </c>
      <c r="AF273" s="37" t="str">
        <f>IF($A273="","",COUNTIFS(Publikace!$A$4:$A$503,$A273))</f>
        <v/>
      </c>
      <c r="AG273" s="38" t="str">
        <f>IF($A273="","",IF(AF273=0,"",_xlfn.MINIFS(Publikace!$E$4:$E$503,Publikace!$A$4:$A$503,$A273)))</f>
        <v/>
      </c>
      <c r="AH273" s="37" t="str">
        <f t="shared" si="4"/>
        <v/>
      </c>
      <c r="AI273" s="39" t="str">
        <f ca="1">IF($A273="","",TRIM(IF(AND($U273&lt;&gt;"",$U273&lt;TODAY(),$W273&lt;&gt;"Schváleno",$W273&lt;&gt;"Odloženo",$W273&lt;&gt;"Zrušeno"),"Po termínu odevzdání. ","")&amp;IF(AND($W273="Schváleno",OR($X273="",$Y273="")),"Schváleno bez jména / data. ","")&amp;IF(OR($G273="",$H273="",$I273="",$F273=""),"Chybí zařazení (kategorie, typ, profil nebo měsíc). ","")&amp;IF(AND(OR($I273="Honza",$I273="Radek"),OR($J273="",$J273="Nevztahuje se")),"Doplnit charakter (osobní / pracovní). ","")&amp;IF(AND($W273="Schváleno",$AE273&gt;0),"Schváleno, ale má otevřené připomínky. ","")&amp;IF(AND($AA273="Publikováno",$AF273=0),"Publikováno bez záznamu v listu Publikace. ","")&amp;IF(AND($C273&lt;&gt;"",$D273=""),"Chybí číslo dílu série. ","")&amp;IF(AND($E273&lt;&gt;"",$W273&lt;&gt;"Schváleno",$W273&lt;&gt;"Odloženo",$W273&lt;&gt;"Zrušeno",IFERROR(VLOOKUP($E273,Nastavení!$A$30:$G$53,3,FALSE()),0)&gt;0,IFERROR(VLOOKUP($E273,Nastavení!$A$30:$G$53,3,FALSE()),0)&lt;TODAY()),"Neschváleno po termínu cyklu. ","")))</f>
        <v/>
      </c>
    </row>
    <row r="274" spans="1:35" x14ac:dyDescent="0.2">
      <c r="A274" s="35"/>
      <c r="B274" s="11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11"/>
      <c r="N274" s="11"/>
      <c r="O274" s="11"/>
      <c r="P274" s="11"/>
      <c r="Q274" s="11"/>
      <c r="R274" s="11"/>
      <c r="S274" s="11"/>
      <c r="T274" s="35"/>
      <c r="U274" s="36"/>
      <c r="V274" s="11"/>
      <c r="W274" s="35"/>
      <c r="X274" s="35"/>
      <c r="Y274" s="36"/>
      <c r="Z274" s="11"/>
      <c r="AA274" s="35"/>
      <c r="AB274" s="36"/>
      <c r="AC274" s="35"/>
      <c r="AD274" s="35"/>
      <c r="AE274" s="37" t="str">
        <f>IF($A274="","",COUNTIFS(Připomínky!$A$4:$A$503,$A274,Připomínky!$J$4:$J$503,"Nevyřešeno"))</f>
        <v/>
      </c>
      <c r="AF274" s="37" t="str">
        <f>IF($A274="","",COUNTIFS(Publikace!$A$4:$A$503,$A274))</f>
        <v/>
      </c>
      <c r="AG274" s="38" t="str">
        <f>IF($A274="","",IF(AF274=0,"",_xlfn.MINIFS(Publikace!$E$4:$E$503,Publikace!$A$4:$A$503,$A274)))</f>
        <v/>
      </c>
      <c r="AH274" s="37" t="str">
        <f t="shared" si="4"/>
        <v/>
      </c>
      <c r="AI274" s="39" t="str">
        <f ca="1">IF($A274="","",TRIM(IF(AND($U274&lt;&gt;"",$U274&lt;TODAY(),$W274&lt;&gt;"Schváleno",$W274&lt;&gt;"Odloženo",$W274&lt;&gt;"Zrušeno"),"Po termínu odevzdání. ","")&amp;IF(AND($W274="Schváleno",OR($X274="",$Y274="")),"Schváleno bez jména / data. ","")&amp;IF(OR($G274="",$H274="",$I274="",$F274=""),"Chybí zařazení (kategorie, typ, profil nebo měsíc). ","")&amp;IF(AND(OR($I274="Honza",$I274="Radek"),OR($J274="",$J274="Nevztahuje se")),"Doplnit charakter (osobní / pracovní). ","")&amp;IF(AND($W274="Schváleno",$AE274&gt;0),"Schváleno, ale má otevřené připomínky. ","")&amp;IF(AND($AA274="Publikováno",$AF274=0),"Publikováno bez záznamu v listu Publikace. ","")&amp;IF(AND($C274&lt;&gt;"",$D274=""),"Chybí číslo dílu série. ","")&amp;IF(AND($E274&lt;&gt;"",$W274&lt;&gt;"Schváleno",$W274&lt;&gt;"Odloženo",$W274&lt;&gt;"Zrušeno",IFERROR(VLOOKUP($E274,Nastavení!$A$30:$G$53,3,FALSE()),0)&gt;0,IFERROR(VLOOKUP($E274,Nastavení!$A$30:$G$53,3,FALSE()),0)&lt;TODAY()),"Neschváleno po termínu cyklu. ","")))</f>
        <v/>
      </c>
    </row>
    <row r="275" spans="1:35" x14ac:dyDescent="0.2">
      <c r="A275" s="35"/>
      <c r="B275" s="11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11"/>
      <c r="N275" s="11"/>
      <c r="O275" s="11"/>
      <c r="P275" s="11"/>
      <c r="Q275" s="11"/>
      <c r="R275" s="11"/>
      <c r="S275" s="11"/>
      <c r="T275" s="35"/>
      <c r="U275" s="36"/>
      <c r="V275" s="11"/>
      <c r="W275" s="35"/>
      <c r="X275" s="35"/>
      <c r="Y275" s="36"/>
      <c r="Z275" s="11"/>
      <c r="AA275" s="35"/>
      <c r="AB275" s="36"/>
      <c r="AC275" s="35"/>
      <c r="AD275" s="35"/>
      <c r="AE275" s="37" t="str">
        <f>IF($A275="","",COUNTIFS(Připomínky!$A$4:$A$503,$A275,Připomínky!$J$4:$J$503,"Nevyřešeno"))</f>
        <v/>
      </c>
      <c r="AF275" s="37" t="str">
        <f>IF($A275="","",COUNTIFS(Publikace!$A$4:$A$503,$A275))</f>
        <v/>
      </c>
      <c r="AG275" s="38" t="str">
        <f>IF($A275="","",IF(AF275=0,"",_xlfn.MINIFS(Publikace!$E$4:$E$503,Publikace!$A$4:$A$503,$A275)))</f>
        <v/>
      </c>
      <c r="AH275" s="37" t="str">
        <f t="shared" si="4"/>
        <v/>
      </c>
      <c r="AI275" s="39" t="str">
        <f ca="1">IF($A275="","",TRIM(IF(AND($U275&lt;&gt;"",$U275&lt;TODAY(),$W275&lt;&gt;"Schváleno",$W275&lt;&gt;"Odloženo",$W275&lt;&gt;"Zrušeno"),"Po termínu odevzdání. ","")&amp;IF(AND($W275="Schváleno",OR($X275="",$Y275="")),"Schváleno bez jména / data. ","")&amp;IF(OR($G275="",$H275="",$I275="",$F275=""),"Chybí zařazení (kategorie, typ, profil nebo měsíc). ","")&amp;IF(AND(OR($I275="Honza",$I275="Radek"),OR($J275="",$J275="Nevztahuje se")),"Doplnit charakter (osobní / pracovní). ","")&amp;IF(AND($W275="Schváleno",$AE275&gt;0),"Schváleno, ale má otevřené připomínky. ","")&amp;IF(AND($AA275="Publikováno",$AF275=0),"Publikováno bez záznamu v listu Publikace. ","")&amp;IF(AND($C275&lt;&gt;"",$D275=""),"Chybí číslo dílu série. ","")&amp;IF(AND($E275&lt;&gt;"",$W275&lt;&gt;"Schváleno",$W275&lt;&gt;"Odloženo",$W275&lt;&gt;"Zrušeno",IFERROR(VLOOKUP($E275,Nastavení!$A$30:$G$53,3,FALSE()),0)&gt;0,IFERROR(VLOOKUP($E275,Nastavení!$A$30:$G$53,3,FALSE()),0)&lt;TODAY()),"Neschváleno po termínu cyklu. ","")))</f>
        <v/>
      </c>
    </row>
    <row r="276" spans="1:35" x14ac:dyDescent="0.2">
      <c r="A276" s="35"/>
      <c r="B276" s="11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11"/>
      <c r="N276" s="11"/>
      <c r="O276" s="11"/>
      <c r="P276" s="11"/>
      <c r="Q276" s="11"/>
      <c r="R276" s="11"/>
      <c r="S276" s="11"/>
      <c r="T276" s="35"/>
      <c r="U276" s="36"/>
      <c r="V276" s="11"/>
      <c r="W276" s="35"/>
      <c r="X276" s="35"/>
      <c r="Y276" s="36"/>
      <c r="Z276" s="11"/>
      <c r="AA276" s="35"/>
      <c r="AB276" s="36"/>
      <c r="AC276" s="35"/>
      <c r="AD276" s="35"/>
      <c r="AE276" s="37" t="str">
        <f>IF($A276="","",COUNTIFS(Připomínky!$A$4:$A$503,$A276,Připomínky!$J$4:$J$503,"Nevyřešeno"))</f>
        <v/>
      </c>
      <c r="AF276" s="37" t="str">
        <f>IF($A276="","",COUNTIFS(Publikace!$A$4:$A$503,$A276))</f>
        <v/>
      </c>
      <c r="AG276" s="38" t="str">
        <f>IF($A276="","",IF(AF276=0,"",_xlfn.MINIFS(Publikace!$E$4:$E$503,Publikace!$A$4:$A$503,$A276)))</f>
        <v/>
      </c>
      <c r="AH276" s="37" t="str">
        <f t="shared" si="4"/>
        <v/>
      </c>
      <c r="AI276" s="39" t="str">
        <f ca="1">IF($A276="","",TRIM(IF(AND($U276&lt;&gt;"",$U276&lt;TODAY(),$W276&lt;&gt;"Schváleno",$W276&lt;&gt;"Odloženo",$W276&lt;&gt;"Zrušeno"),"Po termínu odevzdání. ","")&amp;IF(AND($W276="Schváleno",OR($X276="",$Y276="")),"Schváleno bez jména / data. ","")&amp;IF(OR($G276="",$H276="",$I276="",$F276=""),"Chybí zařazení (kategorie, typ, profil nebo měsíc). ","")&amp;IF(AND(OR($I276="Honza",$I276="Radek"),OR($J276="",$J276="Nevztahuje se")),"Doplnit charakter (osobní / pracovní). ","")&amp;IF(AND($W276="Schváleno",$AE276&gt;0),"Schváleno, ale má otevřené připomínky. ","")&amp;IF(AND($AA276="Publikováno",$AF276=0),"Publikováno bez záznamu v listu Publikace. ","")&amp;IF(AND($C276&lt;&gt;"",$D276=""),"Chybí číslo dílu série. ","")&amp;IF(AND($E276&lt;&gt;"",$W276&lt;&gt;"Schváleno",$W276&lt;&gt;"Odloženo",$W276&lt;&gt;"Zrušeno",IFERROR(VLOOKUP($E276,Nastavení!$A$30:$G$53,3,FALSE()),0)&gt;0,IFERROR(VLOOKUP($E276,Nastavení!$A$30:$G$53,3,FALSE()),0)&lt;TODAY()),"Neschváleno po termínu cyklu. ","")))</f>
        <v/>
      </c>
    </row>
    <row r="277" spans="1:35" x14ac:dyDescent="0.2">
      <c r="A277" s="35"/>
      <c r="B277" s="11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11"/>
      <c r="N277" s="11"/>
      <c r="O277" s="11"/>
      <c r="P277" s="11"/>
      <c r="Q277" s="11"/>
      <c r="R277" s="11"/>
      <c r="S277" s="11"/>
      <c r="T277" s="35"/>
      <c r="U277" s="36"/>
      <c r="V277" s="11"/>
      <c r="W277" s="35"/>
      <c r="X277" s="35"/>
      <c r="Y277" s="36"/>
      <c r="Z277" s="11"/>
      <c r="AA277" s="35"/>
      <c r="AB277" s="36"/>
      <c r="AC277" s="35"/>
      <c r="AD277" s="35"/>
      <c r="AE277" s="37" t="str">
        <f>IF($A277="","",COUNTIFS(Připomínky!$A$4:$A$503,$A277,Připomínky!$J$4:$J$503,"Nevyřešeno"))</f>
        <v/>
      </c>
      <c r="AF277" s="37" t="str">
        <f>IF($A277="","",COUNTIFS(Publikace!$A$4:$A$503,$A277))</f>
        <v/>
      </c>
      <c r="AG277" s="38" t="str">
        <f>IF($A277="","",IF(AF277=0,"",_xlfn.MINIFS(Publikace!$E$4:$E$503,Publikace!$A$4:$A$503,$A277)))</f>
        <v/>
      </c>
      <c r="AH277" s="37" t="str">
        <f t="shared" si="4"/>
        <v/>
      </c>
      <c r="AI277" s="39" t="str">
        <f ca="1">IF($A277="","",TRIM(IF(AND($U277&lt;&gt;"",$U277&lt;TODAY(),$W277&lt;&gt;"Schváleno",$W277&lt;&gt;"Odloženo",$W277&lt;&gt;"Zrušeno"),"Po termínu odevzdání. ","")&amp;IF(AND($W277="Schváleno",OR($X277="",$Y277="")),"Schváleno bez jména / data. ","")&amp;IF(OR($G277="",$H277="",$I277="",$F277=""),"Chybí zařazení (kategorie, typ, profil nebo měsíc). ","")&amp;IF(AND(OR($I277="Honza",$I277="Radek"),OR($J277="",$J277="Nevztahuje se")),"Doplnit charakter (osobní / pracovní). ","")&amp;IF(AND($W277="Schváleno",$AE277&gt;0),"Schváleno, ale má otevřené připomínky. ","")&amp;IF(AND($AA277="Publikováno",$AF277=0),"Publikováno bez záznamu v listu Publikace. ","")&amp;IF(AND($C277&lt;&gt;"",$D277=""),"Chybí číslo dílu série. ","")&amp;IF(AND($E277&lt;&gt;"",$W277&lt;&gt;"Schváleno",$W277&lt;&gt;"Odloženo",$W277&lt;&gt;"Zrušeno",IFERROR(VLOOKUP($E277,Nastavení!$A$30:$G$53,3,FALSE()),0)&gt;0,IFERROR(VLOOKUP($E277,Nastavení!$A$30:$G$53,3,FALSE()),0)&lt;TODAY()),"Neschváleno po termínu cyklu. ","")))</f>
        <v/>
      </c>
    </row>
    <row r="278" spans="1:35" x14ac:dyDescent="0.2">
      <c r="A278" s="35"/>
      <c r="B278" s="11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11"/>
      <c r="N278" s="11"/>
      <c r="O278" s="11"/>
      <c r="P278" s="11"/>
      <c r="Q278" s="11"/>
      <c r="R278" s="11"/>
      <c r="S278" s="11"/>
      <c r="T278" s="35"/>
      <c r="U278" s="36"/>
      <c r="V278" s="11"/>
      <c r="W278" s="35"/>
      <c r="X278" s="35"/>
      <c r="Y278" s="36"/>
      <c r="Z278" s="11"/>
      <c r="AA278" s="35"/>
      <c r="AB278" s="36"/>
      <c r="AC278" s="35"/>
      <c r="AD278" s="35"/>
      <c r="AE278" s="37" t="str">
        <f>IF($A278="","",COUNTIFS(Připomínky!$A$4:$A$503,$A278,Připomínky!$J$4:$J$503,"Nevyřešeno"))</f>
        <v/>
      </c>
      <c r="AF278" s="37" t="str">
        <f>IF($A278="","",COUNTIFS(Publikace!$A$4:$A$503,$A278))</f>
        <v/>
      </c>
      <c r="AG278" s="38" t="str">
        <f>IF($A278="","",IF(AF278=0,"",_xlfn.MINIFS(Publikace!$E$4:$E$503,Publikace!$A$4:$A$503,$A278)))</f>
        <v/>
      </c>
      <c r="AH278" s="37" t="str">
        <f t="shared" si="4"/>
        <v/>
      </c>
      <c r="AI278" s="39" t="str">
        <f ca="1">IF($A278="","",TRIM(IF(AND($U278&lt;&gt;"",$U278&lt;TODAY(),$W278&lt;&gt;"Schváleno",$W278&lt;&gt;"Odloženo",$W278&lt;&gt;"Zrušeno"),"Po termínu odevzdání. ","")&amp;IF(AND($W278="Schváleno",OR($X278="",$Y278="")),"Schváleno bez jména / data. ","")&amp;IF(OR($G278="",$H278="",$I278="",$F278=""),"Chybí zařazení (kategorie, typ, profil nebo měsíc). ","")&amp;IF(AND(OR($I278="Honza",$I278="Radek"),OR($J278="",$J278="Nevztahuje se")),"Doplnit charakter (osobní / pracovní). ","")&amp;IF(AND($W278="Schváleno",$AE278&gt;0),"Schváleno, ale má otevřené připomínky. ","")&amp;IF(AND($AA278="Publikováno",$AF278=0),"Publikováno bez záznamu v listu Publikace. ","")&amp;IF(AND($C278&lt;&gt;"",$D278=""),"Chybí číslo dílu série. ","")&amp;IF(AND($E278&lt;&gt;"",$W278&lt;&gt;"Schváleno",$W278&lt;&gt;"Odloženo",$W278&lt;&gt;"Zrušeno",IFERROR(VLOOKUP($E278,Nastavení!$A$30:$G$53,3,FALSE()),0)&gt;0,IFERROR(VLOOKUP($E278,Nastavení!$A$30:$G$53,3,FALSE()),0)&lt;TODAY()),"Neschváleno po termínu cyklu. ","")))</f>
        <v/>
      </c>
    </row>
    <row r="279" spans="1:35" x14ac:dyDescent="0.2">
      <c r="A279" s="35"/>
      <c r="B279" s="11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11"/>
      <c r="N279" s="11"/>
      <c r="O279" s="11"/>
      <c r="P279" s="11"/>
      <c r="Q279" s="11"/>
      <c r="R279" s="11"/>
      <c r="S279" s="11"/>
      <c r="T279" s="35"/>
      <c r="U279" s="36"/>
      <c r="V279" s="11"/>
      <c r="W279" s="35"/>
      <c r="X279" s="35"/>
      <c r="Y279" s="36"/>
      <c r="Z279" s="11"/>
      <c r="AA279" s="35"/>
      <c r="AB279" s="36"/>
      <c r="AC279" s="35"/>
      <c r="AD279" s="35"/>
      <c r="AE279" s="37" t="str">
        <f>IF($A279="","",COUNTIFS(Připomínky!$A$4:$A$503,$A279,Připomínky!$J$4:$J$503,"Nevyřešeno"))</f>
        <v/>
      </c>
      <c r="AF279" s="37" t="str">
        <f>IF($A279="","",COUNTIFS(Publikace!$A$4:$A$503,$A279))</f>
        <v/>
      </c>
      <c r="AG279" s="38" t="str">
        <f>IF($A279="","",IF(AF279=0,"",_xlfn.MINIFS(Publikace!$E$4:$E$503,Publikace!$A$4:$A$503,$A279)))</f>
        <v/>
      </c>
      <c r="AH279" s="37" t="str">
        <f t="shared" si="4"/>
        <v/>
      </c>
      <c r="AI279" s="39" t="str">
        <f ca="1">IF($A279="","",TRIM(IF(AND($U279&lt;&gt;"",$U279&lt;TODAY(),$W279&lt;&gt;"Schváleno",$W279&lt;&gt;"Odloženo",$W279&lt;&gt;"Zrušeno"),"Po termínu odevzdání. ","")&amp;IF(AND($W279="Schváleno",OR($X279="",$Y279="")),"Schváleno bez jména / data. ","")&amp;IF(OR($G279="",$H279="",$I279="",$F279=""),"Chybí zařazení (kategorie, typ, profil nebo měsíc). ","")&amp;IF(AND(OR($I279="Honza",$I279="Radek"),OR($J279="",$J279="Nevztahuje se")),"Doplnit charakter (osobní / pracovní). ","")&amp;IF(AND($W279="Schváleno",$AE279&gt;0),"Schváleno, ale má otevřené připomínky. ","")&amp;IF(AND($AA279="Publikováno",$AF279=0),"Publikováno bez záznamu v listu Publikace. ","")&amp;IF(AND($C279&lt;&gt;"",$D279=""),"Chybí číslo dílu série. ","")&amp;IF(AND($E279&lt;&gt;"",$W279&lt;&gt;"Schváleno",$W279&lt;&gt;"Odloženo",$W279&lt;&gt;"Zrušeno",IFERROR(VLOOKUP($E279,Nastavení!$A$30:$G$53,3,FALSE()),0)&gt;0,IFERROR(VLOOKUP($E279,Nastavení!$A$30:$G$53,3,FALSE()),0)&lt;TODAY()),"Neschváleno po termínu cyklu. ","")))</f>
        <v/>
      </c>
    </row>
    <row r="280" spans="1:35" x14ac:dyDescent="0.2">
      <c r="A280" s="35"/>
      <c r="B280" s="11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11"/>
      <c r="N280" s="11"/>
      <c r="O280" s="11"/>
      <c r="P280" s="11"/>
      <c r="Q280" s="11"/>
      <c r="R280" s="11"/>
      <c r="S280" s="11"/>
      <c r="T280" s="35"/>
      <c r="U280" s="36"/>
      <c r="V280" s="11"/>
      <c r="W280" s="35"/>
      <c r="X280" s="35"/>
      <c r="Y280" s="36"/>
      <c r="Z280" s="11"/>
      <c r="AA280" s="35"/>
      <c r="AB280" s="36"/>
      <c r="AC280" s="35"/>
      <c r="AD280" s="35"/>
      <c r="AE280" s="37" t="str">
        <f>IF($A280="","",COUNTIFS(Připomínky!$A$4:$A$503,$A280,Připomínky!$J$4:$J$503,"Nevyřešeno"))</f>
        <v/>
      </c>
      <c r="AF280" s="37" t="str">
        <f>IF($A280="","",COUNTIFS(Publikace!$A$4:$A$503,$A280))</f>
        <v/>
      </c>
      <c r="AG280" s="38" t="str">
        <f>IF($A280="","",IF(AF280=0,"",_xlfn.MINIFS(Publikace!$E$4:$E$503,Publikace!$A$4:$A$503,$A280)))</f>
        <v/>
      </c>
      <c r="AH280" s="37" t="str">
        <f t="shared" si="4"/>
        <v/>
      </c>
      <c r="AI280" s="39" t="str">
        <f ca="1">IF($A280="","",TRIM(IF(AND($U280&lt;&gt;"",$U280&lt;TODAY(),$W280&lt;&gt;"Schváleno",$W280&lt;&gt;"Odloženo",$W280&lt;&gt;"Zrušeno"),"Po termínu odevzdání. ","")&amp;IF(AND($W280="Schváleno",OR($X280="",$Y280="")),"Schváleno bez jména / data. ","")&amp;IF(OR($G280="",$H280="",$I280="",$F280=""),"Chybí zařazení (kategorie, typ, profil nebo měsíc). ","")&amp;IF(AND(OR($I280="Honza",$I280="Radek"),OR($J280="",$J280="Nevztahuje se")),"Doplnit charakter (osobní / pracovní). ","")&amp;IF(AND($W280="Schváleno",$AE280&gt;0),"Schváleno, ale má otevřené připomínky. ","")&amp;IF(AND($AA280="Publikováno",$AF280=0),"Publikováno bez záznamu v listu Publikace. ","")&amp;IF(AND($C280&lt;&gt;"",$D280=""),"Chybí číslo dílu série. ","")&amp;IF(AND($E280&lt;&gt;"",$W280&lt;&gt;"Schváleno",$W280&lt;&gt;"Odloženo",$W280&lt;&gt;"Zrušeno",IFERROR(VLOOKUP($E280,Nastavení!$A$30:$G$53,3,FALSE()),0)&gt;0,IFERROR(VLOOKUP($E280,Nastavení!$A$30:$G$53,3,FALSE()),0)&lt;TODAY()),"Neschváleno po termínu cyklu. ","")))</f>
        <v/>
      </c>
    </row>
    <row r="281" spans="1:35" x14ac:dyDescent="0.2">
      <c r="A281" s="35"/>
      <c r="B281" s="11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11"/>
      <c r="N281" s="11"/>
      <c r="O281" s="11"/>
      <c r="P281" s="11"/>
      <c r="Q281" s="11"/>
      <c r="R281" s="11"/>
      <c r="S281" s="11"/>
      <c r="T281" s="35"/>
      <c r="U281" s="36"/>
      <c r="V281" s="11"/>
      <c r="W281" s="35"/>
      <c r="X281" s="35"/>
      <c r="Y281" s="36"/>
      <c r="Z281" s="11"/>
      <c r="AA281" s="35"/>
      <c r="AB281" s="36"/>
      <c r="AC281" s="35"/>
      <c r="AD281" s="35"/>
      <c r="AE281" s="37" t="str">
        <f>IF($A281="","",COUNTIFS(Připomínky!$A$4:$A$503,$A281,Připomínky!$J$4:$J$503,"Nevyřešeno"))</f>
        <v/>
      </c>
      <c r="AF281" s="37" t="str">
        <f>IF($A281="","",COUNTIFS(Publikace!$A$4:$A$503,$A281))</f>
        <v/>
      </c>
      <c r="AG281" s="38" t="str">
        <f>IF($A281="","",IF(AF281=0,"",_xlfn.MINIFS(Publikace!$E$4:$E$503,Publikace!$A$4:$A$503,$A281)))</f>
        <v/>
      </c>
      <c r="AH281" s="37" t="str">
        <f t="shared" si="4"/>
        <v/>
      </c>
      <c r="AI281" s="39" t="str">
        <f ca="1">IF($A281="","",TRIM(IF(AND($U281&lt;&gt;"",$U281&lt;TODAY(),$W281&lt;&gt;"Schváleno",$W281&lt;&gt;"Odloženo",$W281&lt;&gt;"Zrušeno"),"Po termínu odevzdání. ","")&amp;IF(AND($W281="Schváleno",OR($X281="",$Y281="")),"Schváleno bez jména / data. ","")&amp;IF(OR($G281="",$H281="",$I281="",$F281=""),"Chybí zařazení (kategorie, typ, profil nebo měsíc). ","")&amp;IF(AND(OR($I281="Honza",$I281="Radek"),OR($J281="",$J281="Nevztahuje se")),"Doplnit charakter (osobní / pracovní). ","")&amp;IF(AND($W281="Schváleno",$AE281&gt;0),"Schváleno, ale má otevřené připomínky. ","")&amp;IF(AND($AA281="Publikováno",$AF281=0),"Publikováno bez záznamu v listu Publikace. ","")&amp;IF(AND($C281&lt;&gt;"",$D281=""),"Chybí číslo dílu série. ","")&amp;IF(AND($E281&lt;&gt;"",$W281&lt;&gt;"Schváleno",$W281&lt;&gt;"Odloženo",$W281&lt;&gt;"Zrušeno",IFERROR(VLOOKUP($E281,Nastavení!$A$30:$G$53,3,FALSE()),0)&gt;0,IFERROR(VLOOKUP($E281,Nastavení!$A$30:$G$53,3,FALSE()),0)&lt;TODAY()),"Neschváleno po termínu cyklu. ","")))</f>
        <v/>
      </c>
    </row>
    <row r="282" spans="1:35" x14ac:dyDescent="0.2">
      <c r="A282" s="35"/>
      <c r="B282" s="11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11"/>
      <c r="N282" s="11"/>
      <c r="O282" s="11"/>
      <c r="P282" s="11"/>
      <c r="Q282" s="11"/>
      <c r="R282" s="11"/>
      <c r="S282" s="11"/>
      <c r="T282" s="35"/>
      <c r="U282" s="36"/>
      <c r="V282" s="11"/>
      <c r="W282" s="35"/>
      <c r="X282" s="35"/>
      <c r="Y282" s="36"/>
      <c r="Z282" s="11"/>
      <c r="AA282" s="35"/>
      <c r="AB282" s="36"/>
      <c r="AC282" s="35"/>
      <c r="AD282" s="35"/>
      <c r="AE282" s="37" t="str">
        <f>IF($A282="","",COUNTIFS(Připomínky!$A$4:$A$503,$A282,Připomínky!$J$4:$J$503,"Nevyřešeno"))</f>
        <v/>
      </c>
      <c r="AF282" s="37" t="str">
        <f>IF($A282="","",COUNTIFS(Publikace!$A$4:$A$503,$A282))</f>
        <v/>
      </c>
      <c r="AG282" s="38" t="str">
        <f>IF($A282="","",IF(AF282=0,"",_xlfn.MINIFS(Publikace!$E$4:$E$503,Publikace!$A$4:$A$503,$A282)))</f>
        <v/>
      </c>
      <c r="AH282" s="37" t="str">
        <f t="shared" si="4"/>
        <v/>
      </c>
      <c r="AI282" s="39" t="str">
        <f ca="1">IF($A282="","",TRIM(IF(AND($U282&lt;&gt;"",$U282&lt;TODAY(),$W282&lt;&gt;"Schváleno",$W282&lt;&gt;"Odloženo",$W282&lt;&gt;"Zrušeno"),"Po termínu odevzdání. ","")&amp;IF(AND($W282="Schváleno",OR($X282="",$Y282="")),"Schváleno bez jména / data. ","")&amp;IF(OR($G282="",$H282="",$I282="",$F282=""),"Chybí zařazení (kategorie, typ, profil nebo měsíc). ","")&amp;IF(AND(OR($I282="Honza",$I282="Radek"),OR($J282="",$J282="Nevztahuje se")),"Doplnit charakter (osobní / pracovní). ","")&amp;IF(AND($W282="Schváleno",$AE282&gt;0),"Schváleno, ale má otevřené připomínky. ","")&amp;IF(AND($AA282="Publikováno",$AF282=0),"Publikováno bez záznamu v listu Publikace. ","")&amp;IF(AND($C282&lt;&gt;"",$D282=""),"Chybí číslo dílu série. ","")&amp;IF(AND($E282&lt;&gt;"",$W282&lt;&gt;"Schváleno",$W282&lt;&gt;"Odloženo",$W282&lt;&gt;"Zrušeno",IFERROR(VLOOKUP($E282,Nastavení!$A$30:$G$53,3,FALSE()),0)&gt;0,IFERROR(VLOOKUP($E282,Nastavení!$A$30:$G$53,3,FALSE()),0)&lt;TODAY()),"Neschváleno po termínu cyklu. ","")))</f>
        <v/>
      </c>
    </row>
    <row r="283" spans="1:35" x14ac:dyDescent="0.2">
      <c r="A283" s="35"/>
      <c r="B283" s="11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11"/>
      <c r="N283" s="11"/>
      <c r="O283" s="11"/>
      <c r="P283" s="11"/>
      <c r="Q283" s="11"/>
      <c r="R283" s="11"/>
      <c r="S283" s="11"/>
      <c r="T283" s="35"/>
      <c r="U283" s="36"/>
      <c r="V283" s="11"/>
      <c r="W283" s="35"/>
      <c r="X283" s="35"/>
      <c r="Y283" s="36"/>
      <c r="Z283" s="11"/>
      <c r="AA283" s="35"/>
      <c r="AB283" s="36"/>
      <c r="AC283" s="35"/>
      <c r="AD283" s="35"/>
      <c r="AE283" s="37" t="str">
        <f>IF($A283="","",COUNTIFS(Připomínky!$A$4:$A$503,$A283,Připomínky!$J$4:$J$503,"Nevyřešeno"))</f>
        <v/>
      </c>
      <c r="AF283" s="37" t="str">
        <f>IF($A283="","",COUNTIFS(Publikace!$A$4:$A$503,$A283))</f>
        <v/>
      </c>
      <c r="AG283" s="38" t="str">
        <f>IF($A283="","",IF(AF283=0,"",_xlfn.MINIFS(Publikace!$E$4:$E$503,Publikace!$A$4:$A$503,$A283)))</f>
        <v/>
      </c>
      <c r="AH283" s="37" t="str">
        <f t="shared" si="4"/>
        <v/>
      </c>
      <c r="AI283" s="39" t="str">
        <f ca="1">IF($A283="","",TRIM(IF(AND($U283&lt;&gt;"",$U283&lt;TODAY(),$W283&lt;&gt;"Schváleno",$W283&lt;&gt;"Odloženo",$W283&lt;&gt;"Zrušeno"),"Po termínu odevzdání. ","")&amp;IF(AND($W283="Schváleno",OR($X283="",$Y283="")),"Schváleno bez jména / data. ","")&amp;IF(OR($G283="",$H283="",$I283="",$F283=""),"Chybí zařazení (kategorie, typ, profil nebo měsíc). ","")&amp;IF(AND(OR($I283="Honza",$I283="Radek"),OR($J283="",$J283="Nevztahuje se")),"Doplnit charakter (osobní / pracovní). ","")&amp;IF(AND($W283="Schváleno",$AE283&gt;0),"Schváleno, ale má otevřené připomínky. ","")&amp;IF(AND($AA283="Publikováno",$AF283=0),"Publikováno bez záznamu v listu Publikace. ","")&amp;IF(AND($C283&lt;&gt;"",$D283=""),"Chybí číslo dílu série. ","")&amp;IF(AND($E283&lt;&gt;"",$W283&lt;&gt;"Schváleno",$W283&lt;&gt;"Odloženo",$W283&lt;&gt;"Zrušeno",IFERROR(VLOOKUP($E283,Nastavení!$A$30:$G$53,3,FALSE()),0)&gt;0,IFERROR(VLOOKUP($E283,Nastavení!$A$30:$G$53,3,FALSE()),0)&lt;TODAY()),"Neschváleno po termínu cyklu. ","")))</f>
        <v/>
      </c>
    </row>
    <row r="284" spans="1:35" x14ac:dyDescent="0.2">
      <c r="A284" s="35"/>
      <c r="B284" s="11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11"/>
      <c r="N284" s="11"/>
      <c r="O284" s="11"/>
      <c r="P284" s="11"/>
      <c r="Q284" s="11"/>
      <c r="R284" s="11"/>
      <c r="S284" s="11"/>
      <c r="T284" s="35"/>
      <c r="U284" s="36"/>
      <c r="V284" s="11"/>
      <c r="W284" s="35"/>
      <c r="X284" s="35"/>
      <c r="Y284" s="36"/>
      <c r="Z284" s="11"/>
      <c r="AA284" s="35"/>
      <c r="AB284" s="36"/>
      <c r="AC284" s="35"/>
      <c r="AD284" s="35"/>
      <c r="AE284" s="37" t="str">
        <f>IF($A284="","",COUNTIFS(Připomínky!$A$4:$A$503,$A284,Připomínky!$J$4:$J$503,"Nevyřešeno"))</f>
        <v/>
      </c>
      <c r="AF284" s="37" t="str">
        <f>IF($A284="","",COUNTIFS(Publikace!$A$4:$A$503,$A284))</f>
        <v/>
      </c>
      <c r="AG284" s="38" t="str">
        <f>IF($A284="","",IF(AF284=0,"",_xlfn.MINIFS(Publikace!$E$4:$E$503,Publikace!$A$4:$A$503,$A284)))</f>
        <v/>
      </c>
      <c r="AH284" s="37" t="str">
        <f t="shared" si="4"/>
        <v/>
      </c>
      <c r="AI284" s="39" t="str">
        <f ca="1">IF($A284="","",TRIM(IF(AND($U284&lt;&gt;"",$U284&lt;TODAY(),$W284&lt;&gt;"Schváleno",$W284&lt;&gt;"Odloženo",$W284&lt;&gt;"Zrušeno"),"Po termínu odevzdání. ","")&amp;IF(AND($W284="Schváleno",OR($X284="",$Y284="")),"Schváleno bez jména / data. ","")&amp;IF(OR($G284="",$H284="",$I284="",$F284=""),"Chybí zařazení (kategorie, typ, profil nebo měsíc). ","")&amp;IF(AND(OR($I284="Honza",$I284="Radek"),OR($J284="",$J284="Nevztahuje se")),"Doplnit charakter (osobní / pracovní). ","")&amp;IF(AND($W284="Schváleno",$AE284&gt;0),"Schváleno, ale má otevřené připomínky. ","")&amp;IF(AND($AA284="Publikováno",$AF284=0),"Publikováno bez záznamu v listu Publikace. ","")&amp;IF(AND($C284&lt;&gt;"",$D284=""),"Chybí číslo dílu série. ","")&amp;IF(AND($E284&lt;&gt;"",$W284&lt;&gt;"Schváleno",$W284&lt;&gt;"Odloženo",$W284&lt;&gt;"Zrušeno",IFERROR(VLOOKUP($E284,Nastavení!$A$30:$G$53,3,FALSE()),0)&gt;0,IFERROR(VLOOKUP($E284,Nastavení!$A$30:$G$53,3,FALSE()),0)&lt;TODAY()),"Neschváleno po termínu cyklu. ","")))</f>
        <v/>
      </c>
    </row>
    <row r="285" spans="1:35" x14ac:dyDescent="0.2">
      <c r="A285" s="35"/>
      <c r="B285" s="11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11"/>
      <c r="N285" s="11"/>
      <c r="O285" s="11"/>
      <c r="P285" s="11"/>
      <c r="Q285" s="11"/>
      <c r="R285" s="11"/>
      <c r="S285" s="11"/>
      <c r="T285" s="35"/>
      <c r="U285" s="36"/>
      <c r="V285" s="11"/>
      <c r="W285" s="35"/>
      <c r="X285" s="35"/>
      <c r="Y285" s="36"/>
      <c r="Z285" s="11"/>
      <c r="AA285" s="35"/>
      <c r="AB285" s="36"/>
      <c r="AC285" s="35"/>
      <c r="AD285" s="35"/>
      <c r="AE285" s="37" t="str">
        <f>IF($A285="","",COUNTIFS(Připomínky!$A$4:$A$503,$A285,Připomínky!$J$4:$J$503,"Nevyřešeno"))</f>
        <v/>
      </c>
      <c r="AF285" s="37" t="str">
        <f>IF($A285="","",COUNTIFS(Publikace!$A$4:$A$503,$A285))</f>
        <v/>
      </c>
      <c r="AG285" s="38" t="str">
        <f>IF($A285="","",IF(AF285=0,"",_xlfn.MINIFS(Publikace!$E$4:$E$503,Publikace!$A$4:$A$503,$A285)))</f>
        <v/>
      </c>
      <c r="AH285" s="37" t="str">
        <f t="shared" si="4"/>
        <v/>
      </c>
      <c r="AI285" s="39" t="str">
        <f ca="1">IF($A285="","",TRIM(IF(AND($U285&lt;&gt;"",$U285&lt;TODAY(),$W285&lt;&gt;"Schváleno",$W285&lt;&gt;"Odloženo",$W285&lt;&gt;"Zrušeno"),"Po termínu odevzdání. ","")&amp;IF(AND($W285="Schváleno",OR($X285="",$Y285="")),"Schváleno bez jména / data. ","")&amp;IF(OR($G285="",$H285="",$I285="",$F285=""),"Chybí zařazení (kategorie, typ, profil nebo měsíc). ","")&amp;IF(AND(OR($I285="Honza",$I285="Radek"),OR($J285="",$J285="Nevztahuje se")),"Doplnit charakter (osobní / pracovní). ","")&amp;IF(AND($W285="Schváleno",$AE285&gt;0),"Schváleno, ale má otevřené připomínky. ","")&amp;IF(AND($AA285="Publikováno",$AF285=0),"Publikováno bez záznamu v listu Publikace. ","")&amp;IF(AND($C285&lt;&gt;"",$D285=""),"Chybí číslo dílu série. ","")&amp;IF(AND($E285&lt;&gt;"",$W285&lt;&gt;"Schváleno",$W285&lt;&gt;"Odloženo",$W285&lt;&gt;"Zrušeno",IFERROR(VLOOKUP($E285,Nastavení!$A$30:$G$53,3,FALSE()),0)&gt;0,IFERROR(VLOOKUP($E285,Nastavení!$A$30:$G$53,3,FALSE()),0)&lt;TODAY()),"Neschváleno po termínu cyklu. ","")))</f>
        <v/>
      </c>
    </row>
    <row r="286" spans="1:35" x14ac:dyDescent="0.2">
      <c r="A286" s="35"/>
      <c r="B286" s="11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11"/>
      <c r="N286" s="11"/>
      <c r="O286" s="11"/>
      <c r="P286" s="11"/>
      <c r="Q286" s="11"/>
      <c r="R286" s="11"/>
      <c r="S286" s="11"/>
      <c r="T286" s="35"/>
      <c r="U286" s="36"/>
      <c r="V286" s="11"/>
      <c r="W286" s="35"/>
      <c r="X286" s="35"/>
      <c r="Y286" s="36"/>
      <c r="Z286" s="11"/>
      <c r="AA286" s="35"/>
      <c r="AB286" s="36"/>
      <c r="AC286" s="35"/>
      <c r="AD286" s="35"/>
      <c r="AE286" s="37" t="str">
        <f>IF($A286="","",COUNTIFS(Připomínky!$A$4:$A$503,$A286,Připomínky!$J$4:$J$503,"Nevyřešeno"))</f>
        <v/>
      </c>
      <c r="AF286" s="37" t="str">
        <f>IF($A286="","",COUNTIFS(Publikace!$A$4:$A$503,$A286))</f>
        <v/>
      </c>
      <c r="AG286" s="38" t="str">
        <f>IF($A286="","",IF(AF286=0,"",_xlfn.MINIFS(Publikace!$E$4:$E$503,Publikace!$A$4:$A$503,$A286)))</f>
        <v/>
      </c>
      <c r="AH286" s="37" t="str">
        <f t="shared" si="4"/>
        <v/>
      </c>
      <c r="AI286" s="39" t="str">
        <f ca="1">IF($A286="","",TRIM(IF(AND($U286&lt;&gt;"",$U286&lt;TODAY(),$W286&lt;&gt;"Schváleno",$W286&lt;&gt;"Odloženo",$W286&lt;&gt;"Zrušeno"),"Po termínu odevzdání. ","")&amp;IF(AND($W286="Schváleno",OR($X286="",$Y286="")),"Schváleno bez jména / data. ","")&amp;IF(OR($G286="",$H286="",$I286="",$F286=""),"Chybí zařazení (kategorie, typ, profil nebo měsíc). ","")&amp;IF(AND(OR($I286="Honza",$I286="Radek"),OR($J286="",$J286="Nevztahuje se")),"Doplnit charakter (osobní / pracovní). ","")&amp;IF(AND($W286="Schváleno",$AE286&gt;0),"Schváleno, ale má otevřené připomínky. ","")&amp;IF(AND($AA286="Publikováno",$AF286=0),"Publikováno bez záznamu v listu Publikace. ","")&amp;IF(AND($C286&lt;&gt;"",$D286=""),"Chybí číslo dílu série. ","")&amp;IF(AND($E286&lt;&gt;"",$W286&lt;&gt;"Schváleno",$W286&lt;&gt;"Odloženo",$W286&lt;&gt;"Zrušeno",IFERROR(VLOOKUP($E286,Nastavení!$A$30:$G$53,3,FALSE()),0)&gt;0,IFERROR(VLOOKUP($E286,Nastavení!$A$30:$G$53,3,FALSE()),0)&lt;TODAY()),"Neschváleno po termínu cyklu. ","")))</f>
        <v/>
      </c>
    </row>
    <row r="287" spans="1:35" x14ac:dyDescent="0.2">
      <c r="A287" s="35"/>
      <c r="B287" s="11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11"/>
      <c r="N287" s="11"/>
      <c r="O287" s="11"/>
      <c r="P287" s="11"/>
      <c r="Q287" s="11"/>
      <c r="R287" s="11"/>
      <c r="S287" s="11"/>
      <c r="T287" s="35"/>
      <c r="U287" s="36"/>
      <c r="V287" s="11"/>
      <c r="W287" s="35"/>
      <c r="X287" s="35"/>
      <c r="Y287" s="36"/>
      <c r="Z287" s="11"/>
      <c r="AA287" s="35"/>
      <c r="AB287" s="36"/>
      <c r="AC287" s="35"/>
      <c r="AD287" s="35"/>
      <c r="AE287" s="37" t="str">
        <f>IF($A287="","",COUNTIFS(Připomínky!$A$4:$A$503,$A287,Připomínky!$J$4:$J$503,"Nevyřešeno"))</f>
        <v/>
      </c>
      <c r="AF287" s="37" t="str">
        <f>IF($A287="","",COUNTIFS(Publikace!$A$4:$A$503,$A287))</f>
        <v/>
      </c>
      <c r="AG287" s="38" t="str">
        <f>IF($A287="","",IF(AF287=0,"",_xlfn.MINIFS(Publikace!$E$4:$E$503,Publikace!$A$4:$A$503,$A287)))</f>
        <v/>
      </c>
      <c r="AH287" s="37" t="str">
        <f t="shared" si="4"/>
        <v/>
      </c>
      <c r="AI287" s="39" t="str">
        <f ca="1">IF($A287="","",TRIM(IF(AND($U287&lt;&gt;"",$U287&lt;TODAY(),$W287&lt;&gt;"Schváleno",$W287&lt;&gt;"Odloženo",$W287&lt;&gt;"Zrušeno"),"Po termínu odevzdání. ","")&amp;IF(AND($W287="Schváleno",OR($X287="",$Y287="")),"Schváleno bez jména / data. ","")&amp;IF(OR($G287="",$H287="",$I287="",$F287=""),"Chybí zařazení (kategorie, typ, profil nebo měsíc). ","")&amp;IF(AND(OR($I287="Honza",$I287="Radek"),OR($J287="",$J287="Nevztahuje se")),"Doplnit charakter (osobní / pracovní). ","")&amp;IF(AND($W287="Schváleno",$AE287&gt;0),"Schváleno, ale má otevřené připomínky. ","")&amp;IF(AND($AA287="Publikováno",$AF287=0),"Publikováno bez záznamu v listu Publikace. ","")&amp;IF(AND($C287&lt;&gt;"",$D287=""),"Chybí číslo dílu série. ","")&amp;IF(AND($E287&lt;&gt;"",$W287&lt;&gt;"Schváleno",$W287&lt;&gt;"Odloženo",$W287&lt;&gt;"Zrušeno",IFERROR(VLOOKUP($E287,Nastavení!$A$30:$G$53,3,FALSE()),0)&gt;0,IFERROR(VLOOKUP($E287,Nastavení!$A$30:$G$53,3,FALSE()),0)&lt;TODAY()),"Neschváleno po termínu cyklu. ","")))</f>
        <v/>
      </c>
    </row>
    <row r="288" spans="1:35" x14ac:dyDescent="0.2">
      <c r="A288" s="35"/>
      <c r="B288" s="11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11"/>
      <c r="N288" s="11"/>
      <c r="O288" s="11"/>
      <c r="P288" s="11"/>
      <c r="Q288" s="11"/>
      <c r="R288" s="11"/>
      <c r="S288" s="11"/>
      <c r="T288" s="35"/>
      <c r="U288" s="36"/>
      <c r="V288" s="11"/>
      <c r="W288" s="35"/>
      <c r="X288" s="35"/>
      <c r="Y288" s="36"/>
      <c r="Z288" s="11"/>
      <c r="AA288" s="35"/>
      <c r="AB288" s="36"/>
      <c r="AC288" s="35"/>
      <c r="AD288" s="35"/>
      <c r="AE288" s="37" t="str">
        <f>IF($A288="","",COUNTIFS(Připomínky!$A$4:$A$503,$A288,Připomínky!$J$4:$J$503,"Nevyřešeno"))</f>
        <v/>
      </c>
      <c r="AF288" s="37" t="str">
        <f>IF($A288="","",COUNTIFS(Publikace!$A$4:$A$503,$A288))</f>
        <v/>
      </c>
      <c r="AG288" s="38" t="str">
        <f>IF($A288="","",IF(AF288=0,"",_xlfn.MINIFS(Publikace!$E$4:$E$503,Publikace!$A$4:$A$503,$A288)))</f>
        <v/>
      </c>
      <c r="AH288" s="37" t="str">
        <f t="shared" si="4"/>
        <v/>
      </c>
      <c r="AI288" s="39" t="str">
        <f ca="1">IF($A288="","",TRIM(IF(AND($U288&lt;&gt;"",$U288&lt;TODAY(),$W288&lt;&gt;"Schváleno",$W288&lt;&gt;"Odloženo",$W288&lt;&gt;"Zrušeno"),"Po termínu odevzdání. ","")&amp;IF(AND($W288="Schváleno",OR($X288="",$Y288="")),"Schváleno bez jména / data. ","")&amp;IF(OR($G288="",$H288="",$I288="",$F288=""),"Chybí zařazení (kategorie, typ, profil nebo měsíc). ","")&amp;IF(AND(OR($I288="Honza",$I288="Radek"),OR($J288="",$J288="Nevztahuje se")),"Doplnit charakter (osobní / pracovní). ","")&amp;IF(AND($W288="Schváleno",$AE288&gt;0),"Schváleno, ale má otevřené připomínky. ","")&amp;IF(AND($AA288="Publikováno",$AF288=0),"Publikováno bez záznamu v listu Publikace. ","")&amp;IF(AND($C288&lt;&gt;"",$D288=""),"Chybí číslo dílu série. ","")&amp;IF(AND($E288&lt;&gt;"",$W288&lt;&gt;"Schváleno",$W288&lt;&gt;"Odloženo",$W288&lt;&gt;"Zrušeno",IFERROR(VLOOKUP($E288,Nastavení!$A$30:$G$53,3,FALSE()),0)&gt;0,IFERROR(VLOOKUP($E288,Nastavení!$A$30:$G$53,3,FALSE()),0)&lt;TODAY()),"Neschváleno po termínu cyklu. ","")))</f>
        <v/>
      </c>
    </row>
    <row r="289" spans="1:35" x14ac:dyDescent="0.2">
      <c r="A289" s="35"/>
      <c r="B289" s="11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11"/>
      <c r="N289" s="11"/>
      <c r="O289" s="11"/>
      <c r="P289" s="11"/>
      <c r="Q289" s="11"/>
      <c r="R289" s="11"/>
      <c r="S289" s="11"/>
      <c r="T289" s="35"/>
      <c r="U289" s="36"/>
      <c r="V289" s="11"/>
      <c r="W289" s="35"/>
      <c r="X289" s="35"/>
      <c r="Y289" s="36"/>
      <c r="Z289" s="11"/>
      <c r="AA289" s="35"/>
      <c r="AB289" s="36"/>
      <c r="AC289" s="35"/>
      <c r="AD289" s="35"/>
      <c r="AE289" s="37" t="str">
        <f>IF($A289="","",COUNTIFS(Připomínky!$A$4:$A$503,$A289,Připomínky!$J$4:$J$503,"Nevyřešeno"))</f>
        <v/>
      </c>
      <c r="AF289" s="37" t="str">
        <f>IF($A289="","",COUNTIFS(Publikace!$A$4:$A$503,$A289))</f>
        <v/>
      </c>
      <c r="AG289" s="38" t="str">
        <f>IF($A289="","",IF(AF289=0,"",_xlfn.MINIFS(Publikace!$E$4:$E$503,Publikace!$A$4:$A$503,$A289)))</f>
        <v/>
      </c>
      <c r="AH289" s="37" t="str">
        <f t="shared" si="4"/>
        <v/>
      </c>
      <c r="AI289" s="39" t="str">
        <f ca="1">IF($A289="","",TRIM(IF(AND($U289&lt;&gt;"",$U289&lt;TODAY(),$W289&lt;&gt;"Schváleno",$W289&lt;&gt;"Odloženo",$W289&lt;&gt;"Zrušeno"),"Po termínu odevzdání. ","")&amp;IF(AND($W289="Schváleno",OR($X289="",$Y289="")),"Schváleno bez jména / data. ","")&amp;IF(OR($G289="",$H289="",$I289="",$F289=""),"Chybí zařazení (kategorie, typ, profil nebo měsíc). ","")&amp;IF(AND(OR($I289="Honza",$I289="Radek"),OR($J289="",$J289="Nevztahuje se")),"Doplnit charakter (osobní / pracovní). ","")&amp;IF(AND($W289="Schváleno",$AE289&gt;0),"Schváleno, ale má otevřené připomínky. ","")&amp;IF(AND($AA289="Publikováno",$AF289=0),"Publikováno bez záznamu v listu Publikace. ","")&amp;IF(AND($C289&lt;&gt;"",$D289=""),"Chybí číslo dílu série. ","")&amp;IF(AND($E289&lt;&gt;"",$W289&lt;&gt;"Schváleno",$W289&lt;&gt;"Odloženo",$W289&lt;&gt;"Zrušeno",IFERROR(VLOOKUP($E289,Nastavení!$A$30:$G$53,3,FALSE()),0)&gt;0,IFERROR(VLOOKUP($E289,Nastavení!$A$30:$G$53,3,FALSE()),0)&lt;TODAY()),"Neschváleno po termínu cyklu. ","")))</f>
        <v/>
      </c>
    </row>
    <row r="290" spans="1:35" x14ac:dyDescent="0.2">
      <c r="A290" s="35"/>
      <c r="B290" s="11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11"/>
      <c r="N290" s="11"/>
      <c r="O290" s="11"/>
      <c r="P290" s="11"/>
      <c r="Q290" s="11"/>
      <c r="R290" s="11"/>
      <c r="S290" s="11"/>
      <c r="T290" s="35"/>
      <c r="U290" s="36"/>
      <c r="V290" s="11"/>
      <c r="W290" s="35"/>
      <c r="X290" s="35"/>
      <c r="Y290" s="36"/>
      <c r="Z290" s="11"/>
      <c r="AA290" s="35"/>
      <c r="AB290" s="36"/>
      <c r="AC290" s="35"/>
      <c r="AD290" s="35"/>
      <c r="AE290" s="37" t="str">
        <f>IF($A290="","",COUNTIFS(Připomínky!$A$4:$A$503,$A290,Připomínky!$J$4:$J$503,"Nevyřešeno"))</f>
        <v/>
      </c>
      <c r="AF290" s="37" t="str">
        <f>IF($A290="","",COUNTIFS(Publikace!$A$4:$A$503,$A290))</f>
        <v/>
      </c>
      <c r="AG290" s="38" t="str">
        <f>IF($A290="","",IF(AF290=0,"",_xlfn.MINIFS(Publikace!$E$4:$E$503,Publikace!$A$4:$A$503,$A290)))</f>
        <v/>
      </c>
      <c r="AH290" s="37" t="str">
        <f t="shared" si="4"/>
        <v/>
      </c>
      <c r="AI290" s="39" t="str">
        <f ca="1">IF($A290="","",TRIM(IF(AND($U290&lt;&gt;"",$U290&lt;TODAY(),$W290&lt;&gt;"Schváleno",$W290&lt;&gt;"Odloženo",$W290&lt;&gt;"Zrušeno"),"Po termínu odevzdání. ","")&amp;IF(AND($W290="Schváleno",OR($X290="",$Y290="")),"Schváleno bez jména / data. ","")&amp;IF(OR($G290="",$H290="",$I290="",$F290=""),"Chybí zařazení (kategorie, typ, profil nebo měsíc). ","")&amp;IF(AND(OR($I290="Honza",$I290="Radek"),OR($J290="",$J290="Nevztahuje se")),"Doplnit charakter (osobní / pracovní). ","")&amp;IF(AND($W290="Schváleno",$AE290&gt;0),"Schváleno, ale má otevřené připomínky. ","")&amp;IF(AND($AA290="Publikováno",$AF290=0),"Publikováno bez záznamu v listu Publikace. ","")&amp;IF(AND($C290&lt;&gt;"",$D290=""),"Chybí číslo dílu série. ","")&amp;IF(AND($E290&lt;&gt;"",$W290&lt;&gt;"Schváleno",$W290&lt;&gt;"Odloženo",$W290&lt;&gt;"Zrušeno",IFERROR(VLOOKUP($E290,Nastavení!$A$30:$G$53,3,FALSE()),0)&gt;0,IFERROR(VLOOKUP($E290,Nastavení!$A$30:$G$53,3,FALSE()),0)&lt;TODAY()),"Neschváleno po termínu cyklu. ","")))</f>
        <v/>
      </c>
    </row>
    <row r="291" spans="1:35" x14ac:dyDescent="0.2">
      <c r="A291" s="35"/>
      <c r="B291" s="11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11"/>
      <c r="N291" s="11"/>
      <c r="O291" s="11"/>
      <c r="P291" s="11"/>
      <c r="Q291" s="11"/>
      <c r="R291" s="11"/>
      <c r="S291" s="11"/>
      <c r="T291" s="35"/>
      <c r="U291" s="36"/>
      <c r="V291" s="11"/>
      <c r="W291" s="35"/>
      <c r="X291" s="35"/>
      <c r="Y291" s="36"/>
      <c r="Z291" s="11"/>
      <c r="AA291" s="35"/>
      <c r="AB291" s="36"/>
      <c r="AC291" s="35"/>
      <c r="AD291" s="35"/>
      <c r="AE291" s="37" t="str">
        <f>IF($A291="","",COUNTIFS(Připomínky!$A$4:$A$503,$A291,Připomínky!$J$4:$J$503,"Nevyřešeno"))</f>
        <v/>
      </c>
      <c r="AF291" s="37" t="str">
        <f>IF($A291="","",COUNTIFS(Publikace!$A$4:$A$503,$A291))</f>
        <v/>
      </c>
      <c r="AG291" s="38" t="str">
        <f>IF($A291="","",IF(AF291=0,"",_xlfn.MINIFS(Publikace!$E$4:$E$503,Publikace!$A$4:$A$503,$A291)))</f>
        <v/>
      </c>
      <c r="AH291" s="37" t="str">
        <f t="shared" si="4"/>
        <v/>
      </c>
      <c r="AI291" s="39" t="str">
        <f ca="1">IF($A291="","",TRIM(IF(AND($U291&lt;&gt;"",$U291&lt;TODAY(),$W291&lt;&gt;"Schváleno",$W291&lt;&gt;"Odloženo",$W291&lt;&gt;"Zrušeno"),"Po termínu odevzdání. ","")&amp;IF(AND($W291="Schváleno",OR($X291="",$Y291="")),"Schváleno bez jména / data. ","")&amp;IF(OR($G291="",$H291="",$I291="",$F291=""),"Chybí zařazení (kategorie, typ, profil nebo měsíc). ","")&amp;IF(AND(OR($I291="Honza",$I291="Radek"),OR($J291="",$J291="Nevztahuje se")),"Doplnit charakter (osobní / pracovní). ","")&amp;IF(AND($W291="Schváleno",$AE291&gt;0),"Schváleno, ale má otevřené připomínky. ","")&amp;IF(AND($AA291="Publikováno",$AF291=0),"Publikováno bez záznamu v listu Publikace. ","")&amp;IF(AND($C291&lt;&gt;"",$D291=""),"Chybí číslo dílu série. ","")&amp;IF(AND($E291&lt;&gt;"",$W291&lt;&gt;"Schváleno",$W291&lt;&gt;"Odloženo",$W291&lt;&gt;"Zrušeno",IFERROR(VLOOKUP($E291,Nastavení!$A$30:$G$53,3,FALSE()),0)&gt;0,IFERROR(VLOOKUP($E291,Nastavení!$A$30:$G$53,3,FALSE()),0)&lt;TODAY()),"Neschváleno po termínu cyklu. ","")))</f>
        <v/>
      </c>
    </row>
    <row r="292" spans="1:35" x14ac:dyDescent="0.2">
      <c r="A292" s="35"/>
      <c r="B292" s="11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11"/>
      <c r="N292" s="11"/>
      <c r="O292" s="11"/>
      <c r="P292" s="11"/>
      <c r="Q292" s="11"/>
      <c r="R292" s="11"/>
      <c r="S292" s="11"/>
      <c r="T292" s="35"/>
      <c r="U292" s="36"/>
      <c r="V292" s="11"/>
      <c r="W292" s="35"/>
      <c r="X292" s="35"/>
      <c r="Y292" s="36"/>
      <c r="Z292" s="11"/>
      <c r="AA292" s="35"/>
      <c r="AB292" s="36"/>
      <c r="AC292" s="35"/>
      <c r="AD292" s="35"/>
      <c r="AE292" s="37" t="str">
        <f>IF($A292="","",COUNTIFS(Připomínky!$A$4:$A$503,$A292,Připomínky!$J$4:$J$503,"Nevyřešeno"))</f>
        <v/>
      </c>
      <c r="AF292" s="37" t="str">
        <f>IF($A292="","",COUNTIFS(Publikace!$A$4:$A$503,$A292))</f>
        <v/>
      </c>
      <c r="AG292" s="38" t="str">
        <f>IF($A292="","",IF(AF292=0,"",_xlfn.MINIFS(Publikace!$E$4:$E$503,Publikace!$A$4:$A$503,$A292)))</f>
        <v/>
      </c>
      <c r="AH292" s="37" t="str">
        <f t="shared" si="4"/>
        <v/>
      </c>
      <c r="AI292" s="39" t="str">
        <f ca="1">IF($A292="","",TRIM(IF(AND($U292&lt;&gt;"",$U292&lt;TODAY(),$W292&lt;&gt;"Schváleno",$W292&lt;&gt;"Odloženo",$W292&lt;&gt;"Zrušeno"),"Po termínu odevzdání. ","")&amp;IF(AND($W292="Schváleno",OR($X292="",$Y292="")),"Schváleno bez jména / data. ","")&amp;IF(OR($G292="",$H292="",$I292="",$F292=""),"Chybí zařazení (kategorie, typ, profil nebo měsíc). ","")&amp;IF(AND(OR($I292="Honza",$I292="Radek"),OR($J292="",$J292="Nevztahuje se")),"Doplnit charakter (osobní / pracovní). ","")&amp;IF(AND($W292="Schváleno",$AE292&gt;0),"Schváleno, ale má otevřené připomínky. ","")&amp;IF(AND($AA292="Publikováno",$AF292=0),"Publikováno bez záznamu v listu Publikace. ","")&amp;IF(AND($C292&lt;&gt;"",$D292=""),"Chybí číslo dílu série. ","")&amp;IF(AND($E292&lt;&gt;"",$W292&lt;&gt;"Schváleno",$W292&lt;&gt;"Odloženo",$W292&lt;&gt;"Zrušeno",IFERROR(VLOOKUP($E292,Nastavení!$A$30:$G$53,3,FALSE()),0)&gt;0,IFERROR(VLOOKUP($E292,Nastavení!$A$30:$G$53,3,FALSE()),0)&lt;TODAY()),"Neschváleno po termínu cyklu. ","")))</f>
        <v/>
      </c>
    </row>
    <row r="293" spans="1:35" x14ac:dyDescent="0.2">
      <c r="A293" s="35"/>
      <c r="B293" s="11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11"/>
      <c r="N293" s="11"/>
      <c r="O293" s="11"/>
      <c r="P293" s="11"/>
      <c r="Q293" s="11"/>
      <c r="R293" s="11"/>
      <c r="S293" s="11"/>
      <c r="T293" s="35"/>
      <c r="U293" s="36"/>
      <c r="V293" s="11"/>
      <c r="W293" s="35"/>
      <c r="X293" s="35"/>
      <c r="Y293" s="36"/>
      <c r="Z293" s="11"/>
      <c r="AA293" s="35"/>
      <c r="AB293" s="36"/>
      <c r="AC293" s="35"/>
      <c r="AD293" s="35"/>
      <c r="AE293" s="37" t="str">
        <f>IF($A293="","",COUNTIFS(Připomínky!$A$4:$A$503,$A293,Připomínky!$J$4:$J$503,"Nevyřešeno"))</f>
        <v/>
      </c>
      <c r="AF293" s="37" t="str">
        <f>IF($A293="","",COUNTIFS(Publikace!$A$4:$A$503,$A293))</f>
        <v/>
      </c>
      <c r="AG293" s="38" t="str">
        <f>IF($A293="","",IF(AF293=0,"",_xlfn.MINIFS(Publikace!$E$4:$E$503,Publikace!$A$4:$A$503,$A293)))</f>
        <v/>
      </c>
      <c r="AH293" s="37" t="str">
        <f t="shared" si="4"/>
        <v/>
      </c>
      <c r="AI293" s="39" t="str">
        <f ca="1">IF($A293="","",TRIM(IF(AND($U293&lt;&gt;"",$U293&lt;TODAY(),$W293&lt;&gt;"Schváleno",$W293&lt;&gt;"Odloženo",$W293&lt;&gt;"Zrušeno"),"Po termínu odevzdání. ","")&amp;IF(AND($W293="Schváleno",OR($X293="",$Y293="")),"Schváleno bez jména / data. ","")&amp;IF(OR($G293="",$H293="",$I293="",$F293=""),"Chybí zařazení (kategorie, typ, profil nebo měsíc). ","")&amp;IF(AND(OR($I293="Honza",$I293="Radek"),OR($J293="",$J293="Nevztahuje se")),"Doplnit charakter (osobní / pracovní). ","")&amp;IF(AND($W293="Schváleno",$AE293&gt;0),"Schváleno, ale má otevřené připomínky. ","")&amp;IF(AND($AA293="Publikováno",$AF293=0),"Publikováno bez záznamu v listu Publikace. ","")&amp;IF(AND($C293&lt;&gt;"",$D293=""),"Chybí číslo dílu série. ","")&amp;IF(AND($E293&lt;&gt;"",$W293&lt;&gt;"Schváleno",$W293&lt;&gt;"Odloženo",$W293&lt;&gt;"Zrušeno",IFERROR(VLOOKUP($E293,Nastavení!$A$30:$G$53,3,FALSE()),0)&gt;0,IFERROR(VLOOKUP($E293,Nastavení!$A$30:$G$53,3,FALSE()),0)&lt;TODAY()),"Neschváleno po termínu cyklu. ","")))</f>
        <v/>
      </c>
    </row>
    <row r="294" spans="1:35" x14ac:dyDescent="0.2">
      <c r="A294" s="35"/>
      <c r="B294" s="11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11"/>
      <c r="N294" s="11"/>
      <c r="O294" s="11"/>
      <c r="P294" s="11"/>
      <c r="Q294" s="11"/>
      <c r="R294" s="11"/>
      <c r="S294" s="11"/>
      <c r="T294" s="35"/>
      <c r="U294" s="36"/>
      <c r="V294" s="11"/>
      <c r="W294" s="35"/>
      <c r="X294" s="35"/>
      <c r="Y294" s="36"/>
      <c r="Z294" s="11"/>
      <c r="AA294" s="35"/>
      <c r="AB294" s="36"/>
      <c r="AC294" s="35"/>
      <c r="AD294" s="35"/>
      <c r="AE294" s="37" t="str">
        <f>IF($A294="","",COUNTIFS(Připomínky!$A$4:$A$503,$A294,Připomínky!$J$4:$J$503,"Nevyřešeno"))</f>
        <v/>
      </c>
      <c r="AF294" s="37" t="str">
        <f>IF($A294="","",COUNTIFS(Publikace!$A$4:$A$503,$A294))</f>
        <v/>
      </c>
      <c r="AG294" s="38" t="str">
        <f>IF($A294="","",IF(AF294=0,"",_xlfn.MINIFS(Publikace!$E$4:$E$503,Publikace!$A$4:$A$503,$A294)))</f>
        <v/>
      </c>
      <c r="AH294" s="37" t="str">
        <f t="shared" si="4"/>
        <v/>
      </c>
      <c r="AI294" s="39" t="str">
        <f ca="1">IF($A294="","",TRIM(IF(AND($U294&lt;&gt;"",$U294&lt;TODAY(),$W294&lt;&gt;"Schváleno",$W294&lt;&gt;"Odloženo",$W294&lt;&gt;"Zrušeno"),"Po termínu odevzdání. ","")&amp;IF(AND($W294="Schváleno",OR($X294="",$Y294="")),"Schváleno bez jména / data. ","")&amp;IF(OR($G294="",$H294="",$I294="",$F294=""),"Chybí zařazení (kategorie, typ, profil nebo měsíc). ","")&amp;IF(AND(OR($I294="Honza",$I294="Radek"),OR($J294="",$J294="Nevztahuje se")),"Doplnit charakter (osobní / pracovní). ","")&amp;IF(AND($W294="Schváleno",$AE294&gt;0),"Schváleno, ale má otevřené připomínky. ","")&amp;IF(AND($AA294="Publikováno",$AF294=0),"Publikováno bez záznamu v listu Publikace. ","")&amp;IF(AND($C294&lt;&gt;"",$D294=""),"Chybí číslo dílu série. ","")&amp;IF(AND($E294&lt;&gt;"",$W294&lt;&gt;"Schváleno",$W294&lt;&gt;"Odloženo",$W294&lt;&gt;"Zrušeno",IFERROR(VLOOKUP($E294,Nastavení!$A$30:$G$53,3,FALSE()),0)&gt;0,IFERROR(VLOOKUP($E294,Nastavení!$A$30:$G$53,3,FALSE()),0)&lt;TODAY()),"Neschváleno po termínu cyklu. ","")))</f>
        <v/>
      </c>
    </row>
    <row r="295" spans="1:35" x14ac:dyDescent="0.2">
      <c r="A295" s="35"/>
      <c r="B295" s="11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11"/>
      <c r="N295" s="11"/>
      <c r="O295" s="11"/>
      <c r="P295" s="11"/>
      <c r="Q295" s="11"/>
      <c r="R295" s="11"/>
      <c r="S295" s="11"/>
      <c r="T295" s="35"/>
      <c r="U295" s="36"/>
      <c r="V295" s="11"/>
      <c r="W295" s="35"/>
      <c r="X295" s="35"/>
      <c r="Y295" s="36"/>
      <c r="Z295" s="11"/>
      <c r="AA295" s="35"/>
      <c r="AB295" s="36"/>
      <c r="AC295" s="35"/>
      <c r="AD295" s="35"/>
      <c r="AE295" s="37" t="str">
        <f>IF($A295="","",COUNTIFS(Připomínky!$A$4:$A$503,$A295,Připomínky!$J$4:$J$503,"Nevyřešeno"))</f>
        <v/>
      </c>
      <c r="AF295" s="37" t="str">
        <f>IF($A295="","",COUNTIFS(Publikace!$A$4:$A$503,$A295))</f>
        <v/>
      </c>
      <c r="AG295" s="38" t="str">
        <f>IF($A295="","",IF(AF295=0,"",_xlfn.MINIFS(Publikace!$E$4:$E$503,Publikace!$A$4:$A$503,$A295)))</f>
        <v/>
      </c>
      <c r="AH295" s="37" t="str">
        <f t="shared" si="4"/>
        <v/>
      </c>
      <c r="AI295" s="39" t="str">
        <f ca="1">IF($A295="","",TRIM(IF(AND($U295&lt;&gt;"",$U295&lt;TODAY(),$W295&lt;&gt;"Schváleno",$W295&lt;&gt;"Odloženo",$W295&lt;&gt;"Zrušeno"),"Po termínu odevzdání. ","")&amp;IF(AND($W295="Schváleno",OR($X295="",$Y295="")),"Schváleno bez jména / data. ","")&amp;IF(OR($G295="",$H295="",$I295="",$F295=""),"Chybí zařazení (kategorie, typ, profil nebo měsíc). ","")&amp;IF(AND(OR($I295="Honza",$I295="Radek"),OR($J295="",$J295="Nevztahuje se")),"Doplnit charakter (osobní / pracovní). ","")&amp;IF(AND($W295="Schváleno",$AE295&gt;0),"Schváleno, ale má otevřené připomínky. ","")&amp;IF(AND($AA295="Publikováno",$AF295=0),"Publikováno bez záznamu v listu Publikace. ","")&amp;IF(AND($C295&lt;&gt;"",$D295=""),"Chybí číslo dílu série. ","")&amp;IF(AND($E295&lt;&gt;"",$W295&lt;&gt;"Schváleno",$W295&lt;&gt;"Odloženo",$W295&lt;&gt;"Zrušeno",IFERROR(VLOOKUP($E295,Nastavení!$A$30:$G$53,3,FALSE()),0)&gt;0,IFERROR(VLOOKUP($E295,Nastavení!$A$30:$G$53,3,FALSE()),0)&lt;TODAY()),"Neschváleno po termínu cyklu. ","")))</f>
        <v/>
      </c>
    </row>
    <row r="296" spans="1:35" x14ac:dyDescent="0.2">
      <c r="A296" s="35"/>
      <c r="B296" s="11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11"/>
      <c r="N296" s="11"/>
      <c r="O296" s="11"/>
      <c r="P296" s="11"/>
      <c r="Q296" s="11"/>
      <c r="R296" s="11"/>
      <c r="S296" s="11"/>
      <c r="T296" s="35"/>
      <c r="U296" s="36"/>
      <c r="V296" s="11"/>
      <c r="W296" s="35"/>
      <c r="X296" s="35"/>
      <c r="Y296" s="36"/>
      <c r="Z296" s="11"/>
      <c r="AA296" s="35"/>
      <c r="AB296" s="36"/>
      <c r="AC296" s="35"/>
      <c r="AD296" s="35"/>
      <c r="AE296" s="37" t="str">
        <f>IF($A296="","",COUNTIFS(Připomínky!$A$4:$A$503,$A296,Připomínky!$J$4:$J$503,"Nevyřešeno"))</f>
        <v/>
      </c>
      <c r="AF296" s="37" t="str">
        <f>IF($A296="","",COUNTIFS(Publikace!$A$4:$A$503,$A296))</f>
        <v/>
      </c>
      <c r="AG296" s="38" t="str">
        <f>IF($A296="","",IF(AF296=0,"",_xlfn.MINIFS(Publikace!$E$4:$E$503,Publikace!$A$4:$A$503,$A296)))</f>
        <v/>
      </c>
      <c r="AH296" s="37" t="str">
        <f t="shared" si="4"/>
        <v/>
      </c>
      <c r="AI296" s="39" t="str">
        <f ca="1">IF($A296="","",TRIM(IF(AND($U296&lt;&gt;"",$U296&lt;TODAY(),$W296&lt;&gt;"Schváleno",$W296&lt;&gt;"Odloženo",$W296&lt;&gt;"Zrušeno"),"Po termínu odevzdání. ","")&amp;IF(AND($W296="Schváleno",OR($X296="",$Y296="")),"Schváleno bez jména / data. ","")&amp;IF(OR($G296="",$H296="",$I296="",$F296=""),"Chybí zařazení (kategorie, typ, profil nebo měsíc). ","")&amp;IF(AND(OR($I296="Honza",$I296="Radek"),OR($J296="",$J296="Nevztahuje se")),"Doplnit charakter (osobní / pracovní). ","")&amp;IF(AND($W296="Schváleno",$AE296&gt;0),"Schváleno, ale má otevřené připomínky. ","")&amp;IF(AND($AA296="Publikováno",$AF296=0),"Publikováno bez záznamu v listu Publikace. ","")&amp;IF(AND($C296&lt;&gt;"",$D296=""),"Chybí číslo dílu série. ","")&amp;IF(AND($E296&lt;&gt;"",$W296&lt;&gt;"Schváleno",$W296&lt;&gt;"Odloženo",$W296&lt;&gt;"Zrušeno",IFERROR(VLOOKUP($E296,Nastavení!$A$30:$G$53,3,FALSE()),0)&gt;0,IFERROR(VLOOKUP($E296,Nastavení!$A$30:$G$53,3,FALSE()),0)&lt;TODAY()),"Neschváleno po termínu cyklu. ","")))</f>
        <v/>
      </c>
    </row>
    <row r="297" spans="1:35" x14ac:dyDescent="0.2">
      <c r="A297" s="35"/>
      <c r="B297" s="11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11"/>
      <c r="N297" s="11"/>
      <c r="O297" s="11"/>
      <c r="P297" s="11"/>
      <c r="Q297" s="11"/>
      <c r="R297" s="11"/>
      <c r="S297" s="11"/>
      <c r="T297" s="35"/>
      <c r="U297" s="36"/>
      <c r="V297" s="11"/>
      <c r="W297" s="35"/>
      <c r="X297" s="35"/>
      <c r="Y297" s="36"/>
      <c r="Z297" s="11"/>
      <c r="AA297" s="35"/>
      <c r="AB297" s="36"/>
      <c r="AC297" s="35"/>
      <c r="AD297" s="35"/>
      <c r="AE297" s="37" t="str">
        <f>IF($A297="","",COUNTIFS(Připomínky!$A$4:$A$503,$A297,Připomínky!$J$4:$J$503,"Nevyřešeno"))</f>
        <v/>
      </c>
      <c r="AF297" s="37" t="str">
        <f>IF($A297="","",COUNTIFS(Publikace!$A$4:$A$503,$A297))</f>
        <v/>
      </c>
      <c r="AG297" s="38" t="str">
        <f>IF($A297="","",IF(AF297=0,"",_xlfn.MINIFS(Publikace!$E$4:$E$503,Publikace!$A$4:$A$503,$A297)))</f>
        <v/>
      </c>
      <c r="AH297" s="37" t="str">
        <f t="shared" si="4"/>
        <v/>
      </c>
      <c r="AI297" s="39" t="str">
        <f ca="1">IF($A297="","",TRIM(IF(AND($U297&lt;&gt;"",$U297&lt;TODAY(),$W297&lt;&gt;"Schváleno",$W297&lt;&gt;"Odloženo",$W297&lt;&gt;"Zrušeno"),"Po termínu odevzdání. ","")&amp;IF(AND($W297="Schváleno",OR($X297="",$Y297="")),"Schváleno bez jména / data. ","")&amp;IF(OR($G297="",$H297="",$I297="",$F297=""),"Chybí zařazení (kategorie, typ, profil nebo měsíc). ","")&amp;IF(AND(OR($I297="Honza",$I297="Radek"),OR($J297="",$J297="Nevztahuje se")),"Doplnit charakter (osobní / pracovní). ","")&amp;IF(AND($W297="Schváleno",$AE297&gt;0),"Schváleno, ale má otevřené připomínky. ","")&amp;IF(AND($AA297="Publikováno",$AF297=0),"Publikováno bez záznamu v listu Publikace. ","")&amp;IF(AND($C297&lt;&gt;"",$D297=""),"Chybí číslo dílu série. ","")&amp;IF(AND($E297&lt;&gt;"",$W297&lt;&gt;"Schváleno",$W297&lt;&gt;"Odloženo",$W297&lt;&gt;"Zrušeno",IFERROR(VLOOKUP($E297,Nastavení!$A$30:$G$53,3,FALSE()),0)&gt;0,IFERROR(VLOOKUP($E297,Nastavení!$A$30:$G$53,3,FALSE()),0)&lt;TODAY()),"Neschváleno po termínu cyklu. ","")))</f>
        <v/>
      </c>
    </row>
    <row r="298" spans="1:35" x14ac:dyDescent="0.2">
      <c r="A298" s="35"/>
      <c r="B298" s="11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11"/>
      <c r="N298" s="11"/>
      <c r="O298" s="11"/>
      <c r="P298" s="11"/>
      <c r="Q298" s="11"/>
      <c r="R298" s="11"/>
      <c r="S298" s="11"/>
      <c r="T298" s="35"/>
      <c r="U298" s="36"/>
      <c r="V298" s="11"/>
      <c r="W298" s="35"/>
      <c r="X298" s="35"/>
      <c r="Y298" s="36"/>
      <c r="Z298" s="11"/>
      <c r="AA298" s="35"/>
      <c r="AB298" s="36"/>
      <c r="AC298" s="35"/>
      <c r="AD298" s="35"/>
      <c r="AE298" s="37" t="str">
        <f>IF($A298="","",COUNTIFS(Připomínky!$A$4:$A$503,$A298,Připomínky!$J$4:$J$503,"Nevyřešeno"))</f>
        <v/>
      </c>
      <c r="AF298" s="37" t="str">
        <f>IF($A298="","",COUNTIFS(Publikace!$A$4:$A$503,$A298))</f>
        <v/>
      </c>
      <c r="AG298" s="38" t="str">
        <f>IF($A298="","",IF(AF298=0,"",_xlfn.MINIFS(Publikace!$E$4:$E$503,Publikace!$A$4:$A$503,$A298)))</f>
        <v/>
      </c>
      <c r="AH298" s="37" t="str">
        <f t="shared" si="4"/>
        <v/>
      </c>
      <c r="AI298" s="39" t="str">
        <f ca="1">IF($A298="","",TRIM(IF(AND($U298&lt;&gt;"",$U298&lt;TODAY(),$W298&lt;&gt;"Schváleno",$W298&lt;&gt;"Odloženo",$W298&lt;&gt;"Zrušeno"),"Po termínu odevzdání. ","")&amp;IF(AND($W298="Schváleno",OR($X298="",$Y298="")),"Schváleno bez jména / data. ","")&amp;IF(OR($G298="",$H298="",$I298="",$F298=""),"Chybí zařazení (kategorie, typ, profil nebo měsíc). ","")&amp;IF(AND(OR($I298="Honza",$I298="Radek"),OR($J298="",$J298="Nevztahuje se")),"Doplnit charakter (osobní / pracovní). ","")&amp;IF(AND($W298="Schváleno",$AE298&gt;0),"Schváleno, ale má otevřené připomínky. ","")&amp;IF(AND($AA298="Publikováno",$AF298=0),"Publikováno bez záznamu v listu Publikace. ","")&amp;IF(AND($C298&lt;&gt;"",$D298=""),"Chybí číslo dílu série. ","")&amp;IF(AND($E298&lt;&gt;"",$W298&lt;&gt;"Schváleno",$W298&lt;&gt;"Odloženo",$W298&lt;&gt;"Zrušeno",IFERROR(VLOOKUP($E298,Nastavení!$A$30:$G$53,3,FALSE()),0)&gt;0,IFERROR(VLOOKUP($E298,Nastavení!$A$30:$G$53,3,FALSE()),0)&lt;TODAY()),"Neschváleno po termínu cyklu. ","")))</f>
        <v/>
      </c>
    </row>
    <row r="299" spans="1:35" x14ac:dyDescent="0.2">
      <c r="A299" s="35"/>
      <c r="B299" s="11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11"/>
      <c r="N299" s="11"/>
      <c r="O299" s="11"/>
      <c r="P299" s="11"/>
      <c r="Q299" s="11"/>
      <c r="R299" s="11"/>
      <c r="S299" s="11"/>
      <c r="T299" s="35"/>
      <c r="U299" s="36"/>
      <c r="V299" s="11"/>
      <c r="W299" s="35"/>
      <c r="X299" s="35"/>
      <c r="Y299" s="36"/>
      <c r="Z299" s="11"/>
      <c r="AA299" s="35"/>
      <c r="AB299" s="36"/>
      <c r="AC299" s="35"/>
      <c r="AD299" s="35"/>
      <c r="AE299" s="37" t="str">
        <f>IF($A299="","",COUNTIFS(Připomínky!$A$4:$A$503,$A299,Připomínky!$J$4:$J$503,"Nevyřešeno"))</f>
        <v/>
      </c>
      <c r="AF299" s="37" t="str">
        <f>IF($A299="","",COUNTIFS(Publikace!$A$4:$A$503,$A299))</f>
        <v/>
      </c>
      <c r="AG299" s="38" t="str">
        <f>IF($A299="","",IF(AF299=0,"",_xlfn.MINIFS(Publikace!$E$4:$E$503,Publikace!$A$4:$A$503,$A299)))</f>
        <v/>
      </c>
      <c r="AH299" s="37" t="str">
        <f t="shared" si="4"/>
        <v/>
      </c>
      <c r="AI299" s="39" t="str">
        <f ca="1">IF($A299="","",TRIM(IF(AND($U299&lt;&gt;"",$U299&lt;TODAY(),$W299&lt;&gt;"Schváleno",$W299&lt;&gt;"Odloženo",$W299&lt;&gt;"Zrušeno"),"Po termínu odevzdání. ","")&amp;IF(AND($W299="Schváleno",OR($X299="",$Y299="")),"Schváleno bez jména / data. ","")&amp;IF(OR($G299="",$H299="",$I299="",$F299=""),"Chybí zařazení (kategorie, typ, profil nebo měsíc). ","")&amp;IF(AND(OR($I299="Honza",$I299="Radek"),OR($J299="",$J299="Nevztahuje se")),"Doplnit charakter (osobní / pracovní). ","")&amp;IF(AND($W299="Schváleno",$AE299&gt;0),"Schváleno, ale má otevřené připomínky. ","")&amp;IF(AND($AA299="Publikováno",$AF299=0),"Publikováno bez záznamu v listu Publikace. ","")&amp;IF(AND($C299&lt;&gt;"",$D299=""),"Chybí číslo dílu série. ","")&amp;IF(AND($E299&lt;&gt;"",$W299&lt;&gt;"Schváleno",$W299&lt;&gt;"Odloženo",$W299&lt;&gt;"Zrušeno",IFERROR(VLOOKUP($E299,Nastavení!$A$30:$G$53,3,FALSE()),0)&gt;0,IFERROR(VLOOKUP($E299,Nastavení!$A$30:$G$53,3,FALSE()),0)&lt;TODAY()),"Neschváleno po termínu cyklu. ","")))</f>
        <v/>
      </c>
    </row>
    <row r="300" spans="1:35" x14ac:dyDescent="0.2">
      <c r="A300" s="35"/>
      <c r="B300" s="11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11"/>
      <c r="N300" s="11"/>
      <c r="O300" s="11"/>
      <c r="P300" s="11"/>
      <c r="Q300" s="11"/>
      <c r="R300" s="11"/>
      <c r="S300" s="11"/>
      <c r="T300" s="35"/>
      <c r="U300" s="36"/>
      <c r="V300" s="11"/>
      <c r="W300" s="35"/>
      <c r="X300" s="35"/>
      <c r="Y300" s="36"/>
      <c r="Z300" s="11"/>
      <c r="AA300" s="35"/>
      <c r="AB300" s="36"/>
      <c r="AC300" s="35"/>
      <c r="AD300" s="35"/>
      <c r="AE300" s="37" t="str">
        <f>IF($A300="","",COUNTIFS(Připomínky!$A$4:$A$503,$A300,Připomínky!$J$4:$J$503,"Nevyřešeno"))</f>
        <v/>
      </c>
      <c r="AF300" s="37" t="str">
        <f>IF($A300="","",COUNTIFS(Publikace!$A$4:$A$503,$A300))</f>
        <v/>
      </c>
      <c r="AG300" s="38" t="str">
        <f>IF($A300="","",IF(AF300=0,"",_xlfn.MINIFS(Publikace!$E$4:$E$503,Publikace!$A$4:$A$503,$A300)))</f>
        <v/>
      </c>
      <c r="AH300" s="37" t="str">
        <f t="shared" si="4"/>
        <v/>
      </c>
      <c r="AI300" s="39" t="str">
        <f ca="1">IF($A300="","",TRIM(IF(AND($U300&lt;&gt;"",$U300&lt;TODAY(),$W300&lt;&gt;"Schváleno",$W300&lt;&gt;"Odloženo",$W300&lt;&gt;"Zrušeno"),"Po termínu odevzdání. ","")&amp;IF(AND($W300="Schváleno",OR($X300="",$Y300="")),"Schváleno bez jména / data. ","")&amp;IF(OR($G300="",$H300="",$I300="",$F300=""),"Chybí zařazení (kategorie, typ, profil nebo měsíc). ","")&amp;IF(AND(OR($I300="Honza",$I300="Radek"),OR($J300="",$J300="Nevztahuje se")),"Doplnit charakter (osobní / pracovní). ","")&amp;IF(AND($W300="Schváleno",$AE300&gt;0),"Schváleno, ale má otevřené připomínky. ","")&amp;IF(AND($AA300="Publikováno",$AF300=0),"Publikováno bez záznamu v listu Publikace. ","")&amp;IF(AND($C300&lt;&gt;"",$D300=""),"Chybí číslo dílu série. ","")&amp;IF(AND($E300&lt;&gt;"",$W300&lt;&gt;"Schváleno",$W300&lt;&gt;"Odloženo",$W300&lt;&gt;"Zrušeno",IFERROR(VLOOKUP($E300,Nastavení!$A$30:$G$53,3,FALSE()),0)&gt;0,IFERROR(VLOOKUP($E300,Nastavení!$A$30:$G$53,3,FALSE()),0)&lt;TODAY()),"Neschváleno po termínu cyklu. ","")))</f>
        <v/>
      </c>
    </row>
    <row r="301" spans="1:35" x14ac:dyDescent="0.2">
      <c r="A301" s="35"/>
      <c r="B301" s="11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11"/>
      <c r="N301" s="11"/>
      <c r="O301" s="11"/>
      <c r="P301" s="11"/>
      <c r="Q301" s="11"/>
      <c r="R301" s="11"/>
      <c r="S301" s="11"/>
      <c r="T301" s="35"/>
      <c r="U301" s="36"/>
      <c r="V301" s="11"/>
      <c r="W301" s="35"/>
      <c r="X301" s="35"/>
      <c r="Y301" s="36"/>
      <c r="Z301" s="11"/>
      <c r="AA301" s="35"/>
      <c r="AB301" s="36"/>
      <c r="AC301" s="35"/>
      <c r="AD301" s="35"/>
      <c r="AE301" s="37" t="str">
        <f>IF($A301="","",COUNTIFS(Připomínky!$A$4:$A$503,$A301,Připomínky!$J$4:$J$503,"Nevyřešeno"))</f>
        <v/>
      </c>
      <c r="AF301" s="37" t="str">
        <f>IF($A301="","",COUNTIFS(Publikace!$A$4:$A$503,$A301))</f>
        <v/>
      </c>
      <c r="AG301" s="38" t="str">
        <f>IF($A301="","",IF(AF301=0,"",_xlfn.MINIFS(Publikace!$E$4:$E$503,Publikace!$A$4:$A$503,$A301)))</f>
        <v/>
      </c>
      <c r="AH301" s="37" t="str">
        <f t="shared" si="4"/>
        <v/>
      </c>
      <c r="AI301" s="39" t="str">
        <f ca="1">IF($A301="","",TRIM(IF(AND($U301&lt;&gt;"",$U301&lt;TODAY(),$W301&lt;&gt;"Schváleno",$W301&lt;&gt;"Odloženo",$W301&lt;&gt;"Zrušeno"),"Po termínu odevzdání. ","")&amp;IF(AND($W301="Schváleno",OR($X301="",$Y301="")),"Schváleno bez jména / data. ","")&amp;IF(OR($G301="",$H301="",$I301="",$F301=""),"Chybí zařazení (kategorie, typ, profil nebo měsíc). ","")&amp;IF(AND(OR($I301="Honza",$I301="Radek"),OR($J301="",$J301="Nevztahuje se")),"Doplnit charakter (osobní / pracovní). ","")&amp;IF(AND($W301="Schváleno",$AE301&gt;0),"Schváleno, ale má otevřené připomínky. ","")&amp;IF(AND($AA301="Publikováno",$AF301=0),"Publikováno bez záznamu v listu Publikace. ","")&amp;IF(AND($C301&lt;&gt;"",$D301=""),"Chybí číslo dílu série. ","")&amp;IF(AND($E301&lt;&gt;"",$W301&lt;&gt;"Schváleno",$W301&lt;&gt;"Odloženo",$W301&lt;&gt;"Zrušeno",IFERROR(VLOOKUP($E301,Nastavení!$A$30:$G$53,3,FALSE()),0)&gt;0,IFERROR(VLOOKUP($E301,Nastavení!$A$30:$G$53,3,FALSE()),0)&lt;TODAY()),"Neschváleno po termínu cyklu. ","")))</f>
        <v/>
      </c>
    </row>
    <row r="302" spans="1:35" x14ac:dyDescent="0.2">
      <c r="A302" s="35"/>
      <c r="B302" s="11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11"/>
      <c r="N302" s="11"/>
      <c r="O302" s="11"/>
      <c r="P302" s="11"/>
      <c r="Q302" s="11"/>
      <c r="R302" s="11"/>
      <c r="S302" s="11"/>
      <c r="T302" s="35"/>
      <c r="U302" s="36"/>
      <c r="V302" s="11"/>
      <c r="W302" s="35"/>
      <c r="X302" s="35"/>
      <c r="Y302" s="36"/>
      <c r="Z302" s="11"/>
      <c r="AA302" s="35"/>
      <c r="AB302" s="36"/>
      <c r="AC302" s="35"/>
      <c r="AD302" s="35"/>
      <c r="AE302" s="37" t="str">
        <f>IF($A302="","",COUNTIFS(Připomínky!$A$4:$A$503,$A302,Připomínky!$J$4:$J$503,"Nevyřešeno"))</f>
        <v/>
      </c>
      <c r="AF302" s="37" t="str">
        <f>IF($A302="","",COUNTIFS(Publikace!$A$4:$A$503,$A302))</f>
        <v/>
      </c>
      <c r="AG302" s="38" t="str">
        <f>IF($A302="","",IF(AF302=0,"",_xlfn.MINIFS(Publikace!$E$4:$E$503,Publikace!$A$4:$A$503,$A302)))</f>
        <v/>
      </c>
      <c r="AH302" s="37" t="str">
        <f t="shared" si="4"/>
        <v/>
      </c>
      <c r="AI302" s="39" t="str">
        <f ca="1">IF($A302="","",TRIM(IF(AND($U302&lt;&gt;"",$U302&lt;TODAY(),$W302&lt;&gt;"Schváleno",$W302&lt;&gt;"Odloženo",$W302&lt;&gt;"Zrušeno"),"Po termínu odevzdání. ","")&amp;IF(AND($W302="Schváleno",OR($X302="",$Y302="")),"Schváleno bez jména / data. ","")&amp;IF(OR($G302="",$H302="",$I302="",$F302=""),"Chybí zařazení (kategorie, typ, profil nebo měsíc). ","")&amp;IF(AND(OR($I302="Honza",$I302="Radek"),OR($J302="",$J302="Nevztahuje se")),"Doplnit charakter (osobní / pracovní). ","")&amp;IF(AND($W302="Schváleno",$AE302&gt;0),"Schváleno, ale má otevřené připomínky. ","")&amp;IF(AND($AA302="Publikováno",$AF302=0),"Publikováno bez záznamu v listu Publikace. ","")&amp;IF(AND($C302&lt;&gt;"",$D302=""),"Chybí číslo dílu série. ","")&amp;IF(AND($E302&lt;&gt;"",$W302&lt;&gt;"Schváleno",$W302&lt;&gt;"Odloženo",$W302&lt;&gt;"Zrušeno",IFERROR(VLOOKUP($E302,Nastavení!$A$30:$G$53,3,FALSE()),0)&gt;0,IFERROR(VLOOKUP($E302,Nastavení!$A$30:$G$53,3,FALSE()),0)&lt;TODAY()),"Neschváleno po termínu cyklu. ","")))</f>
        <v/>
      </c>
    </row>
    <row r="303" spans="1:35" x14ac:dyDescent="0.2">
      <c r="A303" s="35"/>
      <c r="B303" s="11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11"/>
      <c r="N303" s="11"/>
      <c r="O303" s="11"/>
      <c r="P303" s="11"/>
      <c r="Q303" s="11"/>
      <c r="R303" s="11"/>
      <c r="S303" s="11"/>
      <c r="T303" s="35"/>
      <c r="U303" s="36"/>
      <c r="V303" s="11"/>
      <c r="W303" s="35"/>
      <c r="X303" s="35"/>
      <c r="Y303" s="36"/>
      <c r="Z303" s="11"/>
      <c r="AA303" s="35"/>
      <c r="AB303" s="36"/>
      <c r="AC303" s="35"/>
      <c r="AD303" s="35"/>
      <c r="AE303" s="37" t="str">
        <f>IF($A303="","",COUNTIFS(Připomínky!$A$4:$A$503,$A303,Připomínky!$J$4:$J$503,"Nevyřešeno"))</f>
        <v/>
      </c>
      <c r="AF303" s="37" t="str">
        <f>IF($A303="","",COUNTIFS(Publikace!$A$4:$A$503,$A303))</f>
        <v/>
      </c>
      <c r="AG303" s="38" t="str">
        <f>IF($A303="","",IF(AF303=0,"",_xlfn.MINIFS(Publikace!$E$4:$E$503,Publikace!$A$4:$A$503,$A303)))</f>
        <v/>
      </c>
      <c r="AH303" s="37" t="str">
        <f t="shared" si="4"/>
        <v/>
      </c>
      <c r="AI303" s="39" t="str">
        <f ca="1">IF($A303="","",TRIM(IF(AND($U303&lt;&gt;"",$U303&lt;TODAY(),$W303&lt;&gt;"Schváleno",$W303&lt;&gt;"Odloženo",$W303&lt;&gt;"Zrušeno"),"Po termínu odevzdání. ","")&amp;IF(AND($W303="Schváleno",OR($X303="",$Y303="")),"Schváleno bez jména / data. ","")&amp;IF(OR($G303="",$H303="",$I303="",$F303=""),"Chybí zařazení (kategorie, typ, profil nebo měsíc). ","")&amp;IF(AND(OR($I303="Honza",$I303="Radek"),OR($J303="",$J303="Nevztahuje se")),"Doplnit charakter (osobní / pracovní). ","")&amp;IF(AND($W303="Schváleno",$AE303&gt;0),"Schváleno, ale má otevřené připomínky. ","")&amp;IF(AND($AA303="Publikováno",$AF303=0),"Publikováno bez záznamu v listu Publikace. ","")&amp;IF(AND($C303&lt;&gt;"",$D303=""),"Chybí číslo dílu série. ","")&amp;IF(AND($E303&lt;&gt;"",$W303&lt;&gt;"Schváleno",$W303&lt;&gt;"Odloženo",$W303&lt;&gt;"Zrušeno",IFERROR(VLOOKUP($E303,Nastavení!$A$30:$G$53,3,FALSE()),0)&gt;0,IFERROR(VLOOKUP($E303,Nastavení!$A$30:$G$53,3,FALSE()),0)&lt;TODAY()),"Neschváleno po termínu cyklu. ","")))</f>
        <v/>
      </c>
    </row>
    <row r="304" spans="1:35" x14ac:dyDescent="0.2">
      <c r="A304" s="35"/>
      <c r="B304" s="11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11"/>
      <c r="N304" s="11"/>
      <c r="O304" s="11"/>
      <c r="P304" s="11"/>
      <c r="Q304" s="11"/>
      <c r="R304" s="11"/>
      <c r="S304" s="11"/>
      <c r="T304" s="35"/>
      <c r="U304" s="36"/>
      <c r="V304" s="11"/>
      <c r="W304" s="35"/>
      <c r="X304" s="35"/>
      <c r="Y304" s="36"/>
      <c r="Z304" s="11"/>
      <c r="AA304" s="35"/>
      <c r="AB304" s="36"/>
      <c r="AC304" s="35"/>
      <c r="AD304" s="35"/>
      <c r="AE304" s="37" t="str">
        <f>IF($A304="","",COUNTIFS(Připomínky!$A$4:$A$503,$A304,Připomínky!$J$4:$J$503,"Nevyřešeno"))</f>
        <v/>
      </c>
      <c r="AF304" s="37" t="str">
        <f>IF($A304="","",COUNTIFS(Publikace!$A$4:$A$503,$A304))</f>
        <v/>
      </c>
      <c r="AG304" s="38" t="str">
        <f>IF($A304="","",IF(AF304=0,"",_xlfn.MINIFS(Publikace!$E$4:$E$503,Publikace!$A$4:$A$503,$A304)))</f>
        <v/>
      </c>
      <c r="AH304" s="37" t="str">
        <f t="shared" si="4"/>
        <v/>
      </c>
      <c r="AI304" s="39" t="str">
        <f ca="1">IF($A304="","",TRIM(IF(AND($U304&lt;&gt;"",$U304&lt;TODAY(),$W304&lt;&gt;"Schváleno",$W304&lt;&gt;"Odloženo",$W304&lt;&gt;"Zrušeno"),"Po termínu odevzdání. ","")&amp;IF(AND($W304="Schváleno",OR($X304="",$Y304="")),"Schváleno bez jména / data. ","")&amp;IF(OR($G304="",$H304="",$I304="",$F304=""),"Chybí zařazení (kategorie, typ, profil nebo měsíc). ","")&amp;IF(AND(OR($I304="Honza",$I304="Radek"),OR($J304="",$J304="Nevztahuje se")),"Doplnit charakter (osobní / pracovní). ","")&amp;IF(AND($W304="Schváleno",$AE304&gt;0),"Schváleno, ale má otevřené připomínky. ","")&amp;IF(AND($AA304="Publikováno",$AF304=0),"Publikováno bez záznamu v listu Publikace. ","")&amp;IF(AND($C304&lt;&gt;"",$D304=""),"Chybí číslo dílu série. ","")&amp;IF(AND($E304&lt;&gt;"",$W304&lt;&gt;"Schváleno",$W304&lt;&gt;"Odloženo",$W304&lt;&gt;"Zrušeno",IFERROR(VLOOKUP($E304,Nastavení!$A$30:$G$53,3,FALSE()),0)&gt;0,IFERROR(VLOOKUP($E304,Nastavení!$A$30:$G$53,3,FALSE()),0)&lt;TODAY()),"Neschváleno po termínu cyklu. ","")))</f>
        <v/>
      </c>
    </row>
    <row r="305" spans="1:35" x14ac:dyDescent="0.2">
      <c r="A305" s="35"/>
      <c r="B305" s="11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11"/>
      <c r="N305" s="11"/>
      <c r="O305" s="11"/>
      <c r="P305" s="11"/>
      <c r="Q305" s="11"/>
      <c r="R305" s="11"/>
      <c r="S305" s="11"/>
      <c r="T305" s="35"/>
      <c r="U305" s="36"/>
      <c r="V305" s="11"/>
      <c r="W305" s="35"/>
      <c r="X305" s="35"/>
      <c r="Y305" s="36"/>
      <c r="Z305" s="11"/>
      <c r="AA305" s="35"/>
      <c r="AB305" s="36"/>
      <c r="AC305" s="35"/>
      <c r="AD305" s="35"/>
      <c r="AE305" s="37" t="str">
        <f>IF($A305="","",COUNTIFS(Připomínky!$A$4:$A$503,$A305,Připomínky!$J$4:$J$503,"Nevyřešeno"))</f>
        <v/>
      </c>
      <c r="AF305" s="37" t="str">
        <f>IF($A305="","",COUNTIFS(Publikace!$A$4:$A$503,$A305))</f>
        <v/>
      </c>
      <c r="AG305" s="38" t="str">
        <f>IF($A305="","",IF(AF305=0,"",_xlfn.MINIFS(Publikace!$E$4:$E$503,Publikace!$A$4:$A$503,$A305)))</f>
        <v/>
      </c>
      <c r="AH305" s="37" t="str">
        <f t="shared" si="4"/>
        <v/>
      </c>
      <c r="AI305" s="39" t="str">
        <f ca="1">IF($A305="","",TRIM(IF(AND($U305&lt;&gt;"",$U305&lt;TODAY(),$W305&lt;&gt;"Schváleno",$W305&lt;&gt;"Odloženo",$W305&lt;&gt;"Zrušeno"),"Po termínu odevzdání. ","")&amp;IF(AND($W305="Schváleno",OR($X305="",$Y305="")),"Schváleno bez jména / data. ","")&amp;IF(OR($G305="",$H305="",$I305="",$F305=""),"Chybí zařazení (kategorie, typ, profil nebo měsíc). ","")&amp;IF(AND(OR($I305="Honza",$I305="Radek"),OR($J305="",$J305="Nevztahuje se")),"Doplnit charakter (osobní / pracovní). ","")&amp;IF(AND($W305="Schváleno",$AE305&gt;0),"Schváleno, ale má otevřené připomínky. ","")&amp;IF(AND($AA305="Publikováno",$AF305=0),"Publikováno bez záznamu v listu Publikace. ","")&amp;IF(AND($C305&lt;&gt;"",$D305=""),"Chybí číslo dílu série. ","")&amp;IF(AND($E305&lt;&gt;"",$W305&lt;&gt;"Schváleno",$W305&lt;&gt;"Odloženo",$W305&lt;&gt;"Zrušeno",IFERROR(VLOOKUP($E305,Nastavení!$A$30:$G$53,3,FALSE()),0)&gt;0,IFERROR(VLOOKUP($E305,Nastavení!$A$30:$G$53,3,FALSE()),0)&lt;TODAY()),"Neschváleno po termínu cyklu. ","")))</f>
        <v/>
      </c>
    </row>
    <row r="306" spans="1:35" x14ac:dyDescent="0.2">
      <c r="A306" s="35"/>
      <c r="B306" s="11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11"/>
      <c r="N306" s="11"/>
      <c r="O306" s="11"/>
      <c r="P306" s="11"/>
      <c r="Q306" s="11"/>
      <c r="R306" s="11"/>
      <c r="S306" s="11"/>
      <c r="T306" s="35"/>
      <c r="U306" s="36"/>
      <c r="V306" s="11"/>
      <c r="W306" s="35"/>
      <c r="X306" s="35"/>
      <c r="Y306" s="36"/>
      <c r="Z306" s="11"/>
      <c r="AA306" s="35"/>
      <c r="AB306" s="36"/>
      <c r="AC306" s="35"/>
      <c r="AD306" s="35"/>
      <c r="AE306" s="37" t="str">
        <f>IF($A306="","",COUNTIFS(Připomínky!$A$4:$A$503,$A306,Připomínky!$J$4:$J$503,"Nevyřešeno"))</f>
        <v/>
      </c>
      <c r="AF306" s="37" t="str">
        <f>IF($A306="","",COUNTIFS(Publikace!$A$4:$A$503,$A306))</f>
        <v/>
      </c>
      <c r="AG306" s="38" t="str">
        <f>IF($A306="","",IF(AF306=0,"",_xlfn.MINIFS(Publikace!$E$4:$E$503,Publikace!$A$4:$A$503,$A306)))</f>
        <v/>
      </c>
      <c r="AH306" s="37" t="str">
        <f t="shared" si="4"/>
        <v/>
      </c>
      <c r="AI306" s="39" t="str">
        <f ca="1">IF($A306="","",TRIM(IF(AND($U306&lt;&gt;"",$U306&lt;TODAY(),$W306&lt;&gt;"Schváleno",$W306&lt;&gt;"Odloženo",$W306&lt;&gt;"Zrušeno"),"Po termínu odevzdání. ","")&amp;IF(AND($W306="Schváleno",OR($X306="",$Y306="")),"Schváleno bez jména / data. ","")&amp;IF(OR($G306="",$H306="",$I306="",$F306=""),"Chybí zařazení (kategorie, typ, profil nebo měsíc). ","")&amp;IF(AND(OR($I306="Honza",$I306="Radek"),OR($J306="",$J306="Nevztahuje se")),"Doplnit charakter (osobní / pracovní). ","")&amp;IF(AND($W306="Schváleno",$AE306&gt;0),"Schváleno, ale má otevřené připomínky. ","")&amp;IF(AND($AA306="Publikováno",$AF306=0),"Publikováno bez záznamu v listu Publikace. ","")&amp;IF(AND($C306&lt;&gt;"",$D306=""),"Chybí číslo dílu série. ","")&amp;IF(AND($E306&lt;&gt;"",$W306&lt;&gt;"Schváleno",$W306&lt;&gt;"Odloženo",$W306&lt;&gt;"Zrušeno",IFERROR(VLOOKUP($E306,Nastavení!$A$30:$G$53,3,FALSE()),0)&gt;0,IFERROR(VLOOKUP($E306,Nastavení!$A$30:$G$53,3,FALSE()),0)&lt;TODAY()),"Neschváleno po termínu cyklu. ","")))</f>
        <v/>
      </c>
    </row>
    <row r="307" spans="1:35" x14ac:dyDescent="0.2">
      <c r="A307" s="35"/>
      <c r="B307" s="11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11"/>
      <c r="N307" s="11"/>
      <c r="O307" s="11"/>
      <c r="P307" s="11"/>
      <c r="Q307" s="11"/>
      <c r="R307" s="11"/>
      <c r="S307" s="11"/>
      <c r="T307" s="35"/>
      <c r="U307" s="36"/>
      <c r="V307" s="11"/>
      <c r="W307" s="35"/>
      <c r="X307" s="35"/>
      <c r="Y307" s="36"/>
      <c r="Z307" s="11"/>
      <c r="AA307" s="35"/>
      <c r="AB307" s="36"/>
      <c r="AC307" s="35"/>
      <c r="AD307" s="35"/>
      <c r="AE307" s="37" t="str">
        <f>IF($A307="","",COUNTIFS(Připomínky!$A$4:$A$503,$A307,Připomínky!$J$4:$J$503,"Nevyřešeno"))</f>
        <v/>
      </c>
      <c r="AF307" s="37" t="str">
        <f>IF($A307="","",COUNTIFS(Publikace!$A$4:$A$503,$A307))</f>
        <v/>
      </c>
      <c r="AG307" s="38" t="str">
        <f>IF($A307="","",IF(AF307=0,"",_xlfn.MINIFS(Publikace!$E$4:$E$503,Publikace!$A$4:$A$503,$A307)))</f>
        <v/>
      </c>
      <c r="AH307" s="37" t="str">
        <f t="shared" si="4"/>
        <v/>
      </c>
      <c r="AI307" s="39" t="str">
        <f ca="1">IF($A307="","",TRIM(IF(AND($U307&lt;&gt;"",$U307&lt;TODAY(),$W307&lt;&gt;"Schváleno",$W307&lt;&gt;"Odloženo",$W307&lt;&gt;"Zrušeno"),"Po termínu odevzdání. ","")&amp;IF(AND($W307="Schváleno",OR($X307="",$Y307="")),"Schváleno bez jména / data. ","")&amp;IF(OR($G307="",$H307="",$I307="",$F307=""),"Chybí zařazení (kategorie, typ, profil nebo měsíc). ","")&amp;IF(AND(OR($I307="Honza",$I307="Radek"),OR($J307="",$J307="Nevztahuje se")),"Doplnit charakter (osobní / pracovní). ","")&amp;IF(AND($W307="Schváleno",$AE307&gt;0),"Schváleno, ale má otevřené připomínky. ","")&amp;IF(AND($AA307="Publikováno",$AF307=0),"Publikováno bez záznamu v listu Publikace. ","")&amp;IF(AND($C307&lt;&gt;"",$D307=""),"Chybí číslo dílu série. ","")&amp;IF(AND($E307&lt;&gt;"",$W307&lt;&gt;"Schváleno",$W307&lt;&gt;"Odloženo",$W307&lt;&gt;"Zrušeno",IFERROR(VLOOKUP($E307,Nastavení!$A$30:$G$53,3,FALSE()),0)&gt;0,IFERROR(VLOOKUP($E307,Nastavení!$A$30:$G$53,3,FALSE()),0)&lt;TODAY()),"Neschváleno po termínu cyklu. ","")))</f>
        <v/>
      </c>
    </row>
    <row r="308" spans="1:35" x14ac:dyDescent="0.2">
      <c r="A308" s="35"/>
      <c r="B308" s="11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11"/>
      <c r="N308" s="11"/>
      <c r="O308" s="11"/>
      <c r="P308" s="11"/>
      <c r="Q308" s="11"/>
      <c r="R308" s="11"/>
      <c r="S308" s="11"/>
      <c r="T308" s="35"/>
      <c r="U308" s="36"/>
      <c r="V308" s="11"/>
      <c r="W308" s="35"/>
      <c r="X308" s="35"/>
      <c r="Y308" s="36"/>
      <c r="Z308" s="11"/>
      <c r="AA308" s="35"/>
      <c r="AB308" s="36"/>
      <c r="AC308" s="35"/>
      <c r="AD308" s="35"/>
      <c r="AE308" s="37" t="str">
        <f>IF($A308="","",COUNTIFS(Připomínky!$A$4:$A$503,$A308,Připomínky!$J$4:$J$503,"Nevyřešeno"))</f>
        <v/>
      </c>
      <c r="AF308" s="37" t="str">
        <f>IF($A308="","",COUNTIFS(Publikace!$A$4:$A$503,$A308))</f>
        <v/>
      </c>
      <c r="AG308" s="38" t="str">
        <f>IF($A308="","",IF(AF308=0,"",_xlfn.MINIFS(Publikace!$E$4:$E$503,Publikace!$A$4:$A$503,$A308)))</f>
        <v/>
      </c>
      <c r="AH308" s="37" t="str">
        <f t="shared" si="4"/>
        <v/>
      </c>
      <c r="AI308" s="39" t="str">
        <f ca="1">IF($A308="","",TRIM(IF(AND($U308&lt;&gt;"",$U308&lt;TODAY(),$W308&lt;&gt;"Schváleno",$W308&lt;&gt;"Odloženo",$W308&lt;&gt;"Zrušeno"),"Po termínu odevzdání. ","")&amp;IF(AND($W308="Schváleno",OR($X308="",$Y308="")),"Schváleno bez jména / data. ","")&amp;IF(OR($G308="",$H308="",$I308="",$F308=""),"Chybí zařazení (kategorie, typ, profil nebo měsíc). ","")&amp;IF(AND(OR($I308="Honza",$I308="Radek"),OR($J308="",$J308="Nevztahuje se")),"Doplnit charakter (osobní / pracovní). ","")&amp;IF(AND($W308="Schváleno",$AE308&gt;0),"Schváleno, ale má otevřené připomínky. ","")&amp;IF(AND($AA308="Publikováno",$AF308=0),"Publikováno bez záznamu v listu Publikace. ","")&amp;IF(AND($C308&lt;&gt;"",$D308=""),"Chybí číslo dílu série. ","")&amp;IF(AND($E308&lt;&gt;"",$W308&lt;&gt;"Schváleno",$W308&lt;&gt;"Odloženo",$W308&lt;&gt;"Zrušeno",IFERROR(VLOOKUP($E308,Nastavení!$A$30:$G$53,3,FALSE()),0)&gt;0,IFERROR(VLOOKUP($E308,Nastavení!$A$30:$G$53,3,FALSE()),0)&lt;TODAY()),"Neschváleno po termínu cyklu. ","")))</f>
        <v/>
      </c>
    </row>
    <row r="309" spans="1:35" x14ac:dyDescent="0.2">
      <c r="A309" s="35"/>
      <c r="B309" s="11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11"/>
      <c r="N309" s="11"/>
      <c r="O309" s="11"/>
      <c r="P309" s="11"/>
      <c r="Q309" s="11"/>
      <c r="R309" s="11"/>
      <c r="S309" s="11"/>
      <c r="T309" s="35"/>
      <c r="U309" s="36"/>
      <c r="V309" s="11"/>
      <c r="W309" s="35"/>
      <c r="X309" s="35"/>
      <c r="Y309" s="36"/>
      <c r="Z309" s="11"/>
      <c r="AA309" s="35"/>
      <c r="AB309" s="36"/>
      <c r="AC309" s="35"/>
      <c r="AD309" s="35"/>
      <c r="AE309" s="37" t="str">
        <f>IF($A309="","",COUNTIFS(Připomínky!$A$4:$A$503,$A309,Připomínky!$J$4:$J$503,"Nevyřešeno"))</f>
        <v/>
      </c>
      <c r="AF309" s="37" t="str">
        <f>IF($A309="","",COUNTIFS(Publikace!$A$4:$A$503,$A309))</f>
        <v/>
      </c>
      <c r="AG309" s="38" t="str">
        <f>IF($A309="","",IF(AF309=0,"",_xlfn.MINIFS(Publikace!$E$4:$E$503,Publikace!$A$4:$A$503,$A309)))</f>
        <v/>
      </c>
      <c r="AH309" s="37" t="str">
        <f t="shared" si="4"/>
        <v/>
      </c>
      <c r="AI309" s="39" t="str">
        <f ca="1">IF($A309="","",TRIM(IF(AND($U309&lt;&gt;"",$U309&lt;TODAY(),$W309&lt;&gt;"Schváleno",$W309&lt;&gt;"Odloženo",$W309&lt;&gt;"Zrušeno"),"Po termínu odevzdání. ","")&amp;IF(AND($W309="Schváleno",OR($X309="",$Y309="")),"Schváleno bez jména / data. ","")&amp;IF(OR($G309="",$H309="",$I309="",$F309=""),"Chybí zařazení (kategorie, typ, profil nebo měsíc). ","")&amp;IF(AND(OR($I309="Honza",$I309="Radek"),OR($J309="",$J309="Nevztahuje se")),"Doplnit charakter (osobní / pracovní). ","")&amp;IF(AND($W309="Schváleno",$AE309&gt;0),"Schváleno, ale má otevřené připomínky. ","")&amp;IF(AND($AA309="Publikováno",$AF309=0),"Publikováno bez záznamu v listu Publikace. ","")&amp;IF(AND($C309&lt;&gt;"",$D309=""),"Chybí číslo dílu série. ","")&amp;IF(AND($E309&lt;&gt;"",$W309&lt;&gt;"Schváleno",$W309&lt;&gt;"Odloženo",$W309&lt;&gt;"Zrušeno",IFERROR(VLOOKUP($E309,Nastavení!$A$30:$G$53,3,FALSE()),0)&gt;0,IFERROR(VLOOKUP($E309,Nastavení!$A$30:$G$53,3,FALSE()),0)&lt;TODAY()),"Neschváleno po termínu cyklu. ","")))</f>
        <v/>
      </c>
    </row>
    <row r="310" spans="1:35" x14ac:dyDescent="0.2">
      <c r="A310" s="35"/>
      <c r="B310" s="11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11"/>
      <c r="N310" s="11"/>
      <c r="O310" s="11"/>
      <c r="P310" s="11"/>
      <c r="Q310" s="11"/>
      <c r="R310" s="11"/>
      <c r="S310" s="11"/>
      <c r="T310" s="35"/>
      <c r="U310" s="36"/>
      <c r="V310" s="11"/>
      <c r="W310" s="35"/>
      <c r="X310" s="35"/>
      <c r="Y310" s="36"/>
      <c r="Z310" s="11"/>
      <c r="AA310" s="35"/>
      <c r="AB310" s="36"/>
      <c r="AC310" s="35"/>
      <c r="AD310" s="35"/>
      <c r="AE310" s="37" t="str">
        <f>IF($A310="","",COUNTIFS(Připomínky!$A$4:$A$503,$A310,Připomínky!$J$4:$J$503,"Nevyřešeno"))</f>
        <v/>
      </c>
      <c r="AF310" s="37" t="str">
        <f>IF($A310="","",COUNTIFS(Publikace!$A$4:$A$503,$A310))</f>
        <v/>
      </c>
      <c r="AG310" s="38" t="str">
        <f>IF($A310="","",IF(AF310=0,"",_xlfn.MINIFS(Publikace!$E$4:$E$503,Publikace!$A$4:$A$503,$A310)))</f>
        <v/>
      </c>
      <c r="AH310" s="37" t="str">
        <f t="shared" si="4"/>
        <v/>
      </c>
      <c r="AI310" s="39" t="str">
        <f ca="1">IF($A310="","",TRIM(IF(AND($U310&lt;&gt;"",$U310&lt;TODAY(),$W310&lt;&gt;"Schváleno",$W310&lt;&gt;"Odloženo",$W310&lt;&gt;"Zrušeno"),"Po termínu odevzdání. ","")&amp;IF(AND($W310="Schváleno",OR($X310="",$Y310="")),"Schváleno bez jména / data. ","")&amp;IF(OR($G310="",$H310="",$I310="",$F310=""),"Chybí zařazení (kategorie, typ, profil nebo měsíc). ","")&amp;IF(AND(OR($I310="Honza",$I310="Radek"),OR($J310="",$J310="Nevztahuje se")),"Doplnit charakter (osobní / pracovní). ","")&amp;IF(AND($W310="Schváleno",$AE310&gt;0),"Schváleno, ale má otevřené připomínky. ","")&amp;IF(AND($AA310="Publikováno",$AF310=0),"Publikováno bez záznamu v listu Publikace. ","")&amp;IF(AND($C310&lt;&gt;"",$D310=""),"Chybí číslo dílu série. ","")&amp;IF(AND($E310&lt;&gt;"",$W310&lt;&gt;"Schváleno",$W310&lt;&gt;"Odloženo",$W310&lt;&gt;"Zrušeno",IFERROR(VLOOKUP($E310,Nastavení!$A$30:$G$53,3,FALSE()),0)&gt;0,IFERROR(VLOOKUP($E310,Nastavení!$A$30:$G$53,3,FALSE()),0)&lt;TODAY()),"Neschváleno po termínu cyklu. ","")))</f>
        <v/>
      </c>
    </row>
    <row r="311" spans="1:35" x14ac:dyDescent="0.2">
      <c r="A311" s="35"/>
      <c r="B311" s="11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11"/>
      <c r="N311" s="11"/>
      <c r="O311" s="11"/>
      <c r="P311" s="11"/>
      <c r="Q311" s="11"/>
      <c r="R311" s="11"/>
      <c r="S311" s="11"/>
      <c r="T311" s="35"/>
      <c r="U311" s="36"/>
      <c r="V311" s="11"/>
      <c r="W311" s="35"/>
      <c r="X311" s="35"/>
      <c r="Y311" s="36"/>
      <c r="Z311" s="11"/>
      <c r="AA311" s="35"/>
      <c r="AB311" s="36"/>
      <c r="AC311" s="35"/>
      <c r="AD311" s="35"/>
      <c r="AE311" s="37" t="str">
        <f>IF($A311="","",COUNTIFS(Připomínky!$A$4:$A$503,$A311,Připomínky!$J$4:$J$503,"Nevyřešeno"))</f>
        <v/>
      </c>
      <c r="AF311" s="37" t="str">
        <f>IF($A311="","",COUNTIFS(Publikace!$A$4:$A$503,$A311))</f>
        <v/>
      </c>
      <c r="AG311" s="38" t="str">
        <f>IF($A311="","",IF(AF311=0,"",_xlfn.MINIFS(Publikace!$E$4:$E$503,Publikace!$A$4:$A$503,$A311)))</f>
        <v/>
      </c>
      <c r="AH311" s="37" t="str">
        <f t="shared" si="4"/>
        <v/>
      </c>
      <c r="AI311" s="39" t="str">
        <f ca="1">IF($A311="","",TRIM(IF(AND($U311&lt;&gt;"",$U311&lt;TODAY(),$W311&lt;&gt;"Schváleno",$W311&lt;&gt;"Odloženo",$W311&lt;&gt;"Zrušeno"),"Po termínu odevzdání. ","")&amp;IF(AND($W311="Schváleno",OR($X311="",$Y311="")),"Schváleno bez jména / data. ","")&amp;IF(OR($G311="",$H311="",$I311="",$F311=""),"Chybí zařazení (kategorie, typ, profil nebo měsíc). ","")&amp;IF(AND(OR($I311="Honza",$I311="Radek"),OR($J311="",$J311="Nevztahuje se")),"Doplnit charakter (osobní / pracovní). ","")&amp;IF(AND($W311="Schváleno",$AE311&gt;0),"Schváleno, ale má otevřené připomínky. ","")&amp;IF(AND($AA311="Publikováno",$AF311=0),"Publikováno bez záznamu v listu Publikace. ","")&amp;IF(AND($C311&lt;&gt;"",$D311=""),"Chybí číslo dílu série. ","")&amp;IF(AND($E311&lt;&gt;"",$W311&lt;&gt;"Schváleno",$W311&lt;&gt;"Odloženo",$W311&lt;&gt;"Zrušeno",IFERROR(VLOOKUP($E311,Nastavení!$A$30:$G$53,3,FALSE()),0)&gt;0,IFERROR(VLOOKUP($E311,Nastavení!$A$30:$G$53,3,FALSE()),0)&lt;TODAY()),"Neschváleno po termínu cyklu. ","")))</f>
        <v/>
      </c>
    </row>
    <row r="312" spans="1:35" x14ac:dyDescent="0.2">
      <c r="A312" s="35"/>
      <c r="B312" s="11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11"/>
      <c r="N312" s="11"/>
      <c r="O312" s="11"/>
      <c r="P312" s="11"/>
      <c r="Q312" s="11"/>
      <c r="R312" s="11"/>
      <c r="S312" s="11"/>
      <c r="T312" s="35"/>
      <c r="U312" s="36"/>
      <c r="V312" s="11"/>
      <c r="W312" s="35"/>
      <c r="X312" s="35"/>
      <c r="Y312" s="36"/>
      <c r="Z312" s="11"/>
      <c r="AA312" s="35"/>
      <c r="AB312" s="36"/>
      <c r="AC312" s="35"/>
      <c r="AD312" s="35"/>
      <c r="AE312" s="37" t="str">
        <f>IF($A312="","",COUNTIFS(Připomínky!$A$4:$A$503,$A312,Připomínky!$J$4:$J$503,"Nevyřešeno"))</f>
        <v/>
      </c>
      <c r="AF312" s="37" t="str">
        <f>IF($A312="","",COUNTIFS(Publikace!$A$4:$A$503,$A312))</f>
        <v/>
      </c>
      <c r="AG312" s="38" t="str">
        <f>IF($A312="","",IF(AF312=0,"",_xlfn.MINIFS(Publikace!$E$4:$E$503,Publikace!$A$4:$A$503,$A312)))</f>
        <v/>
      </c>
      <c r="AH312" s="37" t="str">
        <f t="shared" si="4"/>
        <v/>
      </c>
      <c r="AI312" s="39" t="str">
        <f ca="1">IF($A312="","",TRIM(IF(AND($U312&lt;&gt;"",$U312&lt;TODAY(),$W312&lt;&gt;"Schváleno",$W312&lt;&gt;"Odloženo",$W312&lt;&gt;"Zrušeno"),"Po termínu odevzdání. ","")&amp;IF(AND($W312="Schváleno",OR($X312="",$Y312="")),"Schváleno bez jména / data. ","")&amp;IF(OR($G312="",$H312="",$I312="",$F312=""),"Chybí zařazení (kategorie, typ, profil nebo měsíc). ","")&amp;IF(AND(OR($I312="Honza",$I312="Radek"),OR($J312="",$J312="Nevztahuje se")),"Doplnit charakter (osobní / pracovní). ","")&amp;IF(AND($W312="Schváleno",$AE312&gt;0),"Schváleno, ale má otevřené připomínky. ","")&amp;IF(AND($AA312="Publikováno",$AF312=0),"Publikováno bez záznamu v listu Publikace. ","")&amp;IF(AND($C312&lt;&gt;"",$D312=""),"Chybí číslo dílu série. ","")&amp;IF(AND($E312&lt;&gt;"",$W312&lt;&gt;"Schváleno",$W312&lt;&gt;"Odloženo",$W312&lt;&gt;"Zrušeno",IFERROR(VLOOKUP($E312,Nastavení!$A$30:$G$53,3,FALSE()),0)&gt;0,IFERROR(VLOOKUP($E312,Nastavení!$A$30:$G$53,3,FALSE()),0)&lt;TODAY()),"Neschváleno po termínu cyklu. ","")))</f>
        <v/>
      </c>
    </row>
    <row r="313" spans="1:35" x14ac:dyDescent="0.2">
      <c r="A313" s="35"/>
      <c r="B313" s="11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11"/>
      <c r="N313" s="11"/>
      <c r="O313" s="11"/>
      <c r="P313" s="11"/>
      <c r="Q313" s="11"/>
      <c r="R313" s="11"/>
      <c r="S313" s="11"/>
      <c r="T313" s="35"/>
      <c r="U313" s="36"/>
      <c r="V313" s="11"/>
      <c r="W313" s="35"/>
      <c r="X313" s="35"/>
      <c r="Y313" s="36"/>
      <c r="Z313" s="11"/>
      <c r="AA313" s="35"/>
      <c r="AB313" s="36"/>
      <c r="AC313" s="35"/>
      <c r="AD313" s="35"/>
      <c r="AE313" s="37" t="str">
        <f>IF($A313="","",COUNTIFS(Připomínky!$A$4:$A$503,$A313,Připomínky!$J$4:$J$503,"Nevyřešeno"))</f>
        <v/>
      </c>
      <c r="AF313" s="37" t="str">
        <f>IF($A313="","",COUNTIFS(Publikace!$A$4:$A$503,$A313))</f>
        <v/>
      </c>
      <c r="AG313" s="38" t="str">
        <f>IF($A313="","",IF(AF313=0,"",_xlfn.MINIFS(Publikace!$E$4:$E$503,Publikace!$A$4:$A$503,$A313)))</f>
        <v/>
      </c>
      <c r="AH313" s="37" t="str">
        <f t="shared" si="4"/>
        <v/>
      </c>
      <c r="AI313" s="39" t="str">
        <f ca="1">IF($A313="","",TRIM(IF(AND($U313&lt;&gt;"",$U313&lt;TODAY(),$W313&lt;&gt;"Schváleno",$W313&lt;&gt;"Odloženo",$W313&lt;&gt;"Zrušeno"),"Po termínu odevzdání. ","")&amp;IF(AND($W313="Schváleno",OR($X313="",$Y313="")),"Schváleno bez jména / data. ","")&amp;IF(OR($G313="",$H313="",$I313="",$F313=""),"Chybí zařazení (kategorie, typ, profil nebo měsíc). ","")&amp;IF(AND(OR($I313="Honza",$I313="Radek"),OR($J313="",$J313="Nevztahuje se")),"Doplnit charakter (osobní / pracovní). ","")&amp;IF(AND($W313="Schváleno",$AE313&gt;0),"Schváleno, ale má otevřené připomínky. ","")&amp;IF(AND($AA313="Publikováno",$AF313=0),"Publikováno bez záznamu v listu Publikace. ","")&amp;IF(AND($C313&lt;&gt;"",$D313=""),"Chybí číslo dílu série. ","")&amp;IF(AND($E313&lt;&gt;"",$W313&lt;&gt;"Schváleno",$W313&lt;&gt;"Odloženo",$W313&lt;&gt;"Zrušeno",IFERROR(VLOOKUP($E313,Nastavení!$A$30:$G$53,3,FALSE()),0)&gt;0,IFERROR(VLOOKUP($E313,Nastavení!$A$30:$G$53,3,FALSE()),0)&lt;TODAY()),"Neschváleno po termínu cyklu. ","")))</f>
        <v/>
      </c>
    </row>
    <row r="314" spans="1:35" x14ac:dyDescent="0.2">
      <c r="A314" s="35"/>
      <c r="B314" s="11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11"/>
      <c r="N314" s="11"/>
      <c r="O314" s="11"/>
      <c r="P314" s="11"/>
      <c r="Q314" s="11"/>
      <c r="R314" s="11"/>
      <c r="S314" s="11"/>
      <c r="T314" s="35"/>
      <c r="U314" s="36"/>
      <c r="V314" s="11"/>
      <c r="W314" s="35"/>
      <c r="X314" s="35"/>
      <c r="Y314" s="36"/>
      <c r="Z314" s="11"/>
      <c r="AA314" s="35"/>
      <c r="AB314" s="36"/>
      <c r="AC314" s="35"/>
      <c r="AD314" s="35"/>
      <c r="AE314" s="37" t="str">
        <f>IF($A314="","",COUNTIFS(Připomínky!$A$4:$A$503,$A314,Připomínky!$J$4:$J$503,"Nevyřešeno"))</f>
        <v/>
      </c>
      <c r="AF314" s="37" t="str">
        <f>IF($A314="","",COUNTIFS(Publikace!$A$4:$A$503,$A314))</f>
        <v/>
      </c>
      <c r="AG314" s="38" t="str">
        <f>IF($A314="","",IF(AF314=0,"",_xlfn.MINIFS(Publikace!$E$4:$E$503,Publikace!$A$4:$A$503,$A314)))</f>
        <v/>
      </c>
      <c r="AH314" s="37" t="str">
        <f t="shared" si="4"/>
        <v/>
      </c>
      <c r="AI314" s="39" t="str">
        <f ca="1">IF($A314="","",TRIM(IF(AND($U314&lt;&gt;"",$U314&lt;TODAY(),$W314&lt;&gt;"Schváleno",$W314&lt;&gt;"Odloženo",$W314&lt;&gt;"Zrušeno"),"Po termínu odevzdání. ","")&amp;IF(AND($W314="Schváleno",OR($X314="",$Y314="")),"Schváleno bez jména / data. ","")&amp;IF(OR($G314="",$H314="",$I314="",$F314=""),"Chybí zařazení (kategorie, typ, profil nebo měsíc). ","")&amp;IF(AND(OR($I314="Honza",$I314="Radek"),OR($J314="",$J314="Nevztahuje se")),"Doplnit charakter (osobní / pracovní). ","")&amp;IF(AND($W314="Schváleno",$AE314&gt;0),"Schváleno, ale má otevřené připomínky. ","")&amp;IF(AND($AA314="Publikováno",$AF314=0),"Publikováno bez záznamu v listu Publikace. ","")&amp;IF(AND($C314&lt;&gt;"",$D314=""),"Chybí číslo dílu série. ","")&amp;IF(AND($E314&lt;&gt;"",$W314&lt;&gt;"Schváleno",$W314&lt;&gt;"Odloženo",$W314&lt;&gt;"Zrušeno",IFERROR(VLOOKUP($E314,Nastavení!$A$30:$G$53,3,FALSE()),0)&gt;0,IFERROR(VLOOKUP($E314,Nastavení!$A$30:$G$53,3,FALSE()),0)&lt;TODAY()),"Neschváleno po termínu cyklu. ","")))</f>
        <v/>
      </c>
    </row>
    <row r="315" spans="1:35" x14ac:dyDescent="0.2">
      <c r="A315" s="35"/>
      <c r="B315" s="11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11"/>
      <c r="N315" s="11"/>
      <c r="O315" s="11"/>
      <c r="P315" s="11"/>
      <c r="Q315" s="11"/>
      <c r="R315" s="11"/>
      <c r="S315" s="11"/>
      <c r="T315" s="35"/>
      <c r="U315" s="36"/>
      <c r="V315" s="11"/>
      <c r="W315" s="35"/>
      <c r="X315" s="35"/>
      <c r="Y315" s="36"/>
      <c r="Z315" s="11"/>
      <c r="AA315" s="35"/>
      <c r="AB315" s="36"/>
      <c r="AC315" s="35"/>
      <c r="AD315" s="35"/>
      <c r="AE315" s="37" t="str">
        <f>IF($A315="","",COUNTIFS(Připomínky!$A$4:$A$503,$A315,Připomínky!$J$4:$J$503,"Nevyřešeno"))</f>
        <v/>
      </c>
      <c r="AF315" s="37" t="str">
        <f>IF($A315="","",COUNTIFS(Publikace!$A$4:$A$503,$A315))</f>
        <v/>
      </c>
      <c r="AG315" s="38" t="str">
        <f>IF($A315="","",IF(AF315=0,"",_xlfn.MINIFS(Publikace!$E$4:$E$503,Publikace!$A$4:$A$503,$A315)))</f>
        <v/>
      </c>
      <c r="AH315" s="37" t="str">
        <f t="shared" si="4"/>
        <v/>
      </c>
      <c r="AI315" s="39" t="str">
        <f ca="1">IF($A315="","",TRIM(IF(AND($U315&lt;&gt;"",$U315&lt;TODAY(),$W315&lt;&gt;"Schváleno",$W315&lt;&gt;"Odloženo",$W315&lt;&gt;"Zrušeno"),"Po termínu odevzdání. ","")&amp;IF(AND($W315="Schváleno",OR($X315="",$Y315="")),"Schváleno bez jména / data. ","")&amp;IF(OR($G315="",$H315="",$I315="",$F315=""),"Chybí zařazení (kategorie, typ, profil nebo měsíc). ","")&amp;IF(AND(OR($I315="Honza",$I315="Radek"),OR($J315="",$J315="Nevztahuje se")),"Doplnit charakter (osobní / pracovní). ","")&amp;IF(AND($W315="Schváleno",$AE315&gt;0),"Schváleno, ale má otevřené připomínky. ","")&amp;IF(AND($AA315="Publikováno",$AF315=0),"Publikováno bez záznamu v listu Publikace. ","")&amp;IF(AND($C315&lt;&gt;"",$D315=""),"Chybí číslo dílu série. ","")&amp;IF(AND($E315&lt;&gt;"",$W315&lt;&gt;"Schváleno",$W315&lt;&gt;"Odloženo",$W315&lt;&gt;"Zrušeno",IFERROR(VLOOKUP($E315,Nastavení!$A$30:$G$53,3,FALSE()),0)&gt;0,IFERROR(VLOOKUP($E315,Nastavení!$A$30:$G$53,3,FALSE()),0)&lt;TODAY()),"Neschváleno po termínu cyklu. ","")))</f>
        <v/>
      </c>
    </row>
    <row r="316" spans="1:35" x14ac:dyDescent="0.2">
      <c r="A316" s="35"/>
      <c r="B316" s="11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11"/>
      <c r="N316" s="11"/>
      <c r="O316" s="11"/>
      <c r="P316" s="11"/>
      <c r="Q316" s="11"/>
      <c r="R316" s="11"/>
      <c r="S316" s="11"/>
      <c r="T316" s="35"/>
      <c r="U316" s="36"/>
      <c r="V316" s="11"/>
      <c r="W316" s="35"/>
      <c r="X316" s="35"/>
      <c r="Y316" s="36"/>
      <c r="Z316" s="11"/>
      <c r="AA316" s="35"/>
      <c r="AB316" s="36"/>
      <c r="AC316" s="35"/>
      <c r="AD316" s="35"/>
      <c r="AE316" s="37" t="str">
        <f>IF($A316="","",COUNTIFS(Připomínky!$A$4:$A$503,$A316,Připomínky!$J$4:$J$503,"Nevyřešeno"))</f>
        <v/>
      </c>
      <c r="AF316" s="37" t="str">
        <f>IF($A316="","",COUNTIFS(Publikace!$A$4:$A$503,$A316))</f>
        <v/>
      </c>
      <c r="AG316" s="38" t="str">
        <f>IF($A316="","",IF(AF316=0,"",_xlfn.MINIFS(Publikace!$E$4:$E$503,Publikace!$A$4:$A$503,$A316)))</f>
        <v/>
      </c>
      <c r="AH316" s="37" t="str">
        <f t="shared" si="4"/>
        <v/>
      </c>
      <c r="AI316" s="39" t="str">
        <f ca="1">IF($A316="","",TRIM(IF(AND($U316&lt;&gt;"",$U316&lt;TODAY(),$W316&lt;&gt;"Schváleno",$W316&lt;&gt;"Odloženo",$W316&lt;&gt;"Zrušeno"),"Po termínu odevzdání. ","")&amp;IF(AND($W316="Schváleno",OR($X316="",$Y316="")),"Schváleno bez jména / data. ","")&amp;IF(OR($G316="",$H316="",$I316="",$F316=""),"Chybí zařazení (kategorie, typ, profil nebo měsíc). ","")&amp;IF(AND(OR($I316="Honza",$I316="Radek"),OR($J316="",$J316="Nevztahuje se")),"Doplnit charakter (osobní / pracovní). ","")&amp;IF(AND($W316="Schváleno",$AE316&gt;0),"Schváleno, ale má otevřené připomínky. ","")&amp;IF(AND($AA316="Publikováno",$AF316=0),"Publikováno bez záznamu v listu Publikace. ","")&amp;IF(AND($C316&lt;&gt;"",$D316=""),"Chybí číslo dílu série. ","")&amp;IF(AND($E316&lt;&gt;"",$W316&lt;&gt;"Schváleno",$W316&lt;&gt;"Odloženo",$W316&lt;&gt;"Zrušeno",IFERROR(VLOOKUP($E316,Nastavení!$A$30:$G$53,3,FALSE()),0)&gt;0,IFERROR(VLOOKUP($E316,Nastavení!$A$30:$G$53,3,FALSE()),0)&lt;TODAY()),"Neschváleno po termínu cyklu. ","")))</f>
        <v/>
      </c>
    </row>
    <row r="317" spans="1:35" x14ac:dyDescent="0.2">
      <c r="A317" s="35"/>
      <c r="B317" s="11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11"/>
      <c r="N317" s="11"/>
      <c r="O317" s="11"/>
      <c r="P317" s="11"/>
      <c r="Q317" s="11"/>
      <c r="R317" s="11"/>
      <c r="S317" s="11"/>
      <c r="T317" s="35"/>
      <c r="U317" s="36"/>
      <c r="V317" s="11"/>
      <c r="W317" s="35"/>
      <c r="X317" s="35"/>
      <c r="Y317" s="36"/>
      <c r="Z317" s="11"/>
      <c r="AA317" s="35"/>
      <c r="AB317" s="36"/>
      <c r="AC317" s="35"/>
      <c r="AD317" s="35"/>
      <c r="AE317" s="37" t="str">
        <f>IF($A317="","",COUNTIFS(Připomínky!$A$4:$A$503,$A317,Připomínky!$J$4:$J$503,"Nevyřešeno"))</f>
        <v/>
      </c>
      <c r="AF317" s="37" t="str">
        <f>IF($A317="","",COUNTIFS(Publikace!$A$4:$A$503,$A317))</f>
        <v/>
      </c>
      <c r="AG317" s="38" t="str">
        <f>IF($A317="","",IF(AF317=0,"",_xlfn.MINIFS(Publikace!$E$4:$E$503,Publikace!$A$4:$A$503,$A317)))</f>
        <v/>
      </c>
      <c r="AH317" s="37" t="str">
        <f t="shared" si="4"/>
        <v/>
      </c>
      <c r="AI317" s="39" t="str">
        <f ca="1">IF($A317="","",TRIM(IF(AND($U317&lt;&gt;"",$U317&lt;TODAY(),$W317&lt;&gt;"Schváleno",$W317&lt;&gt;"Odloženo",$W317&lt;&gt;"Zrušeno"),"Po termínu odevzdání. ","")&amp;IF(AND($W317="Schváleno",OR($X317="",$Y317="")),"Schváleno bez jména / data. ","")&amp;IF(OR($G317="",$H317="",$I317="",$F317=""),"Chybí zařazení (kategorie, typ, profil nebo měsíc). ","")&amp;IF(AND(OR($I317="Honza",$I317="Radek"),OR($J317="",$J317="Nevztahuje se")),"Doplnit charakter (osobní / pracovní). ","")&amp;IF(AND($W317="Schváleno",$AE317&gt;0),"Schváleno, ale má otevřené připomínky. ","")&amp;IF(AND($AA317="Publikováno",$AF317=0),"Publikováno bez záznamu v listu Publikace. ","")&amp;IF(AND($C317&lt;&gt;"",$D317=""),"Chybí číslo dílu série. ","")&amp;IF(AND($E317&lt;&gt;"",$W317&lt;&gt;"Schváleno",$W317&lt;&gt;"Odloženo",$W317&lt;&gt;"Zrušeno",IFERROR(VLOOKUP($E317,Nastavení!$A$30:$G$53,3,FALSE()),0)&gt;0,IFERROR(VLOOKUP($E317,Nastavení!$A$30:$G$53,3,FALSE()),0)&lt;TODAY()),"Neschváleno po termínu cyklu. ","")))</f>
        <v/>
      </c>
    </row>
    <row r="318" spans="1:35" x14ac:dyDescent="0.2">
      <c r="A318" s="35"/>
      <c r="B318" s="11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11"/>
      <c r="N318" s="11"/>
      <c r="O318" s="11"/>
      <c r="P318" s="11"/>
      <c r="Q318" s="11"/>
      <c r="R318" s="11"/>
      <c r="S318" s="11"/>
      <c r="T318" s="35"/>
      <c r="U318" s="36"/>
      <c r="V318" s="11"/>
      <c r="W318" s="35"/>
      <c r="X318" s="35"/>
      <c r="Y318" s="36"/>
      <c r="Z318" s="11"/>
      <c r="AA318" s="35"/>
      <c r="AB318" s="36"/>
      <c r="AC318" s="35"/>
      <c r="AD318" s="35"/>
      <c r="AE318" s="37" t="str">
        <f>IF($A318="","",COUNTIFS(Připomínky!$A$4:$A$503,$A318,Připomínky!$J$4:$J$503,"Nevyřešeno"))</f>
        <v/>
      </c>
      <c r="AF318" s="37" t="str">
        <f>IF($A318="","",COUNTIFS(Publikace!$A$4:$A$503,$A318))</f>
        <v/>
      </c>
      <c r="AG318" s="38" t="str">
        <f>IF($A318="","",IF(AF318=0,"",_xlfn.MINIFS(Publikace!$E$4:$E$503,Publikace!$A$4:$A$503,$A318)))</f>
        <v/>
      </c>
      <c r="AH318" s="37" t="str">
        <f t="shared" si="4"/>
        <v/>
      </c>
      <c r="AI318" s="39" t="str">
        <f ca="1">IF($A318="","",TRIM(IF(AND($U318&lt;&gt;"",$U318&lt;TODAY(),$W318&lt;&gt;"Schváleno",$W318&lt;&gt;"Odloženo",$W318&lt;&gt;"Zrušeno"),"Po termínu odevzdání. ","")&amp;IF(AND($W318="Schváleno",OR($X318="",$Y318="")),"Schváleno bez jména / data. ","")&amp;IF(OR($G318="",$H318="",$I318="",$F318=""),"Chybí zařazení (kategorie, typ, profil nebo měsíc). ","")&amp;IF(AND(OR($I318="Honza",$I318="Radek"),OR($J318="",$J318="Nevztahuje se")),"Doplnit charakter (osobní / pracovní). ","")&amp;IF(AND($W318="Schváleno",$AE318&gt;0),"Schváleno, ale má otevřené připomínky. ","")&amp;IF(AND($AA318="Publikováno",$AF318=0),"Publikováno bez záznamu v listu Publikace. ","")&amp;IF(AND($C318&lt;&gt;"",$D318=""),"Chybí číslo dílu série. ","")&amp;IF(AND($E318&lt;&gt;"",$W318&lt;&gt;"Schváleno",$W318&lt;&gt;"Odloženo",$W318&lt;&gt;"Zrušeno",IFERROR(VLOOKUP($E318,Nastavení!$A$30:$G$53,3,FALSE()),0)&gt;0,IFERROR(VLOOKUP($E318,Nastavení!$A$30:$G$53,3,FALSE()),0)&lt;TODAY()),"Neschváleno po termínu cyklu. ","")))</f>
        <v/>
      </c>
    </row>
    <row r="319" spans="1:35" x14ac:dyDescent="0.2">
      <c r="A319" s="35"/>
      <c r="B319" s="11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11"/>
      <c r="N319" s="11"/>
      <c r="O319" s="11"/>
      <c r="P319" s="11"/>
      <c r="Q319" s="11"/>
      <c r="R319" s="11"/>
      <c r="S319" s="11"/>
      <c r="T319" s="35"/>
      <c r="U319" s="36"/>
      <c r="V319" s="11"/>
      <c r="W319" s="35"/>
      <c r="X319" s="35"/>
      <c r="Y319" s="36"/>
      <c r="Z319" s="11"/>
      <c r="AA319" s="35"/>
      <c r="AB319" s="36"/>
      <c r="AC319" s="35"/>
      <c r="AD319" s="35"/>
      <c r="AE319" s="37" t="str">
        <f>IF($A319="","",COUNTIFS(Připomínky!$A$4:$A$503,$A319,Připomínky!$J$4:$J$503,"Nevyřešeno"))</f>
        <v/>
      </c>
      <c r="AF319" s="37" t="str">
        <f>IF($A319="","",COUNTIFS(Publikace!$A$4:$A$503,$A319))</f>
        <v/>
      </c>
      <c r="AG319" s="38" t="str">
        <f>IF($A319="","",IF(AF319=0,"",_xlfn.MINIFS(Publikace!$E$4:$E$503,Publikace!$A$4:$A$503,$A319)))</f>
        <v/>
      </c>
      <c r="AH319" s="37" t="str">
        <f t="shared" si="4"/>
        <v/>
      </c>
      <c r="AI319" s="39" t="str">
        <f ca="1">IF($A319="","",TRIM(IF(AND($U319&lt;&gt;"",$U319&lt;TODAY(),$W319&lt;&gt;"Schváleno",$W319&lt;&gt;"Odloženo",$W319&lt;&gt;"Zrušeno"),"Po termínu odevzdání. ","")&amp;IF(AND($W319="Schváleno",OR($X319="",$Y319="")),"Schváleno bez jména / data. ","")&amp;IF(OR($G319="",$H319="",$I319="",$F319=""),"Chybí zařazení (kategorie, typ, profil nebo měsíc). ","")&amp;IF(AND(OR($I319="Honza",$I319="Radek"),OR($J319="",$J319="Nevztahuje se")),"Doplnit charakter (osobní / pracovní). ","")&amp;IF(AND($W319="Schváleno",$AE319&gt;0),"Schváleno, ale má otevřené připomínky. ","")&amp;IF(AND($AA319="Publikováno",$AF319=0),"Publikováno bez záznamu v listu Publikace. ","")&amp;IF(AND($C319&lt;&gt;"",$D319=""),"Chybí číslo dílu série. ","")&amp;IF(AND($E319&lt;&gt;"",$W319&lt;&gt;"Schváleno",$W319&lt;&gt;"Odloženo",$W319&lt;&gt;"Zrušeno",IFERROR(VLOOKUP($E319,Nastavení!$A$30:$G$53,3,FALSE()),0)&gt;0,IFERROR(VLOOKUP($E319,Nastavení!$A$30:$G$53,3,FALSE()),0)&lt;TODAY()),"Neschváleno po termínu cyklu. ","")))</f>
        <v/>
      </c>
    </row>
    <row r="320" spans="1:35" x14ac:dyDescent="0.2">
      <c r="A320" s="35"/>
      <c r="B320" s="11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11"/>
      <c r="N320" s="11"/>
      <c r="O320" s="11"/>
      <c r="P320" s="11"/>
      <c r="Q320" s="11"/>
      <c r="R320" s="11"/>
      <c r="S320" s="11"/>
      <c r="T320" s="35"/>
      <c r="U320" s="36"/>
      <c r="V320" s="11"/>
      <c r="W320" s="35"/>
      <c r="X320" s="35"/>
      <c r="Y320" s="36"/>
      <c r="Z320" s="11"/>
      <c r="AA320" s="35"/>
      <c r="AB320" s="36"/>
      <c r="AC320" s="35"/>
      <c r="AD320" s="35"/>
      <c r="AE320" s="37" t="str">
        <f>IF($A320="","",COUNTIFS(Připomínky!$A$4:$A$503,$A320,Připomínky!$J$4:$J$503,"Nevyřešeno"))</f>
        <v/>
      </c>
      <c r="AF320" s="37" t="str">
        <f>IF($A320="","",COUNTIFS(Publikace!$A$4:$A$503,$A320))</f>
        <v/>
      </c>
      <c r="AG320" s="38" t="str">
        <f>IF($A320="","",IF(AF320=0,"",_xlfn.MINIFS(Publikace!$E$4:$E$503,Publikace!$A$4:$A$503,$A320)))</f>
        <v/>
      </c>
      <c r="AH320" s="37" t="str">
        <f t="shared" si="4"/>
        <v/>
      </c>
      <c r="AI320" s="39" t="str">
        <f ca="1">IF($A320="","",TRIM(IF(AND($U320&lt;&gt;"",$U320&lt;TODAY(),$W320&lt;&gt;"Schváleno",$W320&lt;&gt;"Odloženo",$W320&lt;&gt;"Zrušeno"),"Po termínu odevzdání. ","")&amp;IF(AND($W320="Schváleno",OR($X320="",$Y320="")),"Schváleno bez jména / data. ","")&amp;IF(OR($G320="",$H320="",$I320="",$F320=""),"Chybí zařazení (kategorie, typ, profil nebo měsíc). ","")&amp;IF(AND(OR($I320="Honza",$I320="Radek"),OR($J320="",$J320="Nevztahuje se")),"Doplnit charakter (osobní / pracovní). ","")&amp;IF(AND($W320="Schváleno",$AE320&gt;0),"Schváleno, ale má otevřené připomínky. ","")&amp;IF(AND($AA320="Publikováno",$AF320=0),"Publikováno bez záznamu v listu Publikace. ","")&amp;IF(AND($C320&lt;&gt;"",$D320=""),"Chybí číslo dílu série. ","")&amp;IF(AND($E320&lt;&gt;"",$W320&lt;&gt;"Schváleno",$W320&lt;&gt;"Odloženo",$W320&lt;&gt;"Zrušeno",IFERROR(VLOOKUP($E320,Nastavení!$A$30:$G$53,3,FALSE()),0)&gt;0,IFERROR(VLOOKUP($E320,Nastavení!$A$30:$G$53,3,FALSE()),0)&lt;TODAY()),"Neschváleno po termínu cyklu. ","")))</f>
        <v/>
      </c>
    </row>
    <row r="321" spans="1:35" x14ac:dyDescent="0.2">
      <c r="A321" s="35"/>
      <c r="B321" s="11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11"/>
      <c r="N321" s="11"/>
      <c r="O321" s="11"/>
      <c r="P321" s="11"/>
      <c r="Q321" s="11"/>
      <c r="R321" s="11"/>
      <c r="S321" s="11"/>
      <c r="T321" s="35"/>
      <c r="U321" s="36"/>
      <c r="V321" s="11"/>
      <c r="W321" s="35"/>
      <c r="X321" s="35"/>
      <c r="Y321" s="36"/>
      <c r="Z321" s="11"/>
      <c r="AA321" s="35"/>
      <c r="AB321" s="36"/>
      <c r="AC321" s="35"/>
      <c r="AD321" s="35"/>
      <c r="AE321" s="37" t="str">
        <f>IF($A321="","",COUNTIFS(Připomínky!$A$4:$A$503,$A321,Připomínky!$J$4:$J$503,"Nevyřešeno"))</f>
        <v/>
      </c>
      <c r="AF321" s="37" t="str">
        <f>IF($A321="","",COUNTIFS(Publikace!$A$4:$A$503,$A321))</f>
        <v/>
      </c>
      <c r="AG321" s="38" t="str">
        <f>IF($A321="","",IF(AF321=0,"",_xlfn.MINIFS(Publikace!$E$4:$E$503,Publikace!$A$4:$A$503,$A321)))</f>
        <v/>
      </c>
      <c r="AH321" s="37" t="str">
        <f t="shared" si="4"/>
        <v/>
      </c>
      <c r="AI321" s="39" t="str">
        <f ca="1">IF($A321="","",TRIM(IF(AND($U321&lt;&gt;"",$U321&lt;TODAY(),$W321&lt;&gt;"Schváleno",$W321&lt;&gt;"Odloženo",$W321&lt;&gt;"Zrušeno"),"Po termínu odevzdání. ","")&amp;IF(AND($W321="Schváleno",OR($X321="",$Y321="")),"Schváleno bez jména / data. ","")&amp;IF(OR($G321="",$H321="",$I321="",$F321=""),"Chybí zařazení (kategorie, typ, profil nebo měsíc). ","")&amp;IF(AND(OR($I321="Honza",$I321="Radek"),OR($J321="",$J321="Nevztahuje se")),"Doplnit charakter (osobní / pracovní). ","")&amp;IF(AND($W321="Schváleno",$AE321&gt;0),"Schváleno, ale má otevřené připomínky. ","")&amp;IF(AND($AA321="Publikováno",$AF321=0),"Publikováno bez záznamu v listu Publikace. ","")&amp;IF(AND($C321&lt;&gt;"",$D321=""),"Chybí číslo dílu série. ","")&amp;IF(AND($E321&lt;&gt;"",$W321&lt;&gt;"Schváleno",$W321&lt;&gt;"Odloženo",$W321&lt;&gt;"Zrušeno",IFERROR(VLOOKUP($E321,Nastavení!$A$30:$G$53,3,FALSE()),0)&gt;0,IFERROR(VLOOKUP($E321,Nastavení!$A$30:$G$53,3,FALSE()),0)&lt;TODAY()),"Neschváleno po termínu cyklu. ","")))</f>
        <v/>
      </c>
    </row>
    <row r="322" spans="1:35" x14ac:dyDescent="0.2">
      <c r="A322" s="35"/>
      <c r="B322" s="11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11"/>
      <c r="N322" s="11"/>
      <c r="O322" s="11"/>
      <c r="P322" s="11"/>
      <c r="Q322" s="11"/>
      <c r="R322" s="11"/>
      <c r="S322" s="11"/>
      <c r="T322" s="35"/>
      <c r="U322" s="36"/>
      <c r="V322" s="11"/>
      <c r="W322" s="35"/>
      <c r="X322" s="35"/>
      <c r="Y322" s="36"/>
      <c r="Z322" s="11"/>
      <c r="AA322" s="35"/>
      <c r="AB322" s="36"/>
      <c r="AC322" s="35"/>
      <c r="AD322" s="35"/>
      <c r="AE322" s="37" t="str">
        <f>IF($A322="","",COUNTIFS(Připomínky!$A$4:$A$503,$A322,Připomínky!$J$4:$J$503,"Nevyřešeno"))</f>
        <v/>
      </c>
      <c r="AF322" s="37" t="str">
        <f>IF($A322="","",COUNTIFS(Publikace!$A$4:$A$503,$A322))</f>
        <v/>
      </c>
      <c r="AG322" s="38" t="str">
        <f>IF($A322="","",IF(AF322=0,"",_xlfn.MINIFS(Publikace!$E$4:$E$503,Publikace!$A$4:$A$503,$A322)))</f>
        <v/>
      </c>
      <c r="AH322" s="37" t="str">
        <f t="shared" si="4"/>
        <v/>
      </c>
      <c r="AI322" s="39" t="str">
        <f ca="1">IF($A322="","",TRIM(IF(AND($U322&lt;&gt;"",$U322&lt;TODAY(),$W322&lt;&gt;"Schváleno",$W322&lt;&gt;"Odloženo",$W322&lt;&gt;"Zrušeno"),"Po termínu odevzdání. ","")&amp;IF(AND($W322="Schváleno",OR($X322="",$Y322="")),"Schváleno bez jména / data. ","")&amp;IF(OR($G322="",$H322="",$I322="",$F322=""),"Chybí zařazení (kategorie, typ, profil nebo měsíc). ","")&amp;IF(AND(OR($I322="Honza",$I322="Radek"),OR($J322="",$J322="Nevztahuje se")),"Doplnit charakter (osobní / pracovní). ","")&amp;IF(AND($W322="Schváleno",$AE322&gt;0),"Schváleno, ale má otevřené připomínky. ","")&amp;IF(AND($AA322="Publikováno",$AF322=0),"Publikováno bez záznamu v listu Publikace. ","")&amp;IF(AND($C322&lt;&gt;"",$D322=""),"Chybí číslo dílu série. ","")&amp;IF(AND($E322&lt;&gt;"",$W322&lt;&gt;"Schváleno",$W322&lt;&gt;"Odloženo",$W322&lt;&gt;"Zrušeno",IFERROR(VLOOKUP($E322,Nastavení!$A$30:$G$53,3,FALSE()),0)&gt;0,IFERROR(VLOOKUP($E322,Nastavení!$A$30:$G$53,3,FALSE()),0)&lt;TODAY()),"Neschváleno po termínu cyklu. ","")))</f>
        <v/>
      </c>
    </row>
    <row r="323" spans="1:35" x14ac:dyDescent="0.2">
      <c r="A323" s="35"/>
      <c r="B323" s="11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11"/>
      <c r="N323" s="11"/>
      <c r="O323" s="11"/>
      <c r="P323" s="11"/>
      <c r="Q323" s="11"/>
      <c r="R323" s="11"/>
      <c r="S323" s="11"/>
      <c r="T323" s="35"/>
      <c r="U323" s="36"/>
      <c r="V323" s="11"/>
      <c r="W323" s="35"/>
      <c r="X323" s="35"/>
      <c r="Y323" s="36"/>
      <c r="Z323" s="11"/>
      <c r="AA323" s="35"/>
      <c r="AB323" s="36"/>
      <c r="AC323" s="35"/>
      <c r="AD323" s="35"/>
      <c r="AE323" s="37" t="str">
        <f>IF($A323="","",COUNTIFS(Připomínky!$A$4:$A$503,$A323,Připomínky!$J$4:$J$503,"Nevyřešeno"))</f>
        <v/>
      </c>
      <c r="AF323" s="37" t="str">
        <f>IF($A323="","",COUNTIFS(Publikace!$A$4:$A$503,$A323))</f>
        <v/>
      </c>
      <c r="AG323" s="38" t="str">
        <f>IF($A323="","",IF(AF323=0,"",_xlfn.MINIFS(Publikace!$E$4:$E$503,Publikace!$A$4:$A$503,$A323)))</f>
        <v/>
      </c>
      <c r="AH323" s="37" t="str">
        <f t="shared" si="4"/>
        <v/>
      </c>
      <c r="AI323" s="39" t="str">
        <f ca="1">IF($A323="","",TRIM(IF(AND($U323&lt;&gt;"",$U323&lt;TODAY(),$W323&lt;&gt;"Schváleno",$W323&lt;&gt;"Odloženo",$W323&lt;&gt;"Zrušeno"),"Po termínu odevzdání. ","")&amp;IF(AND($W323="Schváleno",OR($X323="",$Y323="")),"Schváleno bez jména / data. ","")&amp;IF(OR($G323="",$H323="",$I323="",$F323=""),"Chybí zařazení (kategorie, typ, profil nebo měsíc). ","")&amp;IF(AND(OR($I323="Honza",$I323="Radek"),OR($J323="",$J323="Nevztahuje se")),"Doplnit charakter (osobní / pracovní). ","")&amp;IF(AND($W323="Schváleno",$AE323&gt;0),"Schváleno, ale má otevřené připomínky. ","")&amp;IF(AND($AA323="Publikováno",$AF323=0),"Publikováno bez záznamu v listu Publikace. ","")&amp;IF(AND($C323&lt;&gt;"",$D323=""),"Chybí číslo dílu série. ","")&amp;IF(AND($E323&lt;&gt;"",$W323&lt;&gt;"Schváleno",$W323&lt;&gt;"Odloženo",$W323&lt;&gt;"Zrušeno",IFERROR(VLOOKUP($E323,Nastavení!$A$30:$G$53,3,FALSE()),0)&gt;0,IFERROR(VLOOKUP($E323,Nastavení!$A$30:$G$53,3,FALSE()),0)&lt;TODAY()),"Neschváleno po termínu cyklu. ","")))</f>
        <v/>
      </c>
    </row>
    <row r="324" spans="1:35" x14ac:dyDescent="0.2">
      <c r="A324" s="35"/>
      <c r="B324" s="11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11"/>
      <c r="N324" s="11"/>
      <c r="O324" s="11"/>
      <c r="P324" s="11"/>
      <c r="Q324" s="11"/>
      <c r="R324" s="11"/>
      <c r="S324" s="11"/>
      <c r="T324" s="35"/>
      <c r="U324" s="36"/>
      <c r="V324" s="11"/>
      <c r="W324" s="35"/>
      <c r="X324" s="35"/>
      <c r="Y324" s="36"/>
      <c r="Z324" s="11"/>
      <c r="AA324" s="35"/>
      <c r="AB324" s="36"/>
      <c r="AC324" s="35"/>
      <c r="AD324" s="35"/>
      <c r="AE324" s="37" t="str">
        <f>IF($A324="","",COUNTIFS(Připomínky!$A$4:$A$503,$A324,Připomínky!$J$4:$J$503,"Nevyřešeno"))</f>
        <v/>
      </c>
      <c r="AF324" s="37" t="str">
        <f>IF($A324="","",COUNTIFS(Publikace!$A$4:$A$503,$A324))</f>
        <v/>
      </c>
      <c r="AG324" s="38" t="str">
        <f>IF($A324="","",IF(AF324=0,"",_xlfn.MINIFS(Publikace!$E$4:$E$503,Publikace!$A$4:$A$503,$A324)))</f>
        <v/>
      </c>
      <c r="AH324" s="37" t="str">
        <f t="shared" ref="AH324:AH387" si="5">IF(AG324="","",YEAR(AG324)&amp;"-"&amp;TEXT(MONTH(AG324),"00"))</f>
        <v/>
      </c>
      <c r="AI324" s="39" t="str">
        <f ca="1">IF($A324="","",TRIM(IF(AND($U324&lt;&gt;"",$U324&lt;TODAY(),$W324&lt;&gt;"Schváleno",$W324&lt;&gt;"Odloženo",$W324&lt;&gt;"Zrušeno"),"Po termínu odevzdání. ","")&amp;IF(AND($W324="Schváleno",OR($X324="",$Y324="")),"Schváleno bez jména / data. ","")&amp;IF(OR($G324="",$H324="",$I324="",$F324=""),"Chybí zařazení (kategorie, typ, profil nebo měsíc). ","")&amp;IF(AND(OR($I324="Honza",$I324="Radek"),OR($J324="",$J324="Nevztahuje se")),"Doplnit charakter (osobní / pracovní). ","")&amp;IF(AND($W324="Schváleno",$AE324&gt;0),"Schváleno, ale má otevřené připomínky. ","")&amp;IF(AND($AA324="Publikováno",$AF324=0),"Publikováno bez záznamu v listu Publikace. ","")&amp;IF(AND($C324&lt;&gt;"",$D324=""),"Chybí číslo dílu série. ","")&amp;IF(AND($E324&lt;&gt;"",$W324&lt;&gt;"Schváleno",$W324&lt;&gt;"Odloženo",$W324&lt;&gt;"Zrušeno",IFERROR(VLOOKUP($E324,Nastavení!$A$30:$G$53,3,FALSE()),0)&gt;0,IFERROR(VLOOKUP($E324,Nastavení!$A$30:$G$53,3,FALSE()),0)&lt;TODAY()),"Neschváleno po termínu cyklu. ","")))</f>
        <v/>
      </c>
    </row>
    <row r="325" spans="1:35" x14ac:dyDescent="0.2">
      <c r="A325" s="35"/>
      <c r="B325" s="11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11"/>
      <c r="N325" s="11"/>
      <c r="O325" s="11"/>
      <c r="P325" s="11"/>
      <c r="Q325" s="11"/>
      <c r="R325" s="11"/>
      <c r="S325" s="11"/>
      <c r="T325" s="35"/>
      <c r="U325" s="36"/>
      <c r="V325" s="11"/>
      <c r="W325" s="35"/>
      <c r="X325" s="35"/>
      <c r="Y325" s="36"/>
      <c r="Z325" s="11"/>
      <c r="AA325" s="35"/>
      <c r="AB325" s="36"/>
      <c r="AC325" s="35"/>
      <c r="AD325" s="35"/>
      <c r="AE325" s="37" t="str">
        <f>IF($A325="","",COUNTIFS(Připomínky!$A$4:$A$503,$A325,Připomínky!$J$4:$J$503,"Nevyřešeno"))</f>
        <v/>
      </c>
      <c r="AF325" s="37" t="str">
        <f>IF($A325="","",COUNTIFS(Publikace!$A$4:$A$503,$A325))</f>
        <v/>
      </c>
      <c r="AG325" s="38" t="str">
        <f>IF($A325="","",IF(AF325=0,"",_xlfn.MINIFS(Publikace!$E$4:$E$503,Publikace!$A$4:$A$503,$A325)))</f>
        <v/>
      </c>
      <c r="AH325" s="37" t="str">
        <f t="shared" si="5"/>
        <v/>
      </c>
      <c r="AI325" s="39" t="str">
        <f ca="1">IF($A325="","",TRIM(IF(AND($U325&lt;&gt;"",$U325&lt;TODAY(),$W325&lt;&gt;"Schváleno",$W325&lt;&gt;"Odloženo",$W325&lt;&gt;"Zrušeno"),"Po termínu odevzdání. ","")&amp;IF(AND($W325="Schváleno",OR($X325="",$Y325="")),"Schváleno bez jména / data. ","")&amp;IF(OR($G325="",$H325="",$I325="",$F325=""),"Chybí zařazení (kategorie, typ, profil nebo měsíc). ","")&amp;IF(AND(OR($I325="Honza",$I325="Radek"),OR($J325="",$J325="Nevztahuje se")),"Doplnit charakter (osobní / pracovní). ","")&amp;IF(AND($W325="Schváleno",$AE325&gt;0),"Schváleno, ale má otevřené připomínky. ","")&amp;IF(AND($AA325="Publikováno",$AF325=0),"Publikováno bez záznamu v listu Publikace. ","")&amp;IF(AND($C325&lt;&gt;"",$D325=""),"Chybí číslo dílu série. ","")&amp;IF(AND($E325&lt;&gt;"",$W325&lt;&gt;"Schváleno",$W325&lt;&gt;"Odloženo",$W325&lt;&gt;"Zrušeno",IFERROR(VLOOKUP($E325,Nastavení!$A$30:$G$53,3,FALSE()),0)&gt;0,IFERROR(VLOOKUP($E325,Nastavení!$A$30:$G$53,3,FALSE()),0)&lt;TODAY()),"Neschváleno po termínu cyklu. ","")))</f>
        <v/>
      </c>
    </row>
    <row r="326" spans="1:35" x14ac:dyDescent="0.2">
      <c r="A326" s="35"/>
      <c r="B326" s="11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11"/>
      <c r="N326" s="11"/>
      <c r="O326" s="11"/>
      <c r="P326" s="11"/>
      <c r="Q326" s="11"/>
      <c r="R326" s="11"/>
      <c r="S326" s="11"/>
      <c r="T326" s="35"/>
      <c r="U326" s="36"/>
      <c r="V326" s="11"/>
      <c r="W326" s="35"/>
      <c r="X326" s="35"/>
      <c r="Y326" s="36"/>
      <c r="Z326" s="11"/>
      <c r="AA326" s="35"/>
      <c r="AB326" s="36"/>
      <c r="AC326" s="35"/>
      <c r="AD326" s="35"/>
      <c r="AE326" s="37" t="str">
        <f>IF($A326="","",COUNTIFS(Připomínky!$A$4:$A$503,$A326,Připomínky!$J$4:$J$503,"Nevyřešeno"))</f>
        <v/>
      </c>
      <c r="AF326" s="37" t="str">
        <f>IF($A326="","",COUNTIFS(Publikace!$A$4:$A$503,$A326))</f>
        <v/>
      </c>
      <c r="AG326" s="38" t="str">
        <f>IF($A326="","",IF(AF326=0,"",_xlfn.MINIFS(Publikace!$E$4:$E$503,Publikace!$A$4:$A$503,$A326)))</f>
        <v/>
      </c>
      <c r="AH326" s="37" t="str">
        <f t="shared" si="5"/>
        <v/>
      </c>
      <c r="AI326" s="39" t="str">
        <f ca="1">IF($A326="","",TRIM(IF(AND($U326&lt;&gt;"",$U326&lt;TODAY(),$W326&lt;&gt;"Schváleno",$W326&lt;&gt;"Odloženo",$W326&lt;&gt;"Zrušeno"),"Po termínu odevzdání. ","")&amp;IF(AND($W326="Schváleno",OR($X326="",$Y326="")),"Schváleno bez jména / data. ","")&amp;IF(OR($G326="",$H326="",$I326="",$F326=""),"Chybí zařazení (kategorie, typ, profil nebo měsíc). ","")&amp;IF(AND(OR($I326="Honza",$I326="Radek"),OR($J326="",$J326="Nevztahuje se")),"Doplnit charakter (osobní / pracovní). ","")&amp;IF(AND($W326="Schváleno",$AE326&gt;0),"Schváleno, ale má otevřené připomínky. ","")&amp;IF(AND($AA326="Publikováno",$AF326=0),"Publikováno bez záznamu v listu Publikace. ","")&amp;IF(AND($C326&lt;&gt;"",$D326=""),"Chybí číslo dílu série. ","")&amp;IF(AND($E326&lt;&gt;"",$W326&lt;&gt;"Schváleno",$W326&lt;&gt;"Odloženo",$W326&lt;&gt;"Zrušeno",IFERROR(VLOOKUP($E326,Nastavení!$A$30:$G$53,3,FALSE()),0)&gt;0,IFERROR(VLOOKUP($E326,Nastavení!$A$30:$G$53,3,FALSE()),0)&lt;TODAY()),"Neschváleno po termínu cyklu. ","")))</f>
        <v/>
      </c>
    </row>
    <row r="327" spans="1:35" x14ac:dyDescent="0.2">
      <c r="A327" s="35"/>
      <c r="B327" s="11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11"/>
      <c r="N327" s="11"/>
      <c r="O327" s="11"/>
      <c r="P327" s="11"/>
      <c r="Q327" s="11"/>
      <c r="R327" s="11"/>
      <c r="S327" s="11"/>
      <c r="T327" s="35"/>
      <c r="U327" s="36"/>
      <c r="V327" s="11"/>
      <c r="W327" s="35"/>
      <c r="X327" s="35"/>
      <c r="Y327" s="36"/>
      <c r="Z327" s="11"/>
      <c r="AA327" s="35"/>
      <c r="AB327" s="36"/>
      <c r="AC327" s="35"/>
      <c r="AD327" s="35"/>
      <c r="AE327" s="37" t="str">
        <f>IF($A327="","",COUNTIFS(Připomínky!$A$4:$A$503,$A327,Připomínky!$J$4:$J$503,"Nevyřešeno"))</f>
        <v/>
      </c>
      <c r="AF327" s="37" t="str">
        <f>IF($A327="","",COUNTIFS(Publikace!$A$4:$A$503,$A327))</f>
        <v/>
      </c>
      <c r="AG327" s="38" t="str">
        <f>IF($A327="","",IF(AF327=0,"",_xlfn.MINIFS(Publikace!$E$4:$E$503,Publikace!$A$4:$A$503,$A327)))</f>
        <v/>
      </c>
      <c r="AH327" s="37" t="str">
        <f t="shared" si="5"/>
        <v/>
      </c>
      <c r="AI327" s="39" t="str">
        <f ca="1">IF($A327="","",TRIM(IF(AND($U327&lt;&gt;"",$U327&lt;TODAY(),$W327&lt;&gt;"Schváleno",$W327&lt;&gt;"Odloženo",$W327&lt;&gt;"Zrušeno"),"Po termínu odevzdání. ","")&amp;IF(AND($W327="Schváleno",OR($X327="",$Y327="")),"Schváleno bez jména / data. ","")&amp;IF(OR($G327="",$H327="",$I327="",$F327=""),"Chybí zařazení (kategorie, typ, profil nebo měsíc). ","")&amp;IF(AND(OR($I327="Honza",$I327="Radek"),OR($J327="",$J327="Nevztahuje se")),"Doplnit charakter (osobní / pracovní). ","")&amp;IF(AND($W327="Schváleno",$AE327&gt;0),"Schváleno, ale má otevřené připomínky. ","")&amp;IF(AND($AA327="Publikováno",$AF327=0),"Publikováno bez záznamu v listu Publikace. ","")&amp;IF(AND($C327&lt;&gt;"",$D327=""),"Chybí číslo dílu série. ","")&amp;IF(AND($E327&lt;&gt;"",$W327&lt;&gt;"Schváleno",$W327&lt;&gt;"Odloženo",$W327&lt;&gt;"Zrušeno",IFERROR(VLOOKUP($E327,Nastavení!$A$30:$G$53,3,FALSE()),0)&gt;0,IFERROR(VLOOKUP($E327,Nastavení!$A$30:$G$53,3,FALSE()),0)&lt;TODAY()),"Neschváleno po termínu cyklu. ","")))</f>
        <v/>
      </c>
    </row>
    <row r="328" spans="1:35" x14ac:dyDescent="0.2">
      <c r="A328" s="35"/>
      <c r="B328" s="11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11"/>
      <c r="N328" s="11"/>
      <c r="O328" s="11"/>
      <c r="P328" s="11"/>
      <c r="Q328" s="11"/>
      <c r="R328" s="11"/>
      <c r="S328" s="11"/>
      <c r="T328" s="35"/>
      <c r="U328" s="36"/>
      <c r="V328" s="11"/>
      <c r="W328" s="35"/>
      <c r="X328" s="35"/>
      <c r="Y328" s="36"/>
      <c r="Z328" s="11"/>
      <c r="AA328" s="35"/>
      <c r="AB328" s="36"/>
      <c r="AC328" s="35"/>
      <c r="AD328" s="35"/>
      <c r="AE328" s="37" t="str">
        <f>IF($A328="","",COUNTIFS(Připomínky!$A$4:$A$503,$A328,Připomínky!$J$4:$J$503,"Nevyřešeno"))</f>
        <v/>
      </c>
      <c r="AF328" s="37" t="str">
        <f>IF($A328="","",COUNTIFS(Publikace!$A$4:$A$503,$A328))</f>
        <v/>
      </c>
      <c r="AG328" s="38" t="str">
        <f>IF($A328="","",IF(AF328=0,"",_xlfn.MINIFS(Publikace!$E$4:$E$503,Publikace!$A$4:$A$503,$A328)))</f>
        <v/>
      </c>
      <c r="AH328" s="37" t="str">
        <f t="shared" si="5"/>
        <v/>
      </c>
      <c r="AI328" s="39" t="str">
        <f ca="1">IF($A328="","",TRIM(IF(AND($U328&lt;&gt;"",$U328&lt;TODAY(),$W328&lt;&gt;"Schváleno",$W328&lt;&gt;"Odloženo",$W328&lt;&gt;"Zrušeno"),"Po termínu odevzdání. ","")&amp;IF(AND($W328="Schváleno",OR($X328="",$Y328="")),"Schváleno bez jména / data. ","")&amp;IF(OR($G328="",$H328="",$I328="",$F328=""),"Chybí zařazení (kategorie, typ, profil nebo měsíc). ","")&amp;IF(AND(OR($I328="Honza",$I328="Radek"),OR($J328="",$J328="Nevztahuje se")),"Doplnit charakter (osobní / pracovní). ","")&amp;IF(AND($W328="Schváleno",$AE328&gt;0),"Schváleno, ale má otevřené připomínky. ","")&amp;IF(AND($AA328="Publikováno",$AF328=0),"Publikováno bez záznamu v listu Publikace. ","")&amp;IF(AND($C328&lt;&gt;"",$D328=""),"Chybí číslo dílu série. ","")&amp;IF(AND($E328&lt;&gt;"",$W328&lt;&gt;"Schváleno",$W328&lt;&gt;"Odloženo",$W328&lt;&gt;"Zrušeno",IFERROR(VLOOKUP($E328,Nastavení!$A$30:$G$53,3,FALSE()),0)&gt;0,IFERROR(VLOOKUP($E328,Nastavení!$A$30:$G$53,3,FALSE()),0)&lt;TODAY()),"Neschváleno po termínu cyklu. ","")))</f>
        <v/>
      </c>
    </row>
    <row r="329" spans="1:35" x14ac:dyDescent="0.2">
      <c r="A329" s="35"/>
      <c r="B329" s="11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11"/>
      <c r="N329" s="11"/>
      <c r="O329" s="11"/>
      <c r="P329" s="11"/>
      <c r="Q329" s="11"/>
      <c r="R329" s="11"/>
      <c r="S329" s="11"/>
      <c r="T329" s="35"/>
      <c r="U329" s="36"/>
      <c r="V329" s="11"/>
      <c r="W329" s="35"/>
      <c r="X329" s="35"/>
      <c r="Y329" s="36"/>
      <c r="Z329" s="11"/>
      <c r="AA329" s="35"/>
      <c r="AB329" s="36"/>
      <c r="AC329" s="35"/>
      <c r="AD329" s="35"/>
      <c r="AE329" s="37" t="str">
        <f>IF($A329="","",COUNTIFS(Připomínky!$A$4:$A$503,$A329,Připomínky!$J$4:$J$503,"Nevyřešeno"))</f>
        <v/>
      </c>
      <c r="AF329" s="37" t="str">
        <f>IF($A329="","",COUNTIFS(Publikace!$A$4:$A$503,$A329))</f>
        <v/>
      </c>
      <c r="AG329" s="38" t="str">
        <f>IF($A329="","",IF(AF329=0,"",_xlfn.MINIFS(Publikace!$E$4:$E$503,Publikace!$A$4:$A$503,$A329)))</f>
        <v/>
      </c>
      <c r="AH329" s="37" t="str">
        <f t="shared" si="5"/>
        <v/>
      </c>
      <c r="AI329" s="39" t="str">
        <f ca="1">IF($A329="","",TRIM(IF(AND($U329&lt;&gt;"",$U329&lt;TODAY(),$W329&lt;&gt;"Schváleno",$W329&lt;&gt;"Odloženo",$W329&lt;&gt;"Zrušeno"),"Po termínu odevzdání. ","")&amp;IF(AND($W329="Schváleno",OR($X329="",$Y329="")),"Schváleno bez jména / data. ","")&amp;IF(OR($G329="",$H329="",$I329="",$F329=""),"Chybí zařazení (kategorie, typ, profil nebo měsíc). ","")&amp;IF(AND(OR($I329="Honza",$I329="Radek"),OR($J329="",$J329="Nevztahuje se")),"Doplnit charakter (osobní / pracovní). ","")&amp;IF(AND($W329="Schváleno",$AE329&gt;0),"Schváleno, ale má otevřené připomínky. ","")&amp;IF(AND($AA329="Publikováno",$AF329=0),"Publikováno bez záznamu v listu Publikace. ","")&amp;IF(AND($C329&lt;&gt;"",$D329=""),"Chybí číslo dílu série. ","")&amp;IF(AND($E329&lt;&gt;"",$W329&lt;&gt;"Schváleno",$W329&lt;&gt;"Odloženo",$W329&lt;&gt;"Zrušeno",IFERROR(VLOOKUP($E329,Nastavení!$A$30:$G$53,3,FALSE()),0)&gt;0,IFERROR(VLOOKUP($E329,Nastavení!$A$30:$G$53,3,FALSE()),0)&lt;TODAY()),"Neschváleno po termínu cyklu. ","")))</f>
        <v/>
      </c>
    </row>
    <row r="330" spans="1:35" x14ac:dyDescent="0.2">
      <c r="A330" s="35"/>
      <c r="B330" s="11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11"/>
      <c r="N330" s="11"/>
      <c r="O330" s="11"/>
      <c r="P330" s="11"/>
      <c r="Q330" s="11"/>
      <c r="R330" s="11"/>
      <c r="S330" s="11"/>
      <c r="T330" s="35"/>
      <c r="U330" s="36"/>
      <c r="V330" s="11"/>
      <c r="W330" s="35"/>
      <c r="X330" s="35"/>
      <c r="Y330" s="36"/>
      <c r="Z330" s="11"/>
      <c r="AA330" s="35"/>
      <c r="AB330" s="36"/>
      <c r="AC330" s="35"/>
      <c r="AD330" s="35"/>
      <c r="AE330" s="37" t="str">
        <f>IF($A330="","",COUNTIFS(Připomínky!$A$4:$A$503,$A330,Připomínky!$J$4:$J$503,"Nevyřešeno"))</f>
        <v/>
      </c>
      <c r="AF330" s="37" t="str">
        <f>IF($A330="","",COUNTIFS(Publikace!$A$4:$A$503,$A330))</f>
        <v/>
      </c>
      <c r="AG330" s="38" t="str">
        <f>IF($A330="","",IF(AF330=0,"",_xlfn.MINIFS(Publikace!$E$4:$E$503,Publikace!$A$4:$A$503,$A330)))</f>
        <v/>
      </c>
      <c r="AH330" s="37" t="str">
        <f t="shared" si="5"/>
        <v/>
      </c>
      <c r="AI330" s="39" t="str">
        <f ca="1">IF($A330="","",TRIM(IF(AND($U330&lt;&gt;"",$U330&lt;TODAY(),$W330&lt;&gt;"Schváleno",$W330&lt;&gt;"Odloženo",$W330&lt;&gt;"Zrušeno"),"Po termínu odevzdání. ","")&amp;IF(AND($W330="Schváleno",OR($X330="",$Y330="")),"Schváleno bez jména / data. ","")&amp;IF(OR($G330="",$H330="",$I330="",$F330=""),"Chybí zařazení (kategorie, typ, profil nebo měsíc). ","")&amp;IF(AND(OR($I330="Honza",$I330="Radek"),OR($J330="",$J330="Nevztahuje se")),"Doplnit charakter (osobní / pracovní). ","")&amp;IF(AND($W330="Schváleno",$AE330&gt;0),"Schváleno, ale má otevřené připomínky. ","")&amp;IF(AND($AA330="Publikováno",$AF330=0),"Publikováno bez záznamu v listu Publikace. ","")&amp;IF(AND($C330&lt;&gt;"",$D330=""),"Chybí číslo dílu série. ","")&amp;IF(AND($E330&lt;&gt;"",$W330&lt;&gt;"Schváleno",$W330&lt;&gt;"Odloženo",$W330&lt;&gt;"Zrušeno",IFERROR(VLOOKUP($E330,Nastavení!$A$30:$G$53,3,FALSE()),0)&gt;0,IFERROR(VLOOKUP($E330,Nastavení!$A$30:$G$53,3,FALSE()),0)&lt;TODAY()),"Neschváleno po termínu cyklu. ","")))</f>
        <v/>
      </c>
    </row>
    <row r="331" spans="1:35" x14ac:dyDescent="0.2">
      <c r="A331" s="35"/>
      <c r="B331" s="11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11"/>
      <c r="N331" s="11"/>
      <c r="O331" s="11"/>
      <c r="P331" s="11"/>
      <c r="Q331" s="11"/>
      <c r="R331" s="11"/>
      <c r="S331" s="11"/>
      <c r="T331" s="35"/>
      <c r="U331" s="36"/>
      <c r="V331" s="11"/>
      <c r="W331" s="35"/>
      <c r="X331" s="35"/>
      <c r="Y331" s="36"/>
      <c r="Z331" s="11"/>
      <c r="AA331" s="35"/>
      <c r="AB331" s="36"/>
      <c r="AC331" s="35"/>
      <c r="AD331" s="35"/>
      <c r="AE331" s="37" t="str">
        <f>IF($A331="","",COUNTIFS(Připomínky!$A$4:$A$503,$A331,Připomínky!$J$4:$J$503,"Nevyřešeno"))</f>
        <v/>
      </c>
      <c r="AF331" s="37" t="str">
        <f>IF($A331="","",COUNTIFS(Publikace!$A$4:$A$503,$A331))</f>
        <v/>
      </c>
      <c r="AG331" s="38" t="str">
        <f>IF($A331="","",IF(AF331=0,"",_xlfn.MINIFS(Publikace!$E$4:$E$503,Publikace!$A$4:$A$503,$A331)))</f>
        <v/>
      </c>
      <c r="AH331" s="37" t="str">
        <f t="shared" si="5"/>
        <v/>
      </c>
      <c r="AI331" s="39" t="str">
        <f ca="1">IF($A331="","",TRIM(IF(AND($U331&lt;&gt;"",$U331&lt;TODAY(),$W331&lt;&gt;"Schváleno",$W331&lt;&gt;"Odloženo",$W331&lt;&gt;"Zrušeno"),"Po termínu odevzdání. ","")&amp;IF(AND($W331="Schváleno",OR($X331="",$Y331="")),"Schváleno bez jména / data. ","")&amp;IF(OR($G331="",$H331="",$I331="",$F331=""),"Chybí zařazení (kategorie, typ, profil nebo měsíc). ","")&amp;IF(AND(OR($I331="Honza",$I331="Radek"),OR($J331="",$J331="Nevztahuje se")),"Doplnit charakter (osobní / pracovní). ","")&amp;IF(AND($W331="Schváleno",$AE331&gt;0),"Schváleno, ale má otevřené připomínky. ","")&amp;IF(AND($AA331="Publikováno",$AF331=0),"Publikováno bez záznamu v listu Publikace. ","")&amp;IF(AND($C331&lt;&gt;"",$D331=""),"Chybí číslo dílu série. ","")&amp;IF(AND($E331&lt;&gt;"",$W331&lt;&gt;"Schváleno",$W331&lt;&gt;"Odloženo",$W331&lt;&gt;"Zrušeno",IFERROR(VLOOKUP($E331,Nastavení!$A$30:$G$53,3,FALSE()),0)&gt;0,IFERROR(VLOOKUP($E331,Nastavení!$A$30:$G$53,3,FALSE()),0)&lt;TODAY()),"Neschváleno po termínu cyklu. ","")))</f>
        <v/>
      </c>
    </row>
    <row r="332" spans="1:35" x14ac:dyDescent="0.2">
      <c r="A332" s="35"/>
      <c r="B332" s="11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11"/>
      <c r="N332" s="11"/>
      <c r="O332" s="11"/>
      <c r="P332" s="11"/>
      <c r="Q332" s="11"/>
      <c r="R332" s="11"/>
      <c r="S332" s="11"/>
      <c r="T332" s="35"/>
      <c r="U332" s="36"/>
      <c r="V332" s="11"/>
      <c r="W332" s="35"/>
      <c r="X332" s="35"/>
      <c r="Y332" s="36"/>
      <c r="Z332" s="11"/>
      <c r="AA332" s="35"/>
      <c r="AB332" s="36"/>
      <c r="AC332" s="35"/>
      <c r="AD332" s="35"/>
      <c r="AE332" s="37" t="str">
        <f>IF($A332="","",COUNTIFS(Připomínky!$A$4:$A$503,$A332,Připomínky!$J$4:$J$503,"Nevyřešeno"))</f>
        <v/>
      </c>
      <c r="AF332" s="37" t="str">
        <f>IF($A332="","",COUNTIFS(Publikace!$A$4:$A$503,$A332))</f>
        <v/>
      </c>
      <c r="AG332" s="38" t="str">
        <f>IF($A332="","",IF(AF332=0,"",_xlfn.MINIFS(Publikace!$E$4:$E$503,Publikace!$A$4:$A$503,$A332)))</f>
        <v/>
      </c>
      <c r="AH332" s="37" t="str">
        <f t="shared" si="5"/>
        <v/>
      </c>
      <c r="AI332" s="39" t="str">
        <f ca="1">IF($A332="","",TRIM(IF(AND($U332&lt;&gt;"",$U332&lt;TODAY(),$W332&lt;&gt;"Schváleno",$W332&lt;&gt;"Odloženo",$W332&lt;&gt;"Zrušeno"),"Po termínu odevzdání. ","")&amp;IF(AND($W332="Schváleno",OR($X332="",$Y332="")),"Schváleno bez jména / data. ","")&amp;IF(OR($G332="",$H332="",$I332="",$F332=""),"Chybí zařazení (kategorie, typ, profil nebo měsíc). ","")&amp;IF(AND(OR($I332="Honza",$I332="Radek"),OR($J332="",$J332="Nevztahuje se")),"Doplnit charakter (osobní / pracovní). ","")&amp;IF(AND($W332="Schváleno",$AE332&gt;0),"Schváleno, ale má otevřené připomínky. ","")&amp;IF(AND($AA332="Publikováno",$AF332=0),"Publikováno bez záznamu v listu Publikace. ","")&amp;IF(AND($C332&lt;&gt;"",$D332=""),"Chybí číslo dílu série. ","")&amp;IF(AND($E332&lt;&gt;"",$W332&lt;&gt;"Schváleno",$W332&lt;&gt;"Odloženo",$W332&lt;&gt;"Zrušeno",IFERROR(VLOOKUP($E332,Nastavení!$A$30:$G$53,3,FALSE()),0)&gt;0,IFERROR(VLOOKUP($E332,Nastavení!$A$30:$G$53,3,FALSE()),0)&lt;TODAY()),"Neschváleno po termínu cyklu. ","")))</f>
        <v/>
      </c>
    </row>
    <row r="333" spans="1:35" x14ac:dyDescent="0.2">
      <c r="A333" s="35"/>
      <c r="B333" s="11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11"/>
      <c r="N333" s="11"/>
      <c r="O333" s="11"/>
      <c r="P333" s="11"/>
      <c r="Q333" s="11"/>
      <c r="R333" s="11"/>
      <c r="S333" s="11"/>
      <c r="T333" s="35"/>
      <c r="U333" s="36"/>
      <c r="V333" s="11"/>
      <c r="W333" s="35"/>
      <c r="X333" s="35"/>
      <c r="Y333" s="36"/>
      <c r="Z333" s="11"/>
      <c r="AA333" s="35"/>
      <c r="AB333" s="36"/>
      <c r="AC333" s="35"/>
      <c r="AD333" s="35"/>
      <c r="AE333" s="37" t="str">
        <f>IF($A333="","",COUNTIFS(Připomínky!$A$4:$A$503,$A333,Připomínky!$J$4:$J$503,"Nevyřešeno"))</f>
        <v/>
      </c>
      <c r="AF333" s="37" t="str">
        <f>IF($A333="","",COUNTIFS(Publikace!$A$4:$A$503,$A333))</f>
        <v/>
      </c>
      <c r="AG333" s="38" t="str">
        <f>IF($A333="","",IF(AF333=0,"",_xlfn.MINIFS(Publikace!$E$4:$E$503,Publikace!$A$4:$A$503,$A333)))</f>
        <v/>
      </c>
      <c r="AH333" s="37" t="str">
        <f t="shared" si="5"/>
        <v/>
      </c>
      <c r="AI333" s="39" t="str">
        <f ca="1">IF($A333="","",TRIM(IF(AND($U333&lt;&gt;"",$U333&lt;TODAY(),$W333&lt;&gt;"Schváleno",$W333&lt;&gt;"Odloženo",$W333&lt;&gt;"Zrušeno"),"Po termínu odevzdání. ","")&amp;IF(AND($W333="Schváleno",OR($X333="",$Y333="")),"Schváleno bez jména / data. ","")&amp;IF(OR($G333="",$H333="",$I333="",$F333=""),"Chybí zařazení (kategorie, typ, profil nebo měsíc). ","")&amp;IF(AND(OR($I333="Honza",$I333="Radek"),OR($J333="",$J333="Nevztahuje se")),"Doplnit charakter (osobní / pracovní). ","")&amp;IF(AND($W333="Schváleno",$AE333&gt;0),"Schváleno, ale má otevřené připomínky. ","")&amp;IF(AND($AA333="Publikováno",$AF333=0),"Publikováno bez záznamu v listu Publikace. ","")&amp;IF(AND($C333&lt;&gt;"",$D333=""),"Chybí číslo dílu série. ","")&amp;IF(AND($E333&lt;&gt;"",$W333&lt;&gt;"Schváleno",$W333&lt;&gt;"Odloženo",$W333&lt;&gt;"Zrušeno",IFERROR(VLOOKUP($E333,Nastavení!$A$30:$G$53,3,FALSE()),0)&gt;0,IFERROR(VLOOKUP($E333,Nastavení!$A$30:$G$53,3,FALSE()),0)&lt;TODAY()),"Neschváleno po termínu cyklu. ","")))</f>
        <v/>
      </c>
    </row>
    <row r="334" spans="1:35" x14ac:dyDescent="0.2">
      <c r="A334" s="35"/>
      <c r="B334" s="11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11"/>
      <c r="N334" s="11"/>
      <c r="O334" s="11"/>
      <c r="P334" s="11"/>
      <c r="Q334" s="11"/>
      <c r="R334" s="11"/>
      <c r="S334" s="11"/>
      <c r="T334" s="35"/>
      <c r="U334" s="36"/>
      <c r="V334" s="11"/>
      <c r="W334" s="35"/>
      <c r="X334" s="35"/>
      <c r="Y334" s="36"/>
      <c r="Z334" s="11"/>
      <c r="AA334" s="35"/>
      <c r="AB334" s="36"/>
      <c r="AC334" s="35"/>
      <c r="AD334" s="35"/>
      <c r="AE334" s="37" t="str">
        <f>IF($A334="","",COUNTIFS(Připomínky!$A$4:$A$503,$A334,Připomínky!$J$4:$J$503,"Nevyřešeno"))</f>
        <v/>
      </c>
      <c r="AF334" s="37" t="str">
        <f>IF($A334="","",COUNTIFS(Publikace!$A$4:$A$503,$A334))</f>
        <v/>
      </c>
      <c r="AG334" s="38" t="str">
        <f>IF($A334="","",IF(AF334=0,"",_xlfn.MINIFS(Publikace!$E$4:$E$503,Publikace!$A$4:$A$503,$A334)))</f>
        <v/>
      </c>
      <c r="AH334" s="37" t="str">
        <f t="shared" si="5"/>
        <v/>
      </c>
      <c r="AI334" s="39" t="str">
        <f ca="1">IF($A334="","",TRIM(IF(AND($U334&lt;&gt;"",$U334&lt;TODAY(),$W334&lt;&gt;"Schváleno",$W334&lt;&gt;"Odloženo",$W334&lt;&gt;"Zrušeno"),"Po termínu odevzdání. ","")&amp;IF(AND($W334="Schváleno",OR($X334="",$Y334="")),"Schváleno bez jména / data. ","")&amp;IF(OR($G334="",$H334="",$I334="",$F334=""),"Chybí zařazení (kategorie, typ, profil nebo měsíc). ","")&amp;IF(AND(OR($I334="Honza",$I334="Radek"),OR($J334="",$J334="Nevztahuje se")),"Doplnit charakter (osobní / pracovní). ","")&amp;IF(AND($W334="Schváleno",$AE334&gt;0),"Schváleno, ale má otevřené připomínky. ","")&amp;IF(AND($AA334="Publikováno",$AF334=0),"Publikováno bez záznamu v listu Publikace. ","")&amp;IF(AND($C334&lt;&gt;"",$D334=""),"Chybí číslo dílu série. ","")&amp;IF(AND($E334&lt;&gt;"",$W334&lt;&gt;"Schváleno",$W334&lt;&gt;"Odloženo",$W334&lt;&gt;"Zrušeno",IFERROR(VLOOKUP($E334,Nastavení!$A$30:$G$53,3,FALSE()),0)&gt;0,IFERROR(VLOOKUP($E334,Nastavení!$A$30:$G$53,3,FALSE()),0)&lt;TODAY()),"Neschváleno po termínu cyklu. ","")))</f>
        <v/>
      </c>
    </row>
    <row r="335" spans="1:35" x14ac:dyDescent="0.2">
      <c r="A335" s="35"/>
      <c r="B335" s="11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11"/>
      <c r="N335" s="11"/>
      <c r="O335" s="11"/>
      <c r="P335" s="11"/>
      <c r="Q335" s="11"/>
      <c r="R335" s="11"/>
      <c r="S335" s="11"/>
      <c r="T335" s="35"/>
      <c r="U335" s="36"/>
      <c r="V335" s="11"/>
      <c r="W335" s="35"/>
      <c r="X335" s="35"/>
      <c r="Y335" s="36"/>
      <c r="Z335" s="11"/>
      <c r="AA335" s="35"/>
      <c r="AB335" s="36"/>
      <c r="AC335" s="35"/>
      <c r="AD335" s="35"/>
      <c r="AE335" s="37" t="str">
        <f>IF($A335="","",COUNTIFS(Připomínky!$A$4:$A$503,$A335,Připomínky!$J$4:$J$503,"Nevyřešeno"))</f>
        <v/>
      </c>
      <c r="AF335" s="37" t="str">
        <f>IF($A335="","",COUNTIFS(Publikace!$A$4:$A$503,$A335))</f>
        <v/>
      </c>
      <c r="AG335" s="38" t="str">
        <f>IF($A335="","",IF(AF335=0,"",_xlfn.MINIFS(Publikace!$E$4:$E$503,Publikace!$A$4:$A$503,$A335)))</f>
        <v/>
      </c>
      <c r="AH335" s="37" t="str">
        <f t="shared" si="5"/>
        <v/>
      </c>
      <c r="AI335" s="39" t="str">
        <f ca="1">IF($A335="","",TRIM(IF(AND($U335&lt;&gt;"",$U335&lt;TODAY(),$W335&lt;&gt;"Schváleno",$W335&lt;&gt;"Odloženo",$W335&lt;&gt;"Zrušeno"),"Po termínu odevzdání. ","")&amp;IF(AND($W335="Schváleno",OR($X335="",$Y335="")),"Schváleno bez jména / data. ","")&amp;IF(OR($G335="",$H335="",$I335="",$F335=""),"Chybí zařazení (kategorie, typ, profil nebo měsíc). ","")&amp;IF(AND(OR($I335="Honza",$I335="Radek"),OR($J335="",$J335="Nevztahuje se")),"Doplnit charakter (osobní / pracovní). ","")&amp;IF(AND($W335="Schváleno",$AE335&gt;0),"Schváleno, ale má otevřené připomínky. ","")&amp;IF(AND($AA335="Publikováno",$AF335=0),"Publikováno bez záznamu v listu Publikace. ","")&amp;IF(AND($C335&lt;&gt;"",$D335=""),"Chybí číslo dílu série. ","")&amp;IF(AND($E335&lt;&gt;"",$W335&lt;&gt;"Schváleno",$W335&lt;&gt;"Odloženo",$W335&lt;&gt;"Zrušeno",IFERROR(VLOOKUP($E335,Nastavení!$A$30:$G$53,3,FALSE()),0)&gt;0,IFERROR(VLOOKUP($E335,Nastavení!$A$30:$G$53,3,FALSE()),0)&lt;TODAY()),"Neschváleno po termínu cyklu. ","")))</f>
        <v/>
      </c>
    </row>
    <row r="336" spans="1:35" x14ac:dyDescent="0.2">
      <c r="A336" s="35"/>
      <c r="B336" s="11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11"/>
      <c r="N336" s="11"/>
      <c r="O336" s="11"/>
      <c r="P336" s="11"/>
      <c r="Q336" s="11"/>
      <c r="R336" s="11"/>
      <c r="S336" s="11"/>
      <c r="T336" s="35"/>
      <c r="U336" s="36"/>
      <c r="V336" s="11"/>
      <c r="W336" s="35"/>
      <c r="X336" s="35"/>
      <c r="Y336" s="36"/>
      <c r="Z336" s="11"/>
      <c r="AA336" s="35"/>
      <c r="AB336" s="36"/>
      <c r="AC336" s="35"/>
      <c r="AD336" s="35"/>
      <c r="AE336" s="37" t="str">
        <f>IF($A336="","",COUNTIFS(Připomínky!$A$4:$A$503,$A336,Připomínky!$J$4:$J$503,"Nevyřešeno"))</f>
        <v/>
      </c>
      <c r="AF336" s="37" t="str">
        <f>IF($A336="","",COUNTIFS(Publikace!$A$4:$A$503,$A336))</f>
        <v/>
      </c>
      <c r="AG336" s="38" t="str">
        <f>IF($A336="","",IF(AF336=0,"",_xlfn.MINIFS(Publikace!$E$4:$E$503,Publikace!$A$4:$A$503,$A336)))</f>
        <v/>
      </c>
      <c r="AH336" s="37" t="str">
        <f t="shared" si="5"/>
        <v/>
      </c>
      <c r="AI336" s="39" t="str">
        <f ca="1">IF($A336="","",TRIM(IF(AND($U336&lt;&gt;"",$U336&lt;TODAY(),$W336&lt;&gt;"Schváleno",$W336&lt;&gt;"Odloženo",$W336&lt;&gt;"Zrušeno"),"Po termínu odevzdání. ","")&amp;IF(AND($W336="Schváleno",OR($X336="",$Y336="")),"Schváleno bez jména / data. ","")&amp;IF(OR($G336="",$H336="",$I336="",$F336=""),"Chybí zařazení (kategorie, typ, profil nebo měsíc). ","")&amp;IF(AND(OR($I336="Honza",$I336="Radek"),OR($J336="",$J336="Nevztahuje se")),"Doplnit charakter (osobní / pracovní). ","")&amp;IF(AND($W336="Schváleno",$AE336&gt;0),"Schváleno, ale má otevřené připomínky. ","")&amp;IF(AND($AA336="Publikováno",$AF336=0),"Publikováno bez záznamu v listu Publikace. ","")&amp;IF(AND($C336&lt;&gt;"",$D336=""),"Chybí číslo dílu série. ","")&amp;IF(AND($E336&lt;&gt;"",$W336&lt;&gt;"Schváleno",$W336&lt;&gt;"Odloženo",$W336&lt;&gt;"Zrušeno",IFERROR(VLOOKUP($E336,Nastavení!$A$30:$G$53,3,FALSE()),0)&gt;0,IFERROR(VLOOKUP($E336,Nastavení!$A$30:$G$53,3,FALSE()),0)&lt;TODAY()),"Neschváleno po termínu cyklu. ","")))</f>
        <v/>
      </c>
    </row>
    <row r="337" spans="1:35" x14ac:dyDescent="0.2">
      <c r="A337" s="35"/>
      <c r="B337" s="11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11"/>
      <c r="N337" s="11"/>
      <c r="O337" s="11"/>
      <c r="P337" s="11"/>
      <c r="Q337" s="11"/>
      <c r="R337" s="11"/>
      <c r="S337" s="11"/>
      <c r="T337" s="35"/>
      <c r="U337" s="36"/>
      <c r="V337" s="11"/>
      <c r="W337" s="35"/>
      <c r="X337" s="35"/>
      <c r="Y337" s="36"/>
      <c r="Z337" s="11"/>
      <c r="AA337" s="35"/>
      <c r="AB337" s="36"/>
      <c r="AC337" s="35"/>
      <c r="AD337" s="35"/>
      <c r="AE337" s="37" t="str">
        <f>IF($A337="","",COUNTIFS(Připomínky!$A$4:$A$503,$A337,Připomínky!$J$4:$J$503,"Nevyřešeno"))</f>
        <v/>
      </c>
      <c r="AF337" s="37" t="str">
        <f>IF($A337="","",COUNTIFS(Publikace!$A$4:$A$503,$A337))</f>
        <v/>
      </c>
      <c r="AG337" s="38" t="str">
        <f>IF($A337="","",IF(AF337=0,"",_xlfn.MINIFS(Publikace!$E$4:$E$503,Publikace!$A$4:$A$503,$A337)))</f>
        <v/>
      </c>
      <c r="AH337" s="37" t="str">
        <f t="shared" si="5"/>
        <v/>
      </c>
      <c r="AI337" s="39" t="str">
        <f ca="1">IF($A337="","",TRIM(IF(AND($U337&lt;&gt;"",$U337&lt;TODAY(),$W337&lt;&gt;"Schváleno",$W337&lt;&gt;"Odloženo",$W337&lt;&gt;"Zrušeno"),"Po termínu odevzdání. ","")&amp;IF(AND($W337="Schváleno",OR($X337="",$Y337="")),"Schváleno bez jména / data. ","")&amp;IF(OR($G337="",$H337="",$I337="",$F337=""),"Chybí zařazení (kategorie, typ, profil nebo měsíc). ","")&amp;IF(AND(OR($I337="Honza",$I337="Radek"),OR($J337="",$J337="Nevztahuje se")),"Doplnit charakter (osobní / pracovní). ","")&amp;IF(AND($W337="Schváleno",$AE337&gt;0),"Schváleno, ale má otevřené připomínky. ","")&amp;IF(AND($AA337="Publikováno",$AF337=0),"Publikováno bez záznamu v listu Publikace. ","")&amp;IF(AND($C337&lt;&gt;"",$D337=""),"Chybí číslo dílu série. ","")&amp;IF(AND($E337&lt;&gt;"",$W337&lt;&gt;"Schváleno",$W337&lt;&gt;"Odloženo",$W337&lt;&gt;"Zrušeno",IFERROR(VLOOKUP($E337,Nastavení!$A$30:$G$53,3,FALSE()),0)&gt;0,IFERROR(VLOOKUP($E337,Nastavení!$A$30:$G$53,3,FALSE()),0)&lt;TODAY()),"Neschváleno po termínu cyklu. ","")))</f>
        <v/>
      </c>
    </row>
    <row r="338" spans="1:35" x14ac:dyDescent="0.2">
      <c r="A338" s="35"/>
      <c r="B338" s="11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11"/>
      <c r="N338" s="11"/>
      <c r="O338" s="11"/>
      <c r="P338" s="11"/>
      <c r="Q338" s="11"/>
      <c r="R338" s="11"/>
      <c r="S338" s="11"/>
      <c r="T338" s="35"/>
      <c r="U338" s="36"/>
      <c r="V338" s="11"/>
      <c r="W338" s="35"/>
      <c r="X338" s="35"/>
      <c r="Y338" s="36"/>
      <c r="Z338" s="11"/>
      <c r="AA338" s="35"/>
      <c r="AB338" s="36"/>
      <c r="AC338" s="35"/>
      <c r="AD338" s="35"/>
      <c r="AE338" s="37" t="str">
        <f>IF($A338="","",COUNTIFS(Připomínky!$A$4:$A$503,$A338,Připomínky!$J$4:$J$503,"Nevyřešeno"))</f>
        <v/>
      </c>
      <c r="AF338" s="37" t="str">
        <f>IF($A338="","",COUNTIFS(Publikace!$A$4:$A$503,$A338))</f>
        <v/>
      </c>
      <c r="AG338" s="38" t="str">
        <f>IF($A338="","",IF(AF338=0,"",_xlfn.MINIFS(Publikace!$E$4:$E$503,Publikace!$A$4:$A$503,$A338)))</f>
        <v/>
      </c>
      <c r="AH338" s="37" t="str">
        <f t="shared" si="5"/>
        <v/>
      </c>
      <c r="AI338" s="39" t="str">
        <f ca="1">IF($A338="","",TRIM(IF(AND($U338&lt;&gt;"",$U338&lt;TODAY(),$W338&lt;&gt;"Schváleno",$W338&lt;&gt;"Odloženo",$W338&lt;&gt;"Zrušeno"),"Po termínu odevzdání. ","")&amp;IF(AND($W338="Schváleno",OR($X338="",$Y338="")),"Schváleno bez jména / data. ","")&amp;IF(OR($G338="",$H338="",$I338="",$F338=""),"Chybí zařazení (kategorie, typ, profil nebo měsíc). ","")&amp;IF(AND(OR($I338="Honza",$I338="Radek"),OR($J338="",$J338="Nevztahuje se")),"Doplnit charakter (osobní / pracovní). ","")&amp;IF(AND($W338="Schváleno",$AE338&gt;0),"Schváleno, ale má otevřené připomínky. ","")&amp;IF(AND($AA338="Publikováno",$AF338=0),"Publikováno bez záznamu v listu Publikace. ","")&amp;IF(AND($C338&lt;&gt;"",$D338=""),"Chybí číslo dílu série. ","")&amp;IF(AND($E338&lt;&gt;"",$W338&lt;&gt;"Schváleno",$W338&lt;&gt;"Odloženo",$W338&lt;&gt;"Zrušeno",IFERROR(VLOOKUP($E338,Nastavení!$A$30:$G$53,3,FALSE()),0)&gt;0,IFERROR(VLOOKUP($E338,Nastavení!$A$30:$G$53,3,FALSE()),0)&lt;TODAY()),"Neschváleno po termínu cyklu. ","")))</f>
        <v/>
      </c>
    </row>
    <row r="339" spans="1:35" x14ac:dyDescent="0.2">
      <c r="A339" s="35"/>
      <c r="B339" s="11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11"/>
      <c r="N339" s="11"/>
      <c r="O339" s="11"/>
      <c r="P339" s="11"/>
      <c r="Q339" s="11"/>
      <c r="R339" s="11"/>
      <c r="S339" s="11"/>
      <c r="T339" s="35"/>
      <c r="U339" s="36"/>
      <c r="V339" s="11"/>
      <c r="W339" s="35"/>
      <c r="X339" s="35"/>
      <c r="Y339" s="36"/>
      <c r="Z339" s="11"/>
      <c r="AA339" s="35"/>
      <c r="AB339" s="36"/>
      <c r="AC339" s="35"/>
      <c r="AD339" s="35"/>
      <c r="AE339" s="37" t="str">
        <f>IF($A339="","",COUNTIFS(Připomínky!$A$4:$A$503,$A339,Připomínky!$J$4:$J$503,"Nevyřešeno"))</f>
        <v/>
      </c>
      <c r="AF339" s="37" t="str">
        <f>IF($A339="","",COUNTIFS(Publikace!$A$4:$A$503,$A339))</f>
        <v/>
      </c>
      <c r="AG339" s="38" t="str">
        <f>IF($A339="","",IF(AF339=0,"",_xlfn.MINIFS(Publikace!$E$4:$E$503,Publikace!$A$4:$A$503,$A339)))</f>
        <v/>
      </c>
      <c r="AH339" s="37" t="str">
        <f t="shared" si="5"/>
        <v/>
      </c>
      <c r="AI339" s="39" t="str">
        <f ca="1">IF($A339="","",TRIM(IF(AND($U339&lt;&gt;"",$U339&lt;TODAY(),$W339&lt;&gt;"Schváleno",$W339&lt;&gt;"Odloženo",$W339&lt;&gt;"Zrušeno"),"Po termínu odevzdání. ","")&amp;IF(AND($W339="Schváleno",OR($X339="",$Y339="")),"Schváleno bez jména / data. ","")&amp;IF(OR($G339="",$H339="",$I339="",$F339=""),"Chybí zařazení (kategorie, typ, profil nebo měsíc). ","")&amp;IF(AND(OR($I339="Honza",$I339="Radek"),OR($J339="",$J339="Nevztahuje se")),"Doplnit charakter (osobní / pracovní). ","")&amp;IF(AND($W339="Schváleno",$AE339&gt;0),"Schváleno, ale má otevřené připomínky. ","")&amp;IF(AND($AA339="Publikováno",$AF339=0),"Publikováno bez záznamu v listu Publikace. ","")&amp;IF(AND($C339&lt;&gt;"",$D339=""),"Chybí číslo dílu série. ","")&amp;IF(AND($E339&lt;&gt;"",$W339&lt;&gt;"Schváleno",$W339&lt;&gt;"Odloženo",$W339&lt;&gt;"Zrušeno",IFERROR(VLOOKUP($E339,Nastavení!$A$30:$G$53,3,FALSE()),0)&gt;0,IFERROR(VLOOKUP($E339,Nastavení!$A$30:$G$53,3,FALSE()),0)&lt;TODAY()),"Neschváleno po termínu cyklu. ","")))</f>
        <v/>
      </c>
    </row>
    <row r="340" spans="1:35" x14ac:dyDescent="0.2">
      <c r="A340" s="35"/>
      <c r="B340" s="11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11"/>
      <c r="N340" s="11"/>
      <c r="O340" s="11"/>
      <c r="P340" s="11"/>
      <c r="Q340" s="11"/>
      <c r="R340" s="11"/>
      <c r="S340" s="11"/>
      <c r="T340" s="35"/>
      <c r="U340" s="36"/>
      <c r="V340" s="11"/>
      <c r="W340" s="35"/>
      <c r="X340" s="35"/>
      <c r="Y340" s="36"/>
      <c r="Z340" s="11"/>
      <c r="AA340" s="35"/>
      <c r="AB340" s="36"/>
      <c r="AC340" s="35"/>
      <c r="AD340" s="35"/>
      <c r="AE340" s="37" t="str">
        <f>IF($A340="","",COUNTIFS(Připomínky!$A$4:$A$503,$A340,Připomínky!$J$4:$J$503,"Nevyřešeno"))</f>
        <v/>
      </c>
      <c r="AF340" s="37" t="str">
        <f>IF($A340="","",COUNTIFS(Publikace!$A$4:$A$503,$A340))</f>
        <v/>
      </c>
      <c r="AG340" s="38" t="str">
        <f>IF($A340="","",IF(AF340=0,"",_xlfn.MINIFS(Publikace!$E$4:$E$503,Publikace!$A$4:$A$503,$A340)))</f>
        <v/>
      </c>
      <c r="AH340" s="37" t="str">
        <f t="shared" si="5"/>
        <v/>
      </c>
      <c r="AI340" s="39" t="str">
        <f ca="1">IF($A340="","",TRIM(IF(AND($U340&lt;&gt;"",$U340&lt;TODAY(),$W340&lt;&gt;"Schváleno",$W340&lt;&gt;"Odloženo",$W340&lt;&gt;"Zrušeno"),"Po termínu odevzdání. ","")&amp;IF(AND($W340="Schváleno",OR($X340="",$Y340="")),"Schváleno bez jména / data. ","")&amp;IF(OR($G340="",$H340="",$I340="",$F340=""),"Chybí zařazení (kategorie, typ, profil nebo měsíc). ","")&amp;IF(AND(OR($I340="Honza",$I340="Radek"),OR($J340="",$J340="Nevztahuje se")),"Doplnit charakter (osobní / pracovní). ","")&amp;IF(AND($W340="Schváleno",$AE340&gt;0),"Schváleno, ale má otevřené připomínky. ","")&amp;IF(AND($AA340="Publikováno",$AF340=0),"Publikováno bez záznamu v listu Publikace. ","")&amp;IF(AND($C340&lt;&gt;"",$D340=""),"Chybí číslo dílu série. ","")&amp;IF(AND($E340&lt;&gt;"",$W340&lt;&gt;"Schváleno",$W340&lt;&gt;"Odloženo",$W340&lt;&gt;"Zrušeno",IFERROR(VLOOKUP($E340,Nastavení!$A$30:$G$53,3,FALSE()),0)&gt;0,IFERROR(VLOOKUP($E340,Nastavení!$A$30:$G$53,3,FALSE()),0)&lt;TODAY()),"Neschváleno po termínu cyklu. ","")))</f>
        <v/>
      </c>
    </row>
    <row r="341" spans="1:35" x14ac:dyDescent="0.2">
      <c r="A341" s="35"/>
      <c r="B341" s="11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11"/>
      <c r="N341" s="11"/>
      <c r="O341" s="11"/>
      <c r="P341" s="11"/>
      <c r="Q341" s="11"/>
      <c r="R341" s="11"/>
      <c r="S341" s="11"/>
      <c r="T341" s="35"/>
      <c r="U341" s="36"/>
      <c r="V341" s="11"/>
      <c r="W341" s="35"/>
      <c r="X341" s="35"/>
      <c r="Y341" s="36"/>
      <c r="Z341" s="11"/>
      <c r="AA341" s="35"/>
      <c r="AB341" s="36"/>
      <c r="AC341" s="35"/>
      <c r="AD341" s="35"/>
      <c r="AE341" s="37" t="str">
        <f>IF($A341="","",COUNTIFS(Připomínky!$A$4:$A$503,$A341,Připomínky!$J$4:$J$503,"Nevyřešeno"))</f>
        <v/>
      </c>
      <c r="AF341" s="37" t="str">
        <f>IF($A341="","",COUNTIFS(Publikace!$A$4:$A$503,$A341))</f>
        <v/>
      </c>
      <c r="AG341" s="38" t="str">
        <f>IF($A341="","",IF(AF341=0,"",_xlfn.MINIFS(Publikace!$E$4:$E$503,Publikace!$A$4:$A$503,$A341)))</f>
        <v/>
      </c>
      <c r="AH341" s="37" t="str">
        <f t="shared" si="5"/>
        <v/>
      </c>
      <c r="AI341" s="39" t="str">
        <f ca="1">IF($A341="","",TRIM(IF(AND($U341&lt;&gt;"",$U341&lt;TODAY(),$W341&lt;&gt;"Schváleno",$W341&lt;&gt;"Odloženo",$W341&lt;&gt;"Zrušeno"),"Po termínu odevzdání. ","")&amp;IF(AND($W341="Schváleno",OR($X341="",$Y341="")),"Schváleno bez jména / data. ","")&amp;IF(OR($G341="",$H341="",$I341="",$F341=""),"Chybí zařazení (kategorie, typ, profil nebo měsíc). ","")&amp;IF(AND(OR($I341="Honza",$I341="Radek"),OR($J341="",$J341="Nevztahuje se")),"Doplnit charakter (osobní / pracovní). ","")&amp;IF(AND($W341="Schváleno",$AE341&gt;0),"Schváleno, ale má otevřené připomínky. ","")&amp;IF(AND($AA341="Publikováno",$AF341=0),"Publikováno bez záznamu v listu Publikace. ","")&amp;IF(AND($C341&lt;&gt;"",$D341=""),"Chybí číslo dílu série. ","")&amp;IF(AND($E341&lt;&gt;"",$W341&lt;&gt;"Schváleno",$W341&lt;&gt;"Odloženo",$W341&lt;&gt;"Zrušeno",IFERROR(VLOOKUP($E341,Nastavení!$A$30:$G$53,3,FALSE()),0)&gt;0,IFERROR(VLOOKUP($E341,Nastavení!$A$30:$G$53,3,FALSE()),0)&lt;TODAY()),"Neschváleno po termínu cyklu. ","")))</f>
        <v/>
      </c>
    </row>
    <row r="342" spans="1:35" x14ac:dyDescent="0.2">
      <c r="A342" s="35"/>
      <c r="B342" s="11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11"/>
      <c r="N342" s="11"/>
      <c r="O342" s="11"/>
      <c r="P342" s="11"/>
      <c r="Q342" s="11"/>
      <c r="R342" s="11"/>
      <c r="S342" s="11"/>
      <c r="T342" s="35"/>
      <c r="U342" s="36"/>
      <c r="V342" s="11"/>
      <c r="W342" s="35"/>
      <c r="X342" s="35"/>
      <c r="Y342" s="36"/>
      <c r="Z342" s="11"/>
      <c r="AA342" s="35"/>
      <c r="AB342" s="36"/>
      <c r="AC342" s="35"/>
      <c r="AD342" s="35"/>
      <c r="AE342" s="37" t="str">
        <f>IF($A342="","",COUNTIFS(Připomínky!$A$4:$A$503,$A342,Připomínky!$J$4:$J$503,"Nevyřešeno"))</f>
        <v/>
      </c>
      <c r="AF342" s="37" t="str">
        <f>IF($A342="","",COUNTIFS(Publikace!$A$4:$A$503,$A342))</f>
        <v/>
      </c>
      <c r="AG342" s="38" t="str">
        <f>IF($A342="","",IF(AF342=0,"",_xlfn.MINIFS(Publikace!$E$4:$E$503,Publikace!$A$4:$A$503,$A342)))</f>
        <v/>
      </c>
      <c r="AH342" s="37" t="str">
        <f t="shared" si="5"/>
        <v/>
      </c>
      <c r="AI342" s="39" t="str">
        <f ca="1">IF($A342="","",TRIM(IF(AND($U342&lt;&gt;"",$U342&lt;TODAY(),$W342&lt;&gt;"Schváleno",$W342&lt;&gt;"Odloženo",$W342&lt;&gt;"Zrušeno"),"Po termínu odevzdání. ","")&amp;IF(AND($W342="Schváleno",OR($X342="",$Y342="")),"Schváleno bez jména / data. ","")&amp;IF(OR($G342="",$H342="",$I342="",$F342=""),"Chybí zařazení (kategorie, typ, profil nebo měsíc). ","")&amp;IF(AND(OR($I342="Honza",$I342="Radek"),OR($J342="",$J342="Nevztahuje se")),"Doplnit charakter (osobní / pracovní). ","")&amp;IF(AND($W342="Schváleno",$AE342&gt;0),"Schváleno, ale má otevřené připomínky. ","")&amp;IF(AND($AA342="Publikováno",$AF342=0),"Publikováno bez záznamu v listu Publikace. ","")&amp;IF(AND($C342&lt;&gt;"",$D342=""),"Chybí číslo dílu série. ","")&amp;IF(AND($E342&lt;&gt;"",$W342&lt;&gt;"Schváleno",$W342&lt;&gt;"Odloženo",$W342&lt;&gt;"Zrušeno",IFERROR(VLOOKUP($E342,Nastavení!$A$30:$G$53,3,FALSE()),0)&gt;0,IFERROR(VLOOKUP($E342,Nastavení!$A$30:$G$53,3,FALSE()),0)&lt;TODAY()),"Neschváleno po termínu cyklu. ","")))</f>
        <v/>
      </c>
    </row>
    <row r="343" spans="1:35" x14ac:dyDescent="0.2">
      <c r="A343" s="35"/>
      <c r="B343" s="11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11"/>
      <c r="N343" s="11"/>
      <c r="O343" s="11"/>
      <c r="P343" s="11"/>
      <c r="Q343" s="11"/>
      <c r="R343" s="11"/>
      <c r="S343" s="11"/>
      <c r="T343" s="35"/>
      <c r="U343" s="36"/>
      <c r="V343" s="11"/>
      <c r="W343" s="35"/>
      <c r="X343" s="35"/>
      <c r="Y343" s="36"/>
      <c r="Z343" s="11"/>
      <c r="AA343" s="35"/>
      <c r="AB343" s="36"/>
      <c r="AC343" s="35"/>
      <c r="AD343" s="35"/>
      <c r="AE343" s="37" t="str">
        <f>IF($A343="","",COUNTIFS(Připomínky!$A$4:$A$503,$A343,Připomínky!$J$4:$J$503,"Nevyřešeno"))</f>
        <v/>
      </c>
      <c r="AF343" s="37" t="str">
        <f>IF($A343="","",COUNTIFS(Publikace!$A$4:$A$503,$A343))</f>
        <v/>
      </c>
      <c r="AG343" s="38" t="str">
        <f>IF($A343="","",IF(AF343=0,"",_xlfn.MINIFS(Publikace!$E$4:$E$503,Publikace!$A$4:$A$503,$A343)))</f>
        <v/>
      </c>
      <c r="AH343" s="37" t="str">
        <f t="shared" si="5"/>
        <v/>
      </c>
      <c r="AI343" s="39" t="str">
        <f ca="1">IF($A343="","",TRIM(IF(AND($U343&lt;&gt;"",$U343&lt;TODAY(),$W343&lt;&gt;"Schváleno",$W343&lt;&gt;"Odloženo",$W343&lt;&gt;"Zrušeno"),"Po termínu odevzdání. ","")&amp;IF(AND($W343="Schváleno",OR($X343="",$Y343="")),"Schváleno bez jména / data. ","")&amp;IF(OR($G343="",$H343="",$I343="",$F343=""),"Chybí zařazení (kategorie, typ, profil nebo měsíc). ","")&amp;IF(AND(OR($I343="Honza",$I343="Radek"),OR($J343="",$J343="Nevztahuje se")),"Doplnit charakter (osobní / pracovní). ","")&amp;IF(AND($W343="Schváleno",$AE343&gt;0),"Schváleno, ale má otevřené připomínky. ","")&amp;IF(AND($AA343="Publikováno",$AF343=0),"Publikováno bez záznamu v listu Publikace. ","")&amp;IF(AND($C343&lt;&gt;"",$D343=""),"Chybí číslo dílu série. ","")&amp;IF(AND($E343&lt;&gt;"",$W343&lt;&gt;"Schváleno",$W343&lt;&gt;"Odloženo",$W343&lt;&gt;"Zrušeno",IFERROR(VLOOKUP($E343,Nastavení!$A$30:$G$53,3,FALSE()),0)&gt;0,IFERROR(VLOOKUP($E343,Nastavení!$A$30:$G$53,3,FALSE()),0)&lt;TODAY()),"Neschváleno po termínu cyklu. ","")))</f>
        <v/>
      </c>
    </row>
    <row r="344" spans="1:35" x14ac:dyDescent="0.2">
      <c r="A344" s="35"/>
      <c r="B344" s="11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11"/>
      <c r="N344" s="11"/>
      <c r="O344" s="11"/>
      <c r="P344" s="11"/>
      <c r="Q344" s="11"/>
      <c r="R344" s="11"/>
      <c r="S344" s="11"/>
      <c r="T344" s="35"/>
      <c r="U344" s="36"/>
      <c r="V344" s="11"/>
      <c r="W344" s="35"/>
      <c r="X344" s="35"/>
      <c r="Y344" s="36"/>
      <c r="Z344" s="11"/>
      <c r="AA344" s="35"/>
      <c r="AB344" s="36"/>
      <c r="AC344" s="35"/>
      <c r="AD344" s="35"/>
      <c r="AE344" s="37" t="str">
        <f>IF($A344="","",COUNTIFS(Připomínky!$A$4:$A$503,$A344,Připomínky!$J$4:$J$503,"Nevyřešeno"))</f>
        <v/>
      </c>
      <c r="AF344" s="37" t="str">
        <f>IF($A344="","",COUNTIFS(Publikace!$A$4:$A$503,$A344))</f>
        <v/>
      </c>
      <c r="AG344" s="38" t="str">
        <f>IF($A344="","",IF(AF344=0,"",_xlfn.MINIFS(Publikace!$E$4:$E$503,Publikace!$A$4:$A$503,$A344)))</f>
        <v/>
      </c>
      <c r="AH344" s="37" t="str">
        <f t="shared" si="5"/>
        <v/>
      </c>
      <c r="AI344" s="39" t="str">
        <f ca="1">IF($A344="","",TRIM(IF(AND($U344&lt;&gt;"",$U344&lt;TODAY(),$W344&lt;&gt;"Schváleno",$W344&lt;&gt;"Odloženo",$W344&lt;&gt;"Zrušeno"),"Po termínu odevzdání. ","")&amp;IF(AND($W344="Schváleno",OR($X344="",$Y344="")),"Schváleno bez jména / data. ","")&amp;IF(OR($G344="",$H344="",$I344="",$F344=""),"Chybí zařazení (kategorie, typ, profil nebo měsíc). ","")&amp;IF(AND(OR($I344="Honza",$I344="Radek"),OR($J344="",$J344="Nevztahuje se")),"Doplnit charakter (osobní / pracovní). ","")&amp;IF(AND($W344="Schváleno",$AE344&gt;0),"Schváleno, ale má otevřené připomínky. ","")&amp;IF(AND($AA344="Publikováno",$AF344=0),"Publikováno bez záznamu v listu Publikace. ","")&amp;IF(AND($C344&lt;&gt;"",$D344=""),"Chybí číslo dílu série. ","")&amp;IF(AND($E344&lt;&gt;"",$W344&lt;&gt;"Schváleno",$W344&lt;&gt;"Odloženo",$W344&lt;&gt;"Zrušeno",IFERROR(VLOOKUP($E344,Nastavení!$A$30:$G$53,3,FALSE()),0)&gt;0,IFERROR(VLOOKUP($E344,Nastavení!$A$30:$G$53,3,FALSE()),0)&lt;TODAY()),"Neschváleno po termínu cyklu. ","")))</f>
        <v/>
      </c>
    </row>
    <row r="345" spans="1:35" x14ac:dyDescent="0.2">
      <c r="A345" s="35"/>
      <c r="B345" s="11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11"/>
      <c r="N345" s="11"/>
      <c r="O345" s="11"/>
      <c r="P345" s="11"/>
      <c r="Q345" s="11"/>
      <c r="R345" s="11"/>
      <c r="S345" s="11"/>
      <c r="T345" s="35"/>
      <c r="U345" s="36"/>
      <c r="V345" s="11"/>
      <c r="W345" s="35"/>
      <c r="X345" s="35"/>
      <c r="Y345" s="36"/>
      <c r="Z345" s="11"/>
      <c r="AA345" s="35"/>
      <c r="AB345" s="36"/>
      <c r="AC345" s="35"/>
      <c r="AD345" s="35"/>
      <c r="AE345" s="37" t="str">
        <f>IF($A345="","",COUNTIFS(Připomínky!$A$4:$A$503,$A345,Připomínky!$J$4:$J$503,"Nevyřešeno"))</f>
        <v/>
      </c>
      <c r="AF345" s="37" t="str">
        <f>IF($A345="","",COUNTIFS(Publikace!$A$4:$A$503,$A345))</f>
        <v/>
      </c>
      <c r="AG345" s="38" t="str">
        <f>IF($A345="","",IF(AF345=0,"",_xlfn.MINIFS(Publikace!$E$4:$E$503,Publikace!$A$4:$A$503,$A345)))</f>
        <v/>
      </c>
      <c r="AH345" s="37" t="str">
        <f t="shared" si="5"/>
        <v/>
      </c>
      <c r="AI345" s="39" t="str">
        <f ca="1">IF($A345="","",TRIM(IF(AND($U345&lt;&gt;"",$U345&lt;TODAY(),$W345&lt;&gt;"Schváleno",$W345&lt;&gt;"Odloženo",$W345&lt;&gt;"Zrušeno"),"Po termínu odevzdání. ","")&amp;IF(AND($W345="Schváleno",OR($X345="",$Y345="")),"Schváleno bez jména / data. ","")&amp;IF(OR($G345="",$H345="",$I345="",$F345=""),"Chybí zařazení (kategorie, typ, profil nebo měsíc). ","")&amp;IF(AND(OR($I345="Honza",$I345="Radek"),OR($J345="",$J345="Nevztahuje se")),"Doplnit charakter (osobní / pracovní). ","")&amp;IF(AND($W345="Schváleno",$AE345&gt;0),"Schváleno, ale má otevřené připomínky. ","")&amp;IF(AND($AA345="Publikováno",$AF345=0),"Publikováno bez záznamu v listu Publikace. ","")&amp;IF(AND($C345&lt;&gt;"",$D345=""),"Chybí číslo dílu série. ","")&amp;IF(AND($E345&lt;&gt;"",$W345&lt;&gt;"Schváleno",$W345&lt;&gt;"Odloženo",$W345&lt;&gt;"Zrušeno",IFERROR(VLOOKUP($E345,Nastavení!$A$30:$G$53,3,FALSE()),0)&gt;0,IFERROR(VLOOKUP($E345,Nastavení!$A$30:$G$53,3,FALSE()),0)&lt;TODAY()),"Neschváleno po termínu cyklu. ","")))</f>
        <v/>
      </c>
    </row>
    <row r="346" spans="1:35" x14ac:dyDescent="0.2">
      <c r="A346" s="35"/>
      <c r="B346" s="11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11"/>
      <c r="N346" s="11"/>
      <c r="O346" s="11"/>
      <c r="P346" s="11"/>
      <c r="Q346" s="11"/>
      <c r="R346" s="11"/>
      <c r="S346" s="11"/>
      <c r="T346" s="35"/>
      <c r="U346" s="36"/>
      <c r="V346" s="11"/>
      <c r="W346" s="35"/>
      <c r="X346" s="35"/>
      <c r="Y346" s="36"/>
      <c r="Z346" s="11"/>
      <c r="AA346" s="35"/>
      <c r="AB346" s="36"/>
      <c r="AC346" s="35"/>
      <c r="AD346" s="35"/>
      <c r="AE346" s="37" t="str">
        <f>IF($A346="","",COUNTIFS(Připomínky!$A$4:$A$503,$A346,Připomínky!$J$4:$J$503,"Nevyřešeno"))</f>
        <v/>
      </c>
      <c r="AF346" s="37" t="str">
        <f>IF($A346="","",COUNTIFS(Publikace!$A$4:$A$503,$A346))</f>
        <v/>
      </c>
      <c r="AG346" s="38" t="str">
        <f>IF($A346="","",IF(AF346=0,"",_xlfn.MINIFS(Publikace!$E$4:$E$503,Publikace!$A$4:$A$503,$A346)))</f>
        <v/>
      </c>
      <c r="AH346" s="37" t="str">
        <f t="shared" si="5"/>
        <v/>
      </c>
      <c r="AI346" s="39" t="str">
        <f ca="1">IF($A346="","",TRIM(IF(AND($U346&lt;&gt;"",$U346&lt;TODAY(),$W346&lt;&gt;"Schváleno",$W346&lt;&gt;"Odloženo",$W346&lt;&gt;"Zrušeno"),"Po termínu odevzdání. ","")&amp;IF(AND($W346="Schváleno",OR($X346="",$Y346="")),"Schváleno bez jména / data. ","")&amp;IF(OR($G346="",$H346="",$I346="",$F346=""),"Chybí zařazení (kategorie, typ, profil nebo měsíc). ","")&amp;IF(AND(OR($I346="Honza",$I346="Radek"),OR($J346="",$J346="Nevztahuje se")),"Doplnit charakter (osobní / pracovní). ","")&amp;IF(AND($W346="Schváleno",$AE346&gt;0),"Schváleno, ale má otevřené připomínky. ","")&amp;IF(AND($AA346="Publikováno",$AF346=0),"Publikováno bez záznamu v listu Publikace. ","")&amp;IF(AND($C346&lt;&gt;"",$D346=""),"Chybí číslo dílu série. ","")&amp;IF(AND($E346&lt;&gt;"",$W346&lt;&gt;"Schváleno",$W346&lt;&gt;"Odloženo",$W346&lt;&gt;"Zrušeno",IFERROR(VLOOKUP($E346,Nastavení!$A$30:$G$53,3,FALSE()),0)&gt;0,IFERROR(VLOOKUP($E346,Nastavení!$A$30:$G$53,3,FALSE()),0)&lt;TODAY()),"Neschváleno po termínu cyklu. ","")))</f>
        <v/>
      </c>
    </row>
    <row r="347" spans="1:35" x14ac:dyDescent="0.2">
      <c r="A347" s="35"/>
      <c r="B347" s="11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11"/>
      <c r="N347" s="11"/>
      <c r="O347" s="11"/>
      <c r="P347" s="11"/>
      <c r="Q347" s="11"/>
      <c r="R347" s="11"/>
      <c r="S347" s="11"/>
      <c r="T347" s="35"/>
      <c r="U347" s="36"/>
      <c r="V347" s="11"/>
      <c r="W347" s="35"/>
      <c r="X347" s="35"/>
      <c r="Y347" s="36"/>
      <c r="Z347" s="11"/>
      <c r="AA347" s="35"/>
      <c r="AB347" s="36"/>
      <c r="AC347" s="35"/>
      <c r="AD347" s="35"/>
      <c r="AE347" s="37" t="str">
        <f>IF($A347="","",COUNTIFS(Připomínky!$A$4:$A$503,$A347,Připomínky!$J$4:$J$503,"Nevyřešeno"))</f>
        <v/>
      </c>
      <c r="AF347" s="37" t="str">
        <f>IF($A347="","",COUNTIFS(Publikace!$A$4:$A$503,$A347))</f>
        <v/>
      </c>
      <c r="AG347" s="38" t="str">
        <f>IF($A347="","",IF(AF347=0,"",_xlfn.MINIFS(Publikace!$E$4:$E$503,Publikace!$A$4:$A$503,$A347)))</f>
        <v/>
      </c>
      <c r="AH347" s="37" t="str">
        <f t="shared" si="5"/>
        <v/>
      </c>
      <c r="AI347" s="39" t="str">
        <f ca="1">IF($A347="","",TRIM(IF(AND($U347&lt;&gt;"",$U347&lt;TODAY(),$W347&lt;&gt;"Schváleno",$W347&lt;&gt;"Odloženo",$W347&lt;&gt;"Zrušeno"),"Po termínu odevzdání. ","")&amp;IF(AND($W347="Schváleno",OR($X347="",$Y347="")),"Schváleno bez jména / data. ","")&amp;IF(OR($G347="",$H347="",$I347="",$F347=""),"Chybí zařazení (kategorie, typ, profil nebo měsíc). ","")&amp;IF(AND(OR($I347="Honza",$I347="Radek"),OR($J347="",$J347="Nevztahuje se")),"Doplnit charakter (osobní / pracovní). ","")&amp;IF(AND($W347="Schváleno",$AE347&gt;0),"Schváleno, ale má otevřené připomínky. ","")&amp;IF(AND($AA347="Publikováno",$AF347=0),"Publikováno bez záznamu v listu Publikace. ","")&amp;IF(AND($C347&lt;&gt;"",$D347=""),"Chybí číslo dílu série. ","")&amp;IF(AND($E347&lt;&gt;"",$W347&lt;&gt;"Schváleno",$W347&lt;&gt;"Odloženo",$W347&lt;&gt;"Zrušeno",IFERROR(VLOOKUP($E347,Nastavení!$A$30:$G$53,3,FALSE()),0)&gt;0,IFERROR(VLOOKUP($E347,Nastavení!$A$30:$G$53,3,FALSE()),0)&lt;TODAY()),"Neschváleno po termínu cyklu. ","")))</f>
        <v/>
      </c>
    </row>
    <row r="348" spans="1:35" x14ac:dyDescent="0.2">
      <c r="A348" s="35"/>
      <c r="B348" s="11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11"/>
      <c r="N348" s="11"/>
      <c r="O348" s="11"/>
      <c r="P348" s="11"/>
      <c r="Q348" s="11"/>
      <c r="R348" s="11"/>
      <c r="S348" s="11"/>
      <c r="T348" s="35"/>
      <c r="U348" s="36"/>
      <c r="V348" s="11"/>
      <c r="W348" s="35"/>
      <c r="X348" s="35"/>
      <c r="Y348" s="36"/>
      <c r="Z348" s="11"/>
      <c r="AA348" s="35"/>
      <c r="AB348" s="36"/>
      <c r="AC348" s="35"/>
      <c r="AD348" s="35"/>
      <c r="AE348" s="37" t="str">
        <f>IF($A348="","",COUNTIFS(Připomínky!$A$4:$A$503,$A348,Připomínky!$J$4:$J$503,"Nevyřešeno"))</f>
        <v/>
      </c>
      <c r="AF348" s="37" t="str">
        <f>IF($A348="","",COUNTIFS(Publikace!$A$4:$A$503,$A348))</f>
        <v/>
      </c>
      <c r="AG348" s="38" t="str">
        <f>IF($A348="","",IF(AF348=0,"",_xlfn.MINIFS(Publikace!$E$4:$E$503,Publikace!$A$4:$A$503,$A348)))</f>
        <v/>
      </c>
      <c r="AH348" s="37" t="str">
        <f t="shared" si="5"/>
        <v/>
      </c>
      <c r="AI348" s="39" t="str">
        <f ca="1">IF($A348="","",TRIM(IF(AND($U348&lt;&gt;"",$U348&lt;TODAY(),$W348&lt;&gt;"Schváleno",$W348&lt;&gt;"Odloženo",$W348&lt;&gt;"Zrušeno"),"Po termínu odevzdání. ","")&amp;IF(AND($W348="Schváleno",OR($X348="",$Y348="")),"Schváleno bez jména / data. ","")&amp;IF(OR($G348="",$H348="",$I348="",$F348=""),"Chybí zařazení (kategorie, typ, profil nebo měsíc). ","")&amp;IF(AND(OR($I348="Honza",$I348="Radek"),OR($J348="",$J348="Nevztahuje se")),"Doplnit charakter (osobní / pracovní). ","")&amp;IF(AND($W348="Schváleno",$AE348&gt;0),"Schváleno, ale má otevřené připomínky. ","")&amp;IF(AND($AA348="Publikováno",$AF348=0),"Publikováno bez záznamu v listu Publikace. ","")&amp;IF(AND($C348&lt;&gt;"",$D348=""),"Chybí číslo dílu série. ","")&amp;IF(AND($E348&lt;&gt;"",$W348&lt;&gt;"Schváleno",$W348&lt;&gt;"Odloženo",$W348&lt;&gt;"Zrušeno",IFERROR(VLOOKUP($E348,Nastavení!$A$30:$G$53,3,FALSE()),0)&gt;0,IFERROR(VLOOKUP($E348,Nastavení!$A$30:$G$53,3,FALSE()),0)&lt;TODAY()),"Neschváleno po termínu cyklu. ","")))</f>
        <v/>
      </c>
    </row>
    <row r="349" spans="1:35" x14ac:dyDescent="0.2">
      <c r="A349" s="35"/>
      <c r="B349" s="11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11"/>
      <c r="N349" s="11"/>
      <c r="O349" s="11"/>
      <c r="P349" s="11"/>
      <c r="Q349" s="11"/>
      <c r="R349" s="11"/>
      <c r="S349" s="11"/>
      <c r="T349" s="35"/>
      <c r="U349" s="36"/>
      <c r="V349" s="11"/>
      <c r="W349" s="35"/>
      <c r="X349" s="35"/>
      <c r="Y349" s="36"/>
      <c r="Z349" s="11"/>
      <c r="AA349" s="35"/>
      <c r="AB349" s="36"/>
      <c r="AC349" s="35"/>
      <c r="AD349" s="35"/>
      <c r="AE349" s="37" t="str">
        <f>IF($A349="","",COUNTIFS(Připomínky!$A$4:$A$503,$A349,Připomínky!$J$4:$J$503,"Nevyřešeno"))</f>
        <v/>
      </c>
      <c r="AF349" s="37" t="str">
        <f>IF($A349="","",COUNTIFS(Publikace!$A$4:$A$503,$A349))</f>
        <v/>
      </c>
      <c r="AG349" s="38" t="str">
        <f>IF($A349="","",IF(AF349=0,"",_xlfn.MINIFS(Publikace!$E$4:$E$503,Publikace!$A$4:$A$503,$A349)))</f>
        <v/>
      </c>
      <c r="AH349" s="37" t="str">
        <f t="shared" si="5"/>
        <v/>
      </c>
      <c r="AI349" s="39" t="str">
        <f ca="1">IF($A349="","",TRIM(IF(AND($U349&lt;&gt;"",$U349&lt;TODAY(),$W349&lt;&gt;"Schváleno",$W349&lt;&gt;"Odloženo",$W349&lt;&gt;"Zrušeno"),"Po termínu odevzdání. ","")&amp;IF(AND($W349="Schváleno",OR($X349="",$Y349="")),"Schváleno bez jména / data. ","")&amp;IF(OR($G349="",$H349="",$I349="",$F349=""),"Chybí zařazení (kategorie, typ, profil nebo měsíc). ","")&amp;IF(AND(OR($I349="Honza",$I349="Radek"),OR($J349="",$J349="Nevztahuje se")),"Doplnit charakter (osobní / pracovní). ","")&amp;IF(AND($W349="Schváleno",$AE349&gt;0),"Schváleno, ale má otevřené připomínky. ","")&amp;IF(AND($AA349="Publikováno",$AF349=0),"Publikováno bez záznamu v listu Publikace. ","")&amp;IF(AND($C349&lt;&gt;"",$D349=""),"Chybí číslo dílu série. ","")&amp;IF(AND($E349&lt;&gt;"",$W349&lt;&gt;"Schváleno",$W349&lt;&gt;"Odloženo",$W349&lt;&gt;"Zrušeno",IFERROR(VLOOKUP($E349,Nastavení!$A$30:$G$53,3,FALSE()),0)&gt;0,IFERROR(VLOOKUP($E349,Nastavení!$A$30:$G$53,3,FALSE()),0)&lt;TODAY()),"Neschváleno po termínu cyklu. ","")))</f>
        <v/>
      </c>
    </row>
    <row r="350" spans="1:35" x14ac:dyDescent="0.2">
      <c r="A350" s="35"/>
      <c r="B350" s="11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11"/>
      <c r="N350" s="11"/>
      <c r="O350" s="11"/>
      <c r="P350" s="11"/>
      <c r="Q350" s="11"/>
      <c r="R350" s="11"/>
      <c r="S350" s="11"/>
      <c r="T350" s="35"/>
      <c r="U350" s="36"/>
      <c r="V350" s="11"/>
      <c r="W350" s="35"/>
      <c r="X350" s="35"/>
      <c r="Y350" s="36"/>
      <c r="Z350" s="11"/>
      <c r="AA350" s="35"/>
      <c r="AB350" s="36"/>
      <c r="AC350" s="35"/>
      <c r="AD350" s="35"/>
      <c r="AE350" s="37" t="str">
        <f>IF($A350="","",COUNTIFS(Připomínky!$A$4:$A$503,$A350,Připomínky!$J$4:$J$503,"Nevyřešeno"))</f>
        <v/>
      </c>
      <c r="AF350" s="37" t="str">
        <f>IF($A350="","",COUNTIFS(Publikace!$A$4:$A$503,$A350))</f>
        <v/>
      </c>
      <c r="AG350" s="38" t="str">
        <f>IF($A350="","",IF(AF350=0,"",_xlfn.MINIFS(Publikace!$E$4:$E$503,Publikace!$A$4:$A$503,$A350)))</f>
        <v/>
      </c>
      <c r="AH350" s="37" t="str">
        <f t="shared" si="5"/>
        <v/>
      </c>
      <c r="AI350" s="39" t="str">
        <f ca="1">IF($A350="","",TRIM(IF(AND($U350&lt;&gt;"",$U350&lt;TODAY(),$W350&lt;&gt;"Schváleno",$W350&lt;&gt;"Odloženo",$W350&lt;&gt;"Zrušeno"),"Po termínu odevzdání. ","")&amp;IF(AND($W350="Schváleno",OR($X350="",$Y350="")),"Schváleno bez jména / data. ","")&amp;IF(OR($G350="",$H350="",$I350="",$F350=""),"Chybí zařazení (kategorie, typ, profil nebo měsíc). ","")&amp;IF(AND(OR($I350="Honza",$I350="Radek"),OR($J350="",$J350="Nevztahuje se")),"Doplnit charakter (osobní / pracovní). ","")&amp;IF(AND($W350="Schváleno",$AE350&gt;0),"Schváleno, ale má otevřené připomínky. ","")&amp;IF(AND($AA350="Publikováno",$AF350=0),"Publikováno bez záznamu v listu Publikace. ","")&amp;IF(AND($C350&lt;&gt;"",$D350=""),"Chybí číslo dílu série. ","")&amp;IF(AND($E350&lt;&gt;"",$W350&lt;&gt;"Schváleno",$W350&lt;&gt;"Odloženo",$W350&lt;&gt;"Zrušeno",IFERROR(VLOOKUP($E350,Nastavení!$A$30:$G$53,3,FALSE()),0)&gt;0,IFERROR(VLOOKUP($E350,Nastavení!$A$30:$G$53,3,FALSE()),0)&lt;TODAY()),"Neschváleno po termínu cyklu. ","")))</f>
        <v/>
      </c>
    </row>
    <row r="351" spans="1:35" x14ac:dyDescent="0.2">
      <c r="A351" s="35"/>
      <c r="B351" s="11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11"/>
      <c r="N351" s="11"/>
      <c r="O351" s="11"/>
      <c r="P351" s="11"/>
      <c r="Q351" s="11"/>
      <c r="R351" s="11"/>
      <c r="S351" s="11"/>
      <c r="T351" s="35"/>
      <c r="U351" s="36"/>
      <c r="V351" s="11"/>
      <c r="W351" s="35"/>
      <c r="X351" s="35"/>
      <c r="Y351" s="36"/>
      <c r="Z351" s="11"/>
      <c r="AA351" s="35"/>
      <c r="AB351" s="36"/>
      <c r="AC351" s="35"/>
      <c r="AD351" s="35"/>
      <c r="AE351" s="37" t="str">
        <f>IF($A351="","",COUNTIFS(Připomínky!$A$4:$A$503,$A351,Připomínky!$J$4:$J$503,"Nevyřešeno"))</f>
        <v/>
      </c>
      <c r="AF351" s="37" t="str">
        <f>IF($A351="","",COUNTIFS(Publikace!$A$4:$A$503,$A351))</f>
        <v/>
      </c>
      <c r="AG351" s="38" t="str">
        <f>IF($A351="","",IF(AF351=0,"",_xlfn.MINIFS(Publikace!$E$4:$E$503,Publikace!$A$4:$A$503,$A351)))</f>
        <v/>
      </c>
      <c r="AH351" s="37" t="str">
        <f t="shared" si="5"/>
        <v/>
      </c>
      <c r="AI351" s="39" t="str">
        <f ca="1">IF($A351="","",TRIM(IF(AND($U351&lt;&gt;"",$U351&lt;TODAY(),$W351&lt;&gt;"Schváleno",$W351&lt;&gt;"Odloženo",$W351&lt;&gt;"Zrušeno"),"Po termínu odevzdání. ","")&amp;IF(AND($W351="Schváleno",OR($X351="",$Y351="")),"Schváleno bez jména / data. ","")&amp;IF(OR($G351="",$H351="",$I351="",$F351=""),"Chybí zařazení (kategorie, typ, profil nebo měsíc). ","")&amp;IF(AND(OR($I351="Honza",$I351="Radek"),OR($J351="",$J351="Nevztahuje se")),"Doplnit charakter (osobní / pracovní). ","")&amp;IF(AND($W351="Schváleno",$AE351&gt;0),"Schváleno, ale má otevřené připomínky. ","")&amp;IF(AND($AA351="Publikováno",$AF351=0),"Publikováno bez záznamu v listu Publikace. ","")&amp;IF(AND($C351&lt;&gt;"",$D351=""),"Chybí číslo dílu série. ","")&amp;IF(AND($E351&lt;&gt;"",$W351&lt;&gt;"Schváleno",$W351&lt;&gt;"Odloženo",$W351&lt;&gt;"Zrušeno",IFERROR(VLOOKUP($E351,Nastavení!$A$30:$G$53,3,FALSE()),0)&gt;0,IFERROR(VLOOKUP($E351,Nastavení!$A$30:$G$53,3,FALSE()),0)&lt;TODAY()),"Neschváleno po termínu cyklu. ","")))</f>
        <v/>
      </c>
    </row>
    <row r="352" spans="1:35" x14ac:dyDescent="0.2">
      <c r="A352" s="35"/>
      <c r="B352" s="11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11"/>
      <c r="N352" s="11"/>
      <c r="O352" s="11"/>
      <c r="P352" s="11"/>
      <c r="Q352" s="11"/>
      <c r="R352" s="11"/>
      <c r="S352" s="11"/>
      <c r="T352" s="35"/>
      <c r="U352" s="36"/>
      <c r="V352" s="11"/>
      <c r="W352" s="35"/>
      <c r="X352" s="35"/>
      <c r="Y352" s="36"/>
      <c r="Z352" s="11"/>
      <c r="AA352" s="35"/>
      <c r="AB352" s="36"/>
      <c r="AC352" s="35"/>
      <c r="AD352" s="35"/>
      <c r="AE352" s="37" t="str">
        <f>IF($A352="","",COUNTIFS(Připomínky!$A$4:$A$503,$A352,Připomínky!$J$4:$J$503,"Nevyřešeno"))</f>
        <v/>
      </c>
      <c r="AF352" s="37" t="str">
        <f>IF($A352="","",COUNTIFS(Publikace!$A$4:$A$503,$A352))</f>
        <v/>
      </c>
      <c r="AG352" s="38" t="str">
        <f>IF($A352="","",IF(AF352=0,"",_xlfn.MINIFS(Publikace!$E$4:$E$503,Publikace!$A$4:$A$503,$A352)))</f>
        <v/>
      </c>
      <c r="AH352" s="37" t="str">
        <f t="shared" si="5"/>
        <v/>
      </c>
      <c r="AI352" s="39" t="str">
        <f ca="1">IF($A352="","",TRIM(IF(AND($U352&lt;&gt;"",$U352&lt;TODAY(),$W352&lt;&gt;"Schváleno",$W352&lt;&gt;"Odloženo",$W352&lt;&gt;"Zrušeno"),"Po termínu odevzdání. ","")&amp;IF(AND($W352="Schváleno",OR($X352="",$Y352="")),"Schváleno bez jména / data. ","")&amp;IF(OR($G352="",$H352="",$I352="",$F352=""),"Chybí zařazení (kategorie, typ, profil nebo měsíc). ","")&amp;IF(AND(OR($I352="Honza",$I352="Radek"),OR($J352="",$J352="Nevztahuje se")),"Doplnit charakter (osobní / pracovní). ","")&amp;IF(AND($W352="Schváleno",$AE352&gt;0),"Schváleno, ale má otevřené připomínky. ","")&amp;IF(AND($AA352="Publikováno",$AF352=0),"Publikováno bez záznamu v listu Publikace. ","")&amp;IF(AND($C352&lt;&gt;"",$D352=""),"Chybí číslo dílu série. ","")&amp;IF(AND($E352&lt;&gt;"",$W352&lt;&gt;"Schváleno",$W352&lt;&gt;"Odloženo",$W352&lt;&gt;"Zrušeno",IFERROR(VLOOKUP($E352,Nastavení!$A$30:$G$53,3,FALSE()),0)&gt;0,IFERROR(VLOOKUP($E352,Nastavení!$A$30:$G$53,3,FALSE()),0)&lt;TODAY()),"Neschváleno po termínu cyklu. ","")))</f>
        <v/>
      </c>
    </row>
    <row r="353" spans="1:35" x14ac:dyDescent="0.2">
      <c r="A353" s="35"/>
      <c r="B353" s="11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11"/>
      <c r="N353" s="11"/>
      <c r="O353" s="11"/>
      <c r="P353" s="11"/>
      <c r="Q353" s="11"/>
      <c r="R353" s="11"/>
      <c r="S353" s="11"/>
      <c r="T353" s="35"/>
      <c r="U353" s="36"/>
      <c r="V353" s="11"/>
      <c r="W353" s="35"/>
      <c r="X353" s="35"/>
      <c r="Y353" s="36"/>
      <c r="Z353" s="11"/>
      <c r="AA353" s="35"/>
      <c r="AB353" s="36"/>
      <c r="AC353" s="35"/>
      <c r="AD353" s="35"/>
      <c r="AE353" s="37" t="str">
        <f>IF($A353="","",COUNTIFS(Připomínky!$A$4:$A$503,$A353,Připomínky!$J$4:$J$503,"Nevyřešeno"))</f>
        <v/>
      </c>
      <c r="AF353" s="37" t="str">
        <f>IF($A353="","",COUNTIFS(Publikace!$A$4:$A$503,$A353))</f>
        <v/>
      </c>
      <c r="AG353" s="38" t="str">
        <f>IF($A353="","",IF(AF353=0,"",_xlfn.MINIFS(Publikace!$E$4:$E$503,Publikace!$A$4:$A$503,$A353)))</f>
        <v/>
      </c>
      <c r="AH353" s="37" t="str">
        <f t="shared" si="5"/>
        <v/>
      </c>
      <c r="AI353" s="39" t="str">
        <f ca="1">IF($A353="","",TRIM(IF(AND($U353&lt;&gt;"",$U353&lt;TODAY(),$W353&lt;&gt;"Schváleno",$W353&lt;&gt;"Odloženo",$W353&lt;&gt;"Zrušeno"),"Po termínu odevzdání. ","")&amp;IF(AND($W353="Schváleno",OR($X353="",$Y353="")),"Schváleno bez jména / data. ","")&amp;IF(OR($G353="",$H353="",$I353="",$F353=""),"Chybí zařazení (kategorie, typ, profil nebo měsíc). ","")&amp;IF(AND(OR($I353="Honza",$I353="Radek"),OR($J353="",$J353="Nevztahuje se")),"Doplnit charakter (osobní / pracovní). ","")&amp;IF(AND($W353="Schváleno",$AE353&gt;0),"Schváleno, ale má otevřené připomínky. ","")&amp;IF(AND($AA353="Publikováno",$AF353=0),"Publikováno bez záznamu v listu Publikace. ","")&amp;IF(AND($C353&lt;&gt;"",$D353=""),"Chybí číslo dílu série. ","")&amp;IF(AND($E353&lt;&gt;"",$W353&lt;&gt;"Schváleno",$W353&lt;&gt;"Odloženo",$W353&lt;&gt;"Zrušeno",IFERROR(VLOOKUP($E353,Nastavení!$A$30:$G$53,3,FALSE()),0)&gt;0,IFERROR(VLOOKUP($E353,Nastavení!$A$30:$G$53,3,FALSE()),0)&lt;TODAY()),"Neschváleno po termínu cyklu. ","")))</f>
        <v/>
      </c>
    </row>
    <row r="354" spans="1:35" x14ac:dyDescent="0.2">
      <c r="A354" s="35"/>
      <c r="B354" s="11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11"/>
      <c r="N354" s="11"/>
      <c r="O354" s="11"/>
      <c r="P354" s="11"/>
      <c r="Q354" s="11"/>
      <c r="R354" s="11"/>
      <c r="S354" s="11"/>
      <c r="T354" s="35"/>
      <c r="U354" s="36"/>
      <c r="V354" s="11"/>
      <c r="W354" s="35"/>
      <c r="X354" s="35"/>
      <c r="Y354" s="36"/>
      <c r="Z354" s="11"/>
      <c r="AA354" s="35"/>
      <c r="AB354" s="36"/>
      <c r="AC354" s="35"/>
      <c r="AD354" s="35"/>
      <c r="AE354" s="37" t="str">
        <f>IF($A354="","",COUNTIFS(Připomínky!$A$4:$A$503,$A354,Připomínky!$J$4:$J$503,"Nevyřešeno"))</f>
        <v/>
      </c>
      <c r="AF354" s="37" t="str">
        <f>IF($A354="","",COUNTIFS(Publikace!$A$4:$A$503,$A354))</f>
        <v/>
      </c>
      <c r="AG354" s="38" t="str">
        <f>IF($A354="","",IF(AF354=0,"",_xlfn.MINIFS(Publikace!$E$4:$E$503,Publikace!$A$4:$A$503,$A354)))</f>
        <v/>
      </c>
      <c r="AH354" s="37" t="str">
        <f t="shared" si="5"/>
        <v/>
      </c>
      <c r="AI354" s="39" t="str">
        <f ca="1">IF($A354="","",TRIM(IF(AND($U354&lt;&gt;"",$U354&lt;TODAY(),$W354&lt;&gt;"Schváleno",$W354&lt;&gt;"Odloženo",$W354&lt;&gt;"Zrušeno"),"Po termínu odevzdání. ","")&amp;IF(AND($W354="Schváleno",OR($X354="",$Y354="")),"Schváleno bez jména / data. ","")&amp;IF(OR($G354="",$H354="",$I354="",$F354=""),"Chybí zařazení (kategorie, typ, profil nebo měsíc). ","")&amp;IF(AND(OR($I354="Honza",$I354="Radek"),OR($J354="",$J354="Nevztahuje se")),"Doplnit charakter (osobní / pracovní). ","")&amp;IF(AND($W354="Schváleno",$AE354&gt;0),"Schváleno, ale má otevřené připomínky. ","")&amp;IF(AND($AA354="Publikováno",$AF354=0),"Publikováno bez záznamu v listu Publikace. ","")&amp;IF(AND($C354&lt;&gt;"",$D354=""),"Chybí číslo dílu série. ","")&amp;IF(AND($E354&lt;&gt;"",$W354&lt;&gt;"Schváleno",$W354&lt;&gt;"Odloženo",$W354&lt;&gt;"Zrušeno",IFERROR(VLOOKUP($E354,Nastavení!$A$30:$G$53,3,FALSE()),0)&gt;0,IFERROR(VLOOKUP($E354,Nastavení!$A$30:$G$53,3,FALSE()),0)&lt;TODAY()),"Neschváleno po termínu cyklu. ","")))</f>
        <v/>
      </c>
    </row>
    <row r="355" spans="1:35" x14ac:dyDescent="0.2">
      <c r="A355" s="35"/>
      <c r="B355" s="11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11"/>
      <c r="N355" s="11"/>
      <c r="O355" s="11"/>
      <c r="P355" s="11"/>
      <c r="Q355" s="11"/>
      <c r="R355" s="11"/>
      <c r="S355" s="11"/>
      <c r="T355" s="35"/>
      <c r="U355" s="36"/>
      <c r="V355" s="11"/>
      <c r="W355" s="35"/>
      <c r="X355" s="35"/>
      <c r="Y355" s="36"/>
      <c r="Z355" s="11"/>
      <c r="AA355" s="35"/>
      <c r="AB355" s="36"/>
      <c r="AC355" s="35"/>
      <c r="AD355" s="35"/>
      <c r="AE355" s="37" t="str">
        <f>IF($A355="","",COUNTIFS(Připomínky!$A$4:$A$503,$A355,Připomínky!$J$4:$J$503,"Nevyřešeno"))</f>
        <v/>
      </c>
      <c r="AF355" s="37" t="str">
        <f>IF($A355="","",COUNTIFS(Publikace!$A$4:$A$503,$A355))</f>
        <v/>
      </c>
      <c r="AG355" s="38" t="str">
        <f>IF($A355="","",IF(AF355=0,"",_xlfn.MINIFS(Publikace!$E$4:$E$503,Publikace!$A$4:$A$503,$A355)))</f>
        <v/>
      </c>
      <c r="AH355" s="37" t="str">
        <f t="shared" si="5"/>
        <v/>
      </c>
      <c r="AI355" s="39" t="str">
        <f ca="1">IF($A355="","",TRIM(IF(AND($U355&lt;&gt;"",$U355&lt;TODAY(),$W355&lt;&gt;"Schváleno",$W355&lt;&gt;"Odloženo",$W355&lt;&gt;"Zrušeno"),"Po termínu odevzdání. ","")&amp;IF(AND($W355="Schváleno",OR($X355="",$Y355="")),"Schváleno bez jména / data. ","")&amp;IF(OR($G355="",$H355="",$I355="",$F355=""),"Chybí zařazení (kategorie, typ, profil nebo měsíc). ","")&amp;IF(AND(OR($I355="Honza",$I355="Radek"),OR($J355="",$J355="Nevztahuje se")),"Doplnit charakter (osobní / pracovní). ","")&amp;IF(AND($W355="Schváleno",$AE355&gt;0),"Schváleno, ale má otevřené připomínky. ","")&amp;IF(AND($AA355="Publikováno",$AF355=0),"Publikováno bez záznamu v listu Publikace. ","")&amp;IF(AND($C355&lt;&gt;"",$D355=""),"Chybí číslo dílu série. ","")&amp;IF(AND($E355&lt;&gt;"",$W355&lt;&gt;"Schváleno",$W355&lt;&gt;"Odloženo",$W355&lt;&gt;"Zrušeno",IFERROR(VLOOKUP($E355,Nastavení!$A$30:$G$53,3,FALSE()),0)&gt;0,IFERROR(VLOOKUP($E355,Nastavení!$A$30:$G$53,3,FALSE()),0)&lt;TODAY()),"Neschváleno po termínu cyklu. ","")))</f>
        <v/>
      </c>
    </row>
    <row r="356" spans="1:35" x14ac:dyDescent="0.2">
      <c r="A356" s="35"/>
      <c r="B356" s="11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11"/>
      <c r="N356" s="11"/>
      <c r="O356" s="11"/>
      <c r="P356" s="11"/>
      <c r="Q356" s="11"/>
      <c r="R356" s="11"/>
      <c r="S356" s="11"/>
      <c r="T356" s="35"/>
      <c r="U356" s="36"/>
      <c r="V356" s="11"/>
      <c r="W356" s="35"/>
      <c r="X356" s="35"/>
      <c r="Y356" s="36"/>
      <c r="Z356" s="11"/>
      <c r="AA356" s="35"/>
      <c r="AB356" s="36"/>
      <c r="AC356" s="35"/>
      <c r="AD356" s="35"/>
      <c r="AE356" s="37" t="str">
        <f>IF($A356="","",COUNTIFS(Připomínky!$A$4:$A$503,$A356,Připomínky!$J$4:$J$503,"Nevyřešeno"))</f>
        <v/>
      </c>
      <c r="AF356" s="37" t="str">
        <f>IF($A356="","",COUNTIFS(Publikace!$A$4:$A$503,$A356))</f>
        <v/>
      </c>
      <c r="AG356" s="38" t="str">
        <f>IF($A356="","",IF(AF356=0,"",_xlfn.MINIFS(Publikace!$E$4:$E$503,Publikace!$A$4:$A$503,$A356)))</f>
        <v/>
      </c>
      <c r="AH356" s="37" t="str">
        <f t="shared" si="5"/>
        <v/>
      </c>
      <c r="AI356" s="39" t="str">
        <f ca="1">IF($A356="","",TRIM(IF(AND($U356&lt;&gt;"",$U356&lt;TODAY(),$W356&lt;&gt;"Schváleno",$W356&lt;&gt;"Odloženo",$W356&lt;&gt;"Zrušeno"),"Po termínu odevzdání. ","")&amp;IF(AND($W356="Schváleno",OR($X356="",$Y356="")),"Schváleno bez jména / data. ","")&amp;IF(OR($G356="",$H356="",$I356="",$F356=""),"Chybí zařazení (kategorie, typ, profil nebo měsíc). ","")&amp;IF(AND(OR($I356="Honza",$I356="Radek"),OR($J356="",$J356="Nevztahuje se")),"Doplnit charakter (osobní / pracovní). ","")&amp;IF(AND($W356="Schváleno",$AE356&gt;0),"Schváleno, ale má otevřené připomínky. ","")&amp;IF(AND($AA356="Publikováno",$AF356=0),"Publikováno bez záznamu v listu Publikace. ","")&amp;IF(AND($C356&lt;&gt;"",$D356=""),"Chybí číslo dílu série. ","")&amp;IF(AND($E356&lt;&gt;"",$W356&lt;&gt;"Schváleno",$W356&lt;&gt;"Odloženo",$W356&lt;&gt;"Zrušeno",IFERROR(VLOOKUP($E356,Nastavení!$A$30:$G$53,3,FALSE()),0)&gt;0,IFERROR(VLOOKUP($E356,Nastavení!$A$30:$G$53,3,FALSE()),0)&lt;TODAY()),"Neschváleno po termínu cyklu. ","")))</f>
        <v/>
      </c>
    </row>
    <row r="357" spans="1:35" x14ac:dyDescent="0.2">
      <c r="A357" s="35"/>
      <c r="B357" s="11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11"/>
      <c r="N357" s="11"/>
      <c r="O357" s="11"/>
      <c r="P357" s="11"/>
      <c r="Q357" s="11"/>
      <c r="R357" s="11"/>
      <c r="S357" s="11"/>
      <c r="T357" s="35"/>
      <c r="U357" s="36"/>
      <c r="V357" s="11"/>
      <c r="W357" s="35"/>
      <c r="X357" s="35"/>
      <c r="Y357" s="36"/>
      <c r="Z357" s="11"/>
      <c r="AA357" s="35"/>
      <c r="AB357" s="36"/>
      <c r="AC357" s="35"/>
      <c r="AD357" s="35"/>
      <c r="AE357" s="37" t="str">
        <f>IF($A357="","",COUNTIFS(Připomínky!$A$4:$A$503,$A357,Připomínky!$J$4:$J$503,"Nevyřešeno"))</f>
        <v/>
      </c>
      <c r="AF357" s="37" t="str">
        <f>IF($A357="","",COUNTIFS(Publikace!$A$4:$A$503,$A357))</f>
        <v/>
      </c>
      <c r="AG357" s="38" t="str">
        <f>IF($A357="","",IF(AF357=0,"",_xlfn.MINIFS(Publikace!$E$4:$E$503,Publikace!$A$4:$A$503,$A357)))</f>
        <v/>
      </c>
      <c r="AH357" s="37" t="str">
        <f t="shared" si="5"/>
        <v/>
      </c>
      <c r="AI357" s="39" t="str">
        <f ca="1">IF($A357="","",TRIM(IF(AND($U357&lt;&gt;"",$U357&lt;TODAY(),$W357&lt;&gt;"Schváleno",$W357&lt;&gt;"Odloženo",$W357&lt;&gt;"Zrušeno"),"Po termínu odevzdání. ","")&amp;IF(AND($W357="Schváleno",OR($X357="",$Y357="")),"Schváleno bez jména / data. ","")&amp;IF(OR($G357="",$H357="",$I357="",$F357=""),"Chybí zařazení (kategorie, typ, profil nebo měsíc). ","")&amp;IF(AND(OR($I357="Honza",$I357="Radek"),OR($J357="",$J357="Nevztahuje se")),"Doplnit charakter (osobní / pracovní). ","")&amp;IF(AND($W357="Schváleno",$AE357&gt;0),"Schváleno, ale má otevřené připomínky. ","")&amp;IF(AND($AA357="Publikováno",$AF357=0),"Publikováno bez záznamu v listu Publikace. ","")&amp;IF(AND($C357&lt;&gt;"",$D357=""),"Chybí číslo dílu série. ","")&amp;IF(AND($E357&lt;&gt;"",$W357&lt;&gt;"Schváleno",$W357&lt;&gt;"Odloženo",$W357&lt;&gt;"Zrušeno",IFERROR(VLOOKUP($E357,Nastavení!$A$30:$G$53,3,FALSE()),0)&gt;0,IFERROR(VLOOKUP($E357,Nastavení!$A$30:$G$53,3,FALSE()),0)&lt;TODAY()),"Neschváleno po termínu cyklu. ","")))</f>
        <v/>
      </c>
    </row>
    <row r="358" spans="1:35" x14ac:dyDescent="0.2">
      <c r="A358" s="35"/>
      <c r="B358" s="11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11"/>
      <c r="N358" s="11"/>
      <c r="O358" s="11"/>
      <c r="P358" s="11"/>
      <c r="Q358" s="11"/>
      <c r="R358" s="11"/>
      <c r="S358" s="11"/>
      <c r="T358" s="35"/>
      <c r="U358" s="36"/>
      <c r="V358" s="11"/>
      <c r="W358" s="35"/>
      <c r="X358" s="35"/>
      <c r="Y358" s="36"/>
      <c r="Z358" s="11"/>
      <c r="AA358" s="35"/>
      <c r="AB358" s="36"/>
      <c r="AC358" s="35"/>
      <c r="AD358" s="35"/>
      <c r="AE358" s="37" t="str">
        <f>IF($A358="","",COUNTIFS(Připomínky!$A$4:$A$503,$A358,Připomínky!$J$4:$J$503,"Nevyřešeno"))</f>
        <v/>
      </c>
      <c r="AF358" s="37" t="str">
        <f>IF($A358="","",COUNTIFS(Publikace!$A$4:$A$503,$A358))</f>
        <v/>
      </c>
      <c r="AG358" s="38" t="str">
        <f>IF($A358="","",IF(AF358=0,"",_xlfn.MINIFS(Publikace!$E$4:$E$503,Publikace!$A$4:$A$503,$A358)))</f>
        <v/>
      </c>
      <c r="AH358" s="37" t="str">
        <f t="shared" si="5"/>
        <v/>
      </c>
      <c r="AI358" s="39" t="str">
        <f ca="1">IF($A358="","",TRIM(IF(AND($U358&lt;&gt;"",$U358&lt;TODAY(),$W358&lt;&gt;"Schváleno",$W358&lt;&gt;"Odloženo",$W358&lt;&gt;"Zrušeno"),"Po termínu odevzdání. ","")&amp;IF(AND($W358="Schváleno",OR($X358="",$Y358="")),"Schváleno bez jména / data. ","")&amp;IF(OR($G358="",$H358="",$I358="",$F358=""),"Chybí zařazení (kategorie, typ, profil nebo měsíc). ","")&amp;IF(AND(OR($I358="Honza",$I358="Radek"),OR($J358="",$J358="Nevztahuje se")),"Doplnit charakter (osobní / pracovní). ","")&amp;IF(AND($W358="Schváleno",$AE358&gt;0),"Schváleno, ale má otevřené připomínky. ","")&amp;IF(AND($AA358="Publikováno",$AF358=0),"Publikováno bez záznamu v listu Publikace. ","")&amp;IF(AND($C358&lt;&gt;"",$D358=""),"Chybí číslo dílu série. ","")&amp;IF(AND($E358&lt;&gt;"",$W358&lt;&gt;"Schváleno",$W358&lt;&gt;"Odloženo",$W358&lt;&gt;"Zrušeno",IFERROR(VLOOKUP($E358,Nastavení!$A$30:$G$53,3,FALSE()),0)&gt;0,IFERROR(VLOOKUP($E358,Nastavení!$A$30:$G$53,3,FALSE()),0)&lt;TODAY()),"Neschváleno po termínu cyklu. ","")))</f>
        <v/>
      </c>
    </row>
    <row r="359" spans="1:35" x14ac:dyDescent="0.2">
      <c r="A359" s="35"/>
      <c r="B359" s="11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11"/>
      <c r="N359" s="11"/>
      <c r="O359" s="11"/>
      <c r="P359" s="11"/>
      <c r="Q359" s="11"/>
      <c r="R359" s="11"/>
      <c r="S359" s="11"/>
      <c r="T359" s="35"/>
      <c r="U359" s="36"/>
      <c r="V359" s="11"/>
      <c r="W359" s="35"/>
      <c r="X359" s="35"/>
      <c r="Y359" s="36"/>
      <c r="Z359" s="11"/>
      <c r="AA359" s="35"/>
      <c r="AB359" s="36"/>
      <c r="AC359" s="35"/>
      <c r="AD359" s="35"/>
      <c r="AE359" s="37" t="str">
        <f>IF($A359="","",COUNTIFS(Připomínky!$A$4:$A$503,$A359,Připomínky!$J$4:$J$503,"Nevyřešeno"))</f>
        <v/>
      </c>
      <c r="AF359" s="37" t="str">
        <f>IF($A359="","",COUNTIFS(Publikace!$A$4:$A$503,$A359))</f>
        <v/>
      </c>
      <c r="AG359" s="38" t="str">
        <f>IF($A359="","",IF(AF359=0,"",_xlfn.MINIFS(Publikace!$E$4:$E$503,Publikace!$A$4:$A$503,$A359)))</f>
        <v/>
      </c>
      <c r="AH359" s="37" t="str">
        <f t="shared" si="5"/>
        <v/>
      </c>
      <c r="AI359" s="39" t="str">
        <f ca="1">IF($A359="","",TRIM(IF(AND($U359&lt;&gt;"",$U359&lt;TODAY(),$W359&lt;&gt;"Schváleno",$W359&lt;&gt;"Odloženo",$W359&lt;&gt;"Zrušeno"),"Po termínu odevzdání. ","")&amp;IF(AND($W359="Schváleno",OR($X359="",$Y359="")),"Schváleno bez jména / data. ","")&amp;IF(OR($G359="",$H359="",$I359="",$F359=""),"Chybí zařazení (kategorie, typ, profil nebo měsíc). ","")&amp;IF(AND(OR($I359="Honza",$I359="Radek"),OR($J359="",$J359="Nevztahuje se")),"Doplnit charakter (osobní / pracovní). ","")&amp;IF(AND($W359="Schváleno",$AE359&gt;0),"Schváleno, ale má otevřené připomínky. ","")&amp;IF(AND($AA359="Publikováno",$AF359=0),"Publikováno bez záznamu v listu Publikace. ","")&amp;IF(AND($C359&lt;&gt;"",$D359=""),"Chybí číslo dílu série. ","")&amp;IF(AND($E359&lt;&gt;"",$W359&lt;&gt;"Schváleno",$W359&lt;&gt;"Odloženo",$W359&lt;&gt;"Zrušeno",IFERROR(VLOOKUP($E359,Nastavení!$A$30:$G$53,3,FALSE()),0)&gt;0,IFERROR(VLOOKUP($E359,Nastavení!$A$30:$G$53,3,FALSE()),0)&lt;TODAY()),"Neschváleno po termínu cyklu. ","")))</f>
        <v/>
      </c>
    </row>
    <row r="360" spans="1:35" x14ac:dyDescent="0.2">
      <c r="A360" s="35"/>
      <c r="B360" s="11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11"/>
      <c r="N360" s="11"/>
      <c r="O360" s="11"/>
      <c r="P360" s="11"/>
      <c r="Q360" s="11"/>
      <c r="R360" s="11"/>
      <c r="S360" s="11"/>
      <c r="T360" s="35"/>
      <c r="U360" s="36"/>
      <c r="V360" s="11"/>
      <c r="W360" s="35"/>
      <c r="X360" s="35"/>
      <c r="Y360" s="36"/>
      <c r="Z360" s="11"/>
      <c r="AA360" s="35"/>
      <c r="AB360" s="36"/>
      <c r="AC360" s="35"/>
      <c r="AD360" s="35"/>
      <c r="AE360" s="37" t="str">
        <f>IF($A360="","",COUNTIFS(Připomínky!$A$4:$A$503,$A360,Připomínky!$J$4:$J$503,"Nevyřešeno"))</f>
        <v/>
      </c>
      <c r="AF360" s="37" t="str">
        <f>IF($A360="","",COUNTIFS(Publikace!$A$4:$A$503,$A360))</f>
        <v/>
      </c>
      <c r="AG360" s="38" t="str">
        <f>IF($A360="","",IF(AF360=0,"",_xlfn.MINIFS(Publikace!$E$4:$E$503,Publikace!$A$4:$A$503,$A360)))</f>
        <v/>
      </c>
      <c r="AH360" s="37" t="str">
        <f t="shared" si="5"/>
        <v/>
      </c>
      <c r="AI360" s="39" t="str">
        <f ca="1">IF($A360="","",TRIM(IF(AND($U360&lt;&gt;"",$U360&lt;TODAY(),$W360&lt;&gt;"Schváleno",$W360&lt;&gt;"Odloženo",$W360&lt;&gt;"Zrušeno"),"Po termínu odevzdání. ","")&amp;IF(AND($W360="Schváleno",OR($X360="",$Y360="")),"Schváleno bez jména / data. ","")&amp;IF(OR($G360="",$H360="",$I360="",$F360=""),"Chybí zařazení (kategorie, typ, profil nebo měsíc). ","")&amp;IF(AND(OR($I360="Honza",$I360="Radek"),OR($J360="",$J360="Nevztahuje se")),"Doplnit charakter (osobní / pracovní). ","")&amp;IF(AND($W360="Schváleno",$AE360&gt;0),"Schváleno, ale má otevřené připomínky. ","")&amp;IF(AND($AA360="Publikováno",$AF360=0),"Publikováno bez záznamu v listu Publikace. ","")&amp;IF(AND($C360&lt;&gt;"",$D360=""),"Chybí číslo dílu série. ","")&amp;IF(AND($E360&lt;&gt;"",$W360&lt;&gt;"Schváleno",$W360&lt;&gt;"Odloženo",$W360&lt;&gt;"Zrušeno",IFERROR(VLOOKUP($E360,Nastavení!$A$30:$G$53,3,FALSE()),0)&gt;0,IFERROR(VLOOKUP($E360,Nastavení!$A$30:$G$53,3,FALSE()),0)&lt;TODAY()),"Neschváleno po termínu cyklu. ","")))</f>
        <v/>
      </c>
    </row>
    <row r="361" spans="1:35" x14ac:dyDescent="0.2">
      <c r="A361" s="35"/>
      <c r="B361" s="11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11"/>
      <c r="N361" s="11"/>
      <c r="O361" s="11"/>
      <c r="P361" s="11"/>
      <c r="Q361" s="11"/>
      <c r="R361" s="11"/>
      <c r="S361" s="11"/>
      <c r="T361" s="35"/>
      <c r="U361" s="36"/>
      <c r="V361" s="11"/>
      <c r="W361" s="35"/>
      <c r="X361" s="35"/>
      <c r="Y361" s="36"/>
      <c r="Z361" s="11"/>
      <c r="AA361" s="35"/>
      <c r="AB361" s="36"/>
      <c r="AC361" s="35"/>
      <c r="AD361" s="35"/>
      <c r="AE361" s="37" t="str">
        <f>IF($A361="","",COUNTIFS(Připomínky!$A$4:$A$503,$A361,Připomínky!$J$4:$J$503,"Nevyřešeno"))</f>
        <v/>
      </c>
      <c r="AF361" s="37" t="str">
        <f>IF($A361="","",COUNTIFS(Publikace!$A$4:$A$503,$A361))</f>
        <v/>
      </c>
      <c r="AG361" s="38" t="str">
        <f>IF($A361="","",IF(AF361=0,"",_xlfn.MINIFS(Publikace!$E$4:$E$503,Publikace!$A$4:$A$503,$A361)))</f>
        <v/>
      </c>
      <c r="AH361" s="37" t="str">
        <f t="shared" si="5"/>
        <v/>
      </c>
      <c r="AI361" s="39" t="str">
        <f ca="1">IF($A361="","",TRIM(IF(AND($U361&lt;&gt;"",$U361&lt;TODAY(),$W361&lt;&gt;"Schváleno",$W361&lt;&gt;"Odloženo",$W361&lt;&gt;"Zrušeno"),"Po termínu odevzdání. ","")&amp;IF(AND($W361="Schváleno",OR($X361="",$Y361="")),"Schváleno bez jména / data. ","")&amp;IF(OR($G361="",$H361="",$I361="",$F361=""),"Chybí zařazení (kategorie, typ, profil nebo měsíc). ","")&amp;IF(AND(OR($I361="Honza",$I361="Radek"),OR($J361="",$J361="Nevztahuje se")),"Doplnit charakter (osobní / pracovní). ","")&amp;IF(AND($W361="Schváleno",$AE361&gt;0),"Schváleno, ale má otevřené připomínky. ","")&amp;IF(AND($AA361="Publikováno",$AF361=0),"Publikováno bez záznamu v listu Publikace. ","")&amp;IF(AND($C361&lt;&gt;"",$D361=""),"Chybí číslo dílu série. ","")&amp;IF(AND($E361&lt;&gt;"",$W361&lt;&gt;"Schváleno",$W361&lt;&gt;"Odloženo",$W361&lt;&gt;"Zrušeno",IFERROR(VLOOKUP($E361,Nastavení!$A$30:$G$53,3,FALSE()),0)&gt;0,IFERROR(VLOOKUP($E361,Nastavení!$A$30:$G$53,3,FALSE()),0)&lt;TODAY()),"Neschváleno po termínu cyklu. ","")))</f>
        <v/>
      </c>
    </row>
    <row r="362" spans="1:35" x14ac:dyDescent="0.2">
      <c r="A362" s="35"/>
      <c r="B362" s="11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11"/>
      <c r="N362" s="11"/>
      <c r="O362" s="11"/>
      <c r="P362" s="11"/>
      <c r="Q362" s="11"/>
      <c r="R362" s="11"/>
      <c r="S362" s="11"/>
      <c r="T362" s="35"/>
      <c r="U362" s="36"/>
      <c r="V362" s="11"/>
      <c r="W362" s="35"/>
      <c r="X362" s="35"/>
      <c r="Y362" s="36"/>
      <c r="Z362" s="11"/>
      <c r="AA362" s="35"/>
      <c r="AB362" s="36"/>
      <c r="AC362" s="35"/>
      <c r="AD362" s="35"/>
      <c r="AE362" s="37" t="str">
        <f>IF($A362="","",COUNTIFS(Připomínky!$A$4:$A$503,$A362,Připomínky!$J$4:$J$503,"Nevyřešeno"))</f>
        <v/>
      </c>
      <c r="AF362" s="37" t="str">
        <f>IF($A362="","",COUNTIFS(Publikace!$A$4:$A$503,$A362))</f>
        <v/>
      </c>
      <c r="AG362" s="38" t="str">
        <f>IF($A362="","",IF(AF362=0,"",_xlfn.MINIFS(Publikace!$E$4:$E$503,Publikace!$A$4:$A$503,$A362)))</f>
        <v/>
      </c>
      <c r="AH362" s="37" t="str">
        <f t="shared" si="5"/>
        <v/>
      </c>
      <c r="AI362" s="39" t="str">
        <f ca="1">IF($A362="","",TRIM(IF(AND($U362&lt;&gt;"",$U362&lt;TODAY(),$W362&lt;&gt;"Schváleno",$W362&lt;&gt;"Odloženo",$W362&lt;&gt;"Zrušeno"),"Po termínu odevzdání. ","")&amp;IF(AND($W362="Schváleno",OR($X362="",$Y362="")),"Schváleno bez jména / data. ","")&amp;IF(OR($G362="",$H362="",$I362="",$F362=""),"Chybí zařazení (kategorie, typ, profil nebo měsíc). ","")&amp;IF(AND(OR($I362="Honza",$I362="Radek"),OR($J362="",$J362="Nevztahuje se")),"Doplnit charakter (osobní / pracovní). ","")&amp;IF(AND($W362="Schváleno",$AE362&gt;0),"Schváleno, ale má otevřené připomínky. ","")&amp;IF(AND($AA362="Publikováno",$AF362=0),"Publikováno bez záznamu v listu Publikace. ","")&amp;IF(AND($C362&lt;&gt;"",$D362=""),"Chybí číslo dílu série. ","")&amp;IF(AND($E362&lt;&gt;"",$W362&lt;&gt;"Schváleno",$W362&lt;&gt;"Odloženo",$W362&lt;&gt;"Zrušeno",IFERROR(VLOOKUP($E362,Nastavení!$A$30:$G$53,3,FALSE()),0)&gt;0,IFERROR(VLOOKUP($E362,Nastavení!$A$30:$G$53,3,FALSE()),0)&lt;TODAY()),"Neschváleno po termínu cyklu. ","")))</f>
        <v/>
      </c>
    </row>
    <row r="363" spans="1:35" x14ac:dyDescent="0.2">
      <c r="A363" s="35"/>
      <c r="B363" s="11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11"/>
      <c r="N363" s="11"/>
      <c r="O363" s="11"/>
      <c r="P363" s="11"/>
      <c r="Q363" s="11"/>
      <c r="R363" s="11"/>
      <c r="S363" s="11"/>
      <c r="T363" s="35"/>
      <c r="U363" s="36"/>
      <c r="V363" s="11"/>
      <c r="W363" s="35"/>
      <c r="X363" s="35"/>
      <c r="Y363" s="36"/>
      <c r="Z363" s="11"/>
      <c r="AA363" s="35"/>
      <c r="AB363" s="36"/>
      <c r="AC363" s="35"/>
      <c r="AD363" s="35"/>
      <c r="AE363" s="37" t="str">
        <f>IF($A363="","",COUNTIFS(Připomínky!$A$4:$A$503,$A363,Připomínky!$J$4:$J$503,"Nevyřešeno"))</f>
        <v/>
      </c>
      <c r="AF363" s="37" t="str">
        <f>IF($A363="","",COUNTIFS(Publikace!$A$4:$A$503,$A363))</f>
        <v/>
      </c>
      <c r="AG363" s="38" t="str">
        <f>IF($A363="","",IF(AF363=0,"",_xlfn.MINIFS(Publikace!$E$4:$E$503,Publikace!$A$4:$A$503,$A363)))</f>
        <v/>
      </c>
      <c r="AH363" s="37" t="str">
        <f t="shared" si="5"/>
        <v/>
      </c>
      <c r="AI363" s="39" t="str">
        <f ca="1">IF($A363="","",TRIM(IF(AND($U363&lt;&gt;"",$U363&lt;TODAY(),$W363&lt;&gt;"Schváleno",$W363&lt;&gt;"Odloženo",$W363&lt;&gt;"Zrušeno"),"Po termínu odevzdání. ","")&amp;IF(AND($W363="Schváleno",OR($X363="",$Y363="")),"Schváleno bez jména / data. ","")&amp;IF(OR($G363="",$H363="",$I363="",$F363=""),"Chybí zařazení (kategorie, typ, profil nebo měsíc). ","")&amp;IF(AND(OR($I363="Honza",$I363="Radek"),OR($J363="",$J363="Nevztahuje se")),"Doplnit charakter (osobní / pracovní). ","")&amp;IF(AND($W363="Schváleno",$AE363&gt;0),"Schváleno, ale má otevřené připomínky. ","")&amp;IF(AND($AA363="Publikováno",$AF363=0),"Publikováno bez záznamu v listu Publikace. ","")&amp;IF(AND($C363&lt;&gt;"",$D363=""),"Chybí číslo dílu série. ","")&amp;IF(AND($E363&lt;&gt;"",$W363&lt;&gt;"Schváleno",$W363&lt;&gt;"Odloženo",$W363&lt;&gt;"Zrušeno",IFERROR(VLOOKUP($E363,Nastavení!$A$30:$G$53,3,FALSE()),0)&gt;0,IFERROR(VLOOKUP($E363,Nastavení!$A$30:$G$53,3,FALSE()),0)&lt;TODAY()),"Neschváleno po termínu cyklu. ","")))</f>
        <v/>
      </c>
    </row>
    <row r="364" spans="1:35" x14ac:dyDescent="0.2">
      <c r="A364" s="35"/>
      <c r="B364" s="11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11"/>
      <c r="N364" s="11"/>
      <c r="O364" s="11"/>
      <c r="P364" s="11"/>
      <c r="Q364" s="11"/>
      <c r="R364" s="11"/>
      <c r="S364" s="11"/>
      <c r="T364" s="35"/>
      <c r="U364" s="36"/>
      <c r="V364" s="11"/>
      <c r="W364" s="35"/>
      <c r="X364" s="35"/>
      <c r="Y364" s="36"/>
      <c r="Z364" s="11"/>
      <c r="AA364" s="35"/>
      <c r="AB364" s="36"/>
      <c r="AC364" s="35"/>
      <c r="AD364" s="35"/>
      <c r="AE364" s="37" t="str">
        <f>IF($A364="","",COUNTIFS(Připomínky!$A$4:$A$503,$A364,Připomínky!$J$4:$J$503,"Nevyřešeno"))</f>
        <v/>
      </c>
      <c r="AF364" s="37" t="str">
        <f>IF($A364="","",COUNTIFS(Publikace!$A$4:$A$503,$A364))</f>
        <v/>
      </c>
      <c r="AG364" s="38" t="str">
        <f>IF($A364="","",IF(AF364=0,"",_xlfn.MINIFS(Publikace!$E$4:$E$503,Publikace!$A$4:$A$503,$A364)))</f>
        <v/>
      </c>
      <c r="AH364" s="37" t="str">
        <f t="shared" si="5"/>
        <v/>
      </c>
      <c r="AI364" s="39" t="str">
        <f ca="1">IF($A364="","",TRIM(IF(AND($U364&lt;&gt;"",$U364&lt;TODAY(),$W364&lt;&gt;"Schváleno",$W364&lt;&gt;"Odloženo",$W364&lt;&gt;"Zrušeno"),"Po termínu odevzdání. ","")&amp;IF(AND($W364="Schváleno",OR($X364="",$Y364="")),"Schváleno bez jména / data. ","")&amp;IF(OR($G364="",$H364="",$I364="",$F364=""),"Chybí zařazení (kategorie, typ, profil nebo měsíc). ","")&amp;IF(AND(OR($I364="Honza",$I364="Radek"),OR($J364="",$J364="Nevztahuje se")),"Doplnit charakter (osobní / pracovní). ","")&amp;IF(AND($W364="Schváleno",$AE364&gt;0),"Schváleno, ale má otevřené připomínky. ","")&amp;IF(AND($AA364="Publikováno",$AF364=0),"Publikováno bez záznamu v listu Publikace. ","")&amp;IF(AND($C364&lt;&gt;"",$D364=""),"Chybí číslo dílu série. ","")&amp;IF(AND($E364&lt;&gt;"",$W364&lt;&gt;"Schváleno",$W364&lt;&gt;"Odloženo",$W364&lt;&gt;"Zrušeno",IFERROR(VLOOKUP($E364,Nastavení!$A$30:$G$53,3,FALSE()),0)&gt;0,IFERROR(VLOOKUP($E364,Nastavení!$A$30:$G$53,3,FALSE()),0)&lt;TODAY()),"Neschváleno po termínu cyklu. ","")))</f>
        <v/>
      </c>
    </row>
    <row r="365" spans="1:35" x14ac:dyDescent="0.2">
      <c r="A365" s="35"/>
      <c r="B365" s="11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11"/>
      <c r="N365" s="11"/>
      <c r="O365" s="11"/>
      <c r="P365" s="11"/>
      <c r="Q365" s="11"/>
      <c r="R365" s="11"/>
      <c r="S365" s="11"/>
      <c r="T365" s="35"/>
      <c r="U365" s="36"/>
      <c r="V365" s="11"/>
      <c r="W365" s="35"/>
      <c r="X365" s="35"/>
      <c r="Y365" s="36"/>
      <c r="Z365" s="11"/>
      <c r="AA365" s="35"/>
      <c r="AB365" s="36"/>
      <c r="AC365" s="35"/>
      <c r="AD365" s="35"/>
      <c r="AE365" s="37" t="str">
        <f>IF($A365="","",COUNTIFS(Připomínky!$A$4:$A$503,$A365,Připomínky!$J$4:$J$503,"Nevyřešeno"))</f>
        <v/>
      </c>
      <c r="AF365" s="37" t="str">
        <f>IF($A365="","",COUNTIFS(Publikace!$A$4:$A$503,$A365))</f>
        <v/>
      </c>
      <c r="AG365" s="38" t="str">
        <f>IF($A365="","",IF(AF365=0,"",_xlfn.MINIFS(Publikace!$E$4:$E$503,Publikace!$A$4:$A$503,$A365)))</f>
        <v/>
      </c>
      <c r="AH365" s="37" t="str">
        <f t="shared" si="5"/>
        <v/>
      </c>
      <c r="AI365" s="39" t="str">
        <f ca="1">IF($A365="","",TRIM(IF(AND($U365&lt;&gt;"",$U365&lt;TODAY(),$W365&lt;&gt;"Schváleno",$W365&lt;&gt;"Odloženo",$W365&lt;&gt;"Zrušeno"),"Po termínu odevzdání. ","")&amp;IF(AND($W365="Schváleno",OR($X365="",$Y365="")),"Schváleno bez jména / data. ","")&amp;IF(OR($G365="",$H365="",$I365="",$F365=""),"Chybí zařazení (kategorie, typ, profil nebo měsíc). ","")&amp;IF(AND(OR($I365="Honza",$I365="Radek"),OR($J365="",$J365="Nevztahuje se")),"Doplnit charakter (osobní / pracovní). ","")&amp;IF(AND($W365="Schváleno",$AE365&gt;0),"Schváleno, ale má otevřené připomínky. ","")&amp;IF(AND($AA365="Publikováno",$AF365=0),"Publikováno bez záznamu v listu Publikace. ","")&amp;IF(AND($C365&lt;&gt;"",$D365=""),"Chybí číslo dílu série. ","")&amp;IF(AND($E365&lt;&gt;"",$W365&lt;&gt;"Schváleno",$W365&lt;&gt;"Odloženo",$W365&lt;&gt;"Zrušeno",IFERROR(VLOOKUP($E365,Nastavení!$A$30:$G$53,3,FALSE()),0)&gt;0,IFERROR(VLOOKUP($E365,Nastavení!$A$30:$G$53,3,FALSE()),0)&lt;TODAY()),"Neschváleno po termínu cyklu. ","")))</f>
        <v/>
      </c>
    </row>
    <row r="366" spans="1:35" x14ac:dyDescent="0.2">
      <c r="A366" s="35"/>
      <c r="B366" s="11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11"/>
      <c r="N366" s="11"/>
      <c r="O366" s="11"/>
      <c r="P366" s="11"/>
      <c r="Q366" s="11"/>
      <c r="R366" s="11"/>
      <c r="S366" s="11"/>
      <c r="T366" s="35"/>
      <c r="U366" s="36"/>
      <c r="V366" s="11"/>
      <c r="W366" s="35"/>
      <c r="X366" s="35"/>
      <c r="Y366" s="36"/>
      <c r="Z366" s="11"/>
      <c r="AA366" s="35"/>
      <c r="AB366" s="36"/>
      <c r="AC366" s="35"/>
      <c r="AD366" s="35"/>
      <c r="AE366" s="37" t="str">
        <f>IF($A366="","",COUNTIFS(Připomínky!$A$4:$A$503,$A366,Připomínky!$J$4:$J$503,"Nevyřešeno"))</f>
        <v/>
      </c>
      <c r="AF366" s="37" t="str">
        <f>IF($A366="","",COUNTIFS(Publikace!$A$4:$A$503,$A366))</f>
        <v/>
      </c>
      <c r="AG366" s="38" t="str">
        <f>IF($A366="","",IF(AF366=0,"",_xlfn.MINIFS(Publikace!$E$4:$E$503,Publikace!$A$4:$A$503,$A366)))</f>
        <v/>
      </c>
      <c r="AH366" s="37" t="str">
        <f t="shared" si="5"/>
        <v/>
      </c>
      <c r="AI366" s="39" t="str">
        <f ca="1">IF($A366="","",TRIM(IF(AND($U366&lt;&gt;"",$U366&lt;TODAY(),$W366&lt;&gt;"Schváleno",$W366&lt;&gt;"Odloženo",$W366&lt;&gt;"Zrušeno"),"Po termínu odevzdání. ","")&amp;IF(AND($W366="Schváleno",OR($X366="",$Y366="")),"Schváleno bez jména / data. ","")&amp;IF(OR($G366="",$H366="",$I366="",$F366=""),"Chybí zařazení (kategorie, typ, profil nebo měsíc). ","")&amp;IF(AND(OR($I366="Honza",$I366="Radek"),OR($J366="",$J366="Nevztahuje se")),"Doplnit charakter (osobní / pracovní). ","")&amp;IF(AND($W366="Schváleno",$AE366&gt;0),"Schváleno, ale má otevřené připomínky. ","")&amp;IF(AND($AA366="Publikováno",$AF366=0),"Publikováno bez záznamu v listu Publikace. ","")&amp;IF(AND($C366&lt;&gt;"",$D366=""),"Chybí číslo dílu série. ","")&amp;IF(AND($E366&lt;&gt;"",$W366&lt;&gt;"Schváleno",$W366&lt;&gt;"Odloženo",$W366&lt;&gt;"Zrušeno",IFERROR(VLOOKUP($E366,Nastavení!$A$30:$G$53,3,FALSE()),0)&gt;0,IFERROR(VLOOKUP($E366,Nastavení!$A$30:$G$53,3,FALSE()),0)&lt;TODAY()),"Neschváleno po termínu cyklu. ","")))</f>
        <v/>
      </c>
    </row>
    <row r="367" spans="1:35" x14ac:dyDescent="0.2">
      <c r="A367" s="35"/>
      <c r="B367" s="11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11"/>
      <c r="N367" s="11"/>
      <c r="O367" s="11"/>
      <c r="P367" s="11"/>
      <c r="Q367" s="11"/>
      <c r="R367" s="11"/>
      <c r="S367" s="11"/>
      <c r="T367" s="35"/>
      <c r="U367" s="36"/>
      <c r="V367" s="11"/>
      <c r="W367" s="35"/>
      <c r="X367" s="35"/>
      <c r="Y367" s="36"/>
      <c r="Z367" s="11"/>
      <c r="AA367" s="35"/>
      <c r="AB367" s="36"/>
      <c r="AC367" s="35"/>
      <c r="AD367" s="35"/>
      <c r="AE367" s="37" t="str">
        <f>IF($A367="","",COUNTIFS(Připomínky!$A$4:$A$503,$A367,Připomínky!$J$4:$J$503,"Nevyřešeno"))</f>
        <v/>
      </c>
      <c r="AF367" s="37" t="str">
        <f>IF($A367="","",COUNTIFS(Publikace!$A$4:$A$503,$A367))</f>
        <v/>
      </c>
      <c r="AG367" s="38" t="str">
        <f>IF($A367="","",IF(AF367=0,"",_xlfn.MINIFS(Publikace!$E$4:$E$503,Publikace!$A$4:$A$503,$A367)))</f>
        <v/>
      </c>
      <c r="AH367" s="37" t="str">
        <f t="shared" si="5"/>
        <v/>
      </c>
      <c r="AI367" s="39" t="str">
        <f ca="1">IF($A367="","",TRIM(IF(AND($U367&lt;&gt;"",$U367&lt;TODAY(),$W367&lt;&gt;"Schváleno",$W367&lt;&gt;"Odloženo",$W367&lt;&gt;"Zrušeno"),"Po termínu odevzdání. ","")&amp;IF(AND($W367="Schváleno",OR($X367="",$Y367="")),"Schváleno bez jména / data. ","")&amp;IF(OR($G367="",$H367="",$I367="",$F367=""),"Chybí zařazení (kategorie, typ, profil nebo měsíc). ","")&amp;IF(AND(OR($I367="Honza",$I367="Radek"),OR($J367="",$J367="Nevztahuje se")),"Doplnit charakter (osobní / pracovní). ","")&amp;IF(AND($W367="Schváleno",$AE367&gt;0),"Schváleno, ale má otevřené připomínky. ","")&amp;IF(AND($AA367="Publikováno",$AF367=0),"Publikováno bez záznamu v listu Publikace. ","")&amp;IF(AND($C367&lt;&gt;"",$D367=""),"Chybí číslo dílu série. ","")&amp;IF(AND($E367&lt;&gt;"",$W367&lt;&gt;"Schváleno",$W367&lt;&gt;"Odloženo",$W367&lt;&gt;"Zrušeno",IFERROR(VLOOKUP($E367,Nastavení!$A$30:$G$53,3,FALSE()),0)&gt;0,IFERROR(VLOOKUP($E367,Nastavení!$A$30:$G$53,3,FALSE()),0)&lt;TODAY()),"Neschváleno po termínu cyklu. ","")))</f>
        <v/>
      </c>
    </row>
    <row r="368" spans="1:35" x14ac:dyDescent="0.2">
      <c r="A368" s="35"/>
      <c r="B368" s="11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11"/>
      <c r="N368" s="11"/>
      <c r="O368" s="11"/>
      <c r="P368" s="11"/>
      <c r="Q368" s="11"/>
      <c r="R368" s="11"/>
      <c r="S368" s="11"/>
      <c r="T368" s="35"/>
      <c r="U368" s="36"/>
      <c r="V368" s="11"/>
      <c r="W368" s="35"/>
      <c r="X368" s="35"/>
      <c r="Y368" s="36"/>
      <c r="Z368" s="11"/>
      <c r="AA368" s="35"/>
      <c r="AB368" s="36"/>
      <c r="AC368" s="35"/>
      <c r="AD368" s="35"/>
      <c r="AE368" s="37" t="str">
        <f>IF($A368="","",COUNTIFS(Připomínky!$A$4:$A$503,$A368,Připomínky!$J$4:$J$503,"Nevyřešeno"))</f>
        <v/>
      </c>
      <c r="AF368" s="37" t="str">
        <f>IF($A368="","",COUNTIFS(Publikace!$A$4:$A$503,$A368))</f>
        <v/>
      </c>
      <c r="AG368" s="38" t="str">
        <f>IF($A368="","",IF(AF368=0,"",_xlfn.MINIFS(Publikace!$E$4:$E$503,Publikace!$A$4:$A$503,$A368)))</f>
        <v/>
      </c>
      <c r="AH368" s="37" t="str">
        <f t="shared" si="5"/>
        <v/>
      </c>
      <c r="AI368" s="39" t="str">
        <f ca="1">IF($A368="","",TRIM(IF(AND($U368&lt;&gt;"",$U368&lt;TODAY(),$W368&lt;&gt;"Schváleno",$W368&lt;&gt;"Odloženo",$W368&lt;&gt;"Zrušeno"),"Po termínu odevzdání. ","")&amp;IF(AND($W368="Schváleno",OR($X368="",$Y368="")),"Schváleno bez jména / data. ","")&amp;IF(OR($G368="",$H368="",$I368="",$F368=""),"Chybí zařazení (kategorie, typ, profil nebo měsíc). ","")&amp;IF(AND(OR($I368="Honza",$I368="Radek"),OR($J368="",$J368="Nevztahuje se")),"Doplnit charakter (osobní / pracovní). ","")&amp;IF(AND($W368="Schváleno",$AE368&gt;0),"Schváleno, ale má otevřené připomínky. ","")&amp;IF(AND($AA368="Publikováno",$AF368=0),"Publikováno bez záznamu v listu Publikace. ","")&amp;IF(AND($C368&lt;&gt;"",$D368=""),"Chybí číslo dílu série. ","")&amp;IF(AND($E368&lt;&gt;"",$W368&lt;&gt;"Schváleno",$W368&lt;&gt;"Odloženo",$W368&lt;&gt;"Zrušeno",IFERROR(VLOOKUP($E368,Nastavení!$A$30:$G$53,3,FALSE()),0)&gt;0,IFERROR(VLOOKUP($E368,Nastavení!$A$30:$G$53,3,FALSE()),0)&lt;TODAY()),"Neschváleno po termínu cyklu. ","")))</f>
        <v/>
      </c>
    </row>
    <row r="369" spans="1:35" x14ac:dyDescent="0.2">
      <c r="A369" s="35"/>
      <c r="B369" s="11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11"/>
      <c r="N369" s="11"/>
      <c r="O369" s="11"/>
      <c r="P369" s="11"/>
      <c r="Q369" s="11"/>
      <c r="R369" s="11"/>
      <c r="S369" s="11"/>
      <c r="T369" s="35"/>
      <c r="U369" s="36"/>
      <c r="V369" s="11"/>
      <c r="W369" s="35"/>
      <c r="X369" s="35"/>
      <c r="Y369" s="36"/>
      <c r="Z369" s="11"/>
      <c r="AA369" s="35"/>
      <c r="AB369" s="36"/>
      <c r="AC369" s="35"/>
      <c r="AD369" s="35"/>
      <c r="AE369" s="37" t="str">
        <f>IF($A369="","",COUNTIFS(Připomínky!$A$4:$A$503,$A369,Připomínky!$J$4:$J$503,"Nevyřešeno"))</f>
        <v/>
      </c>
      <c r="AF369" s="37" t="str">
        <f>IF($A369="","",COUNTIFS(Publikace!$A$4:$A$503,$A369))</f>
        <v/>
      </c>
      <c r="AG369" s="38" t="str">
        <f>IF($A369="","",IF(AF369=0,"",_xlfn.MINIFS(Publikace!$E$4:$E$503,Publikace!$A$4:$A$503,$A369)))</f>
        <v/>
      </c>
      <c r="AH369" s="37" t="str">
        <f t="shared" si="5"/>
        <v/>
      </c>
      <c r="AI369" s="39" t="str">
        <f ca="1">IF($A369="","",TRIM(IF(AND($U369&lt;&gt;"",$U369&lt;TODAY(),$W369&lt;&gt;"Schváleno",$W369&lt;&gt;"Odloženo",$W369&lt;&gt;"Zrušeno"),"Po termínu odevzdání. ","")&amp;IF(AND($W369="Schváleno",OR($X369="",$Y369="")),"Schváleno bez jména / data. ","")&amp;IF(OR($G369="",$H369="",$I369="",$F369=""),"Chybí zařazení (kategorie, typ, profil nebo měsíc). ","")&amp;IF(AND(OR($I369="Honza",$I369="Radek"),OR($J369="",$J369="Nevztahuje se")),"Doplnit charakter (osobní / pracovní). ","")&amp;IF(AND($W369="Schváleno",$AE369&gt;0),"Schváleno, ale má otevřené připomínky. ","")&amp;IF(AND($AA369="Publikováno",$AF369=0),"Publikováno bez záznamu v listu Publikace. ","")&amp;IF(AND($C369&lt;&gt;"",$D369=""),"Chybí číslo dílu série. ","")&amp;IF(AND($E369&lt;&gt;"",$W369&lt;&gt;"Schváleno",$W369&lt;&gt;"Odloženo",$W369&lt;&gt;"Zrušeno",IFERROR(VLOOKUP($E369,Nastavení!$A$30:$G$53,3,FALSE()),0)&gt;0,IFERROR(VLOOKUP($E369,Nastavení!$A$30:$G$53,3,FALSE()),0)&lt;TODAY()),"Neschváleno po termínu cyklu. ","")))</f>
        <v/>
      </c>
    </row>
    <row r="370" spans="1:35" x14ac:dyDescent="0.2">
      <c r="A370" s="35"/>
      <c r="B370" s="11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11"/>
      <c r="N370" s="11"/>
      <c r="O370" s="11"/>
      <c r="P370" s="11"/>
      <c r="Q370" s="11"/>
      <c r="R370" s="11"/>
      <c r="S370" s="11"/>
      <c r="T370" s="35"/>
      <c r="U370" s="36"/>
      <c r="V370" s="11"/>
      <c r="W370" s="35"/>
      <c r="X370" s="35"/>
      <c r="Y370" s="36"/>
      <c r="Z370" s="11"/>
      <c r="AA370" s="35"/>
      <c r="AB370" s="36"/>
      <c r="AC370" s="35"/>
      <c r="AD370" s="35"/>
      <c r="AE370" s="37" t="str">
        <f>IF($A370="","",COUNTIFS(Připomínky!$A$4:$A$503,$A370,Připomínky!$J$4:$J$503,"Nevyřešeno"))</f>
        <v/>
      </c>
      <c r="AF370" s="37" t="str">
        <f>IF($A370="","",COUNTIFS(Publikace!$A$4:$A$503,$A370))</f>
        <v/>
      </c>
      <c r="AG370" s="38" t="str">
        <f>IF($A370="","",IF(AF370=0,"",_xlfn.MINIFS(Publikace!$E$4:$E$503,Publikace!$A$4:$A$503,$A370)))</f>
        <v/>
      </c>
      <c r="AH370" s="37" t="str">
        <f t="shared" si="5"/>
        <v/>
      </c>
      <c r="AI370" s="39" t="str">
        <f ca="1">IF($A370="","",TRIM(IF(AND($U370&lt;&gt;"",$U370&lt;TODAY(),$W370&lt;&gt;"Schváleno",$W370&lt;&gt;"Odloženo",$W370&lt;&gt;"Zrušeno"),"Po termínu odevzdání. ","")&amp;IF(AND($W370="Schváleno",OR($X370="",$Y370="")),"Schváleno bez jména / data. ","")&amp;IF(OR($G370="",$H370="",$I370="",$F370=""),"Chybí zařazení (kategorie, typ, profil nebo měsíc). ","")&amp;IF(AND(OR($I370="Honza",$I370="Radek"),OR($J370="",$J370="Nevztahuje se")),"Doplnit charakter (osobní / pracovní). ","")&amp;IF(AND($W370="Schváleno",$AE370&gt;0),"Schváleno, ale má otevřené připomínky. ","")&amp;IF(AND($AA370="Publikováno",$AF370=0),"Publikováno bez záznamu v listu Publikace. ","")&amp;IF(AND($C370&lt;&gt;"",$D370=""),"Chybí číslo dílu série. ","")&amp;IF(AND($E370&lt;&gt;"",$W370&lt;&gt;"Schváleno",$W370&lt;&gt;"Odloženo",$W370&lt;&gt;"Zrušeno",IFERROR(VLOOKUP($E370,Nastavení!$A$30:$G$53,3,FALSE()),0)&gt;0,IFERROR(VLOOKUP($E370,Nastavení!$A$30:$G$53,3,FALSE()),0)&lt;TODAY()),"Neschváleno po termínu cyklu. ","")))</f>
        <v/>
      </c>
    </row>
    <row r="371" spans="1:35" x14ac:dyDescent="0.2">
      <c r="A371" s="35"/>
      <c r="B371" s="11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11"/>
      <c r="N371" s="11"/>
      <c r="O371" s="11"/>
      <c r="P371" s="11"/>
      <c r="Q371" s="11"/>
      <c r="R371" s="11"/>
      <c r="S371" s="11"/>
      <c r="T371" s="35"/>
      <c r="U371" s="36"/>
      <c r="V371" s="11"/>
      <c r="W371" s="35"/>
      <c r="X371" s="35"/>
      <c r="Y371" s="36"/>
      <c r="Z371" s="11"/>
      <c r="AA371" s="35"/>
      <c r="AB371" s="36"/>
      <c r="AC371" s="35"/>
      <c r="AD371" s="35"/>
      <c r="AE371" s="37" t="str">
        <f>IF($A371="","",COUNTIFS(Připomínky!$A$4:$A$503,$A371,Připomínky!$J$4:$J$503,"Nevyřešeno"))</f>
        <v/>
      </c>
      <c r="AF371" s="37" t="str">
        <f>IF($A371="","",COUNTIFS(Publikace!$A$4:$A$503,$A371))</f>
        <v/>
      </c>
      <c r="AG371" s="38" t="str">
        <f>IF($A371="","",IF(AF371=0,"",_xlfn.MINIFS(Publikace!$E$4:$E$503,Publikace!$A$4:$A$503,$A371)))</f>
        <v/>
      </c>
      <c r="AH371" s="37" t="str">
        <f t="shared" si="5"/>
        <v/>
      </c>
      <c r="AI371" s="39" t="str">
        <f ca="1">IF($A371="","",TRIM(IF(AND($U371&lt;&gt;"",$U371&lt;TODAY(),$W371&lt;&gt;"Schváleno",$W371&lt;&gt;"Odloženo",$W371&lt;&gt;"Zrušeno"),"Po termínu odevzdání. ","")&amp;IF(AND($W371="Schváleno",OR($X371="",$Y371="")),"Schváleno bez jména / data. ","")&amp;IF(OR($G371="",$H371="",$I371="",$F371=""),"Chybí zařazení (kategorie, typ, profil nebo měsíc). ","")&amp;IF(AND(OR($I371="Honza",$I371="Radek"),OR($J371="",$J371="Nevztahuje se")),"Doplnit charakter (osobní / pracovní). ","")&amp;IF(AND($W371="Schváleno",$AE371&gt;0),"Schváleno, ale má otevřené připomínky. ","")&amp;IF(AND($AA371="Publikováno",$AF371=0),"Publikováno bez záznamu v listu Publikace. ","")&amp;IF(AND($C371&lt;&gt;"",$D371=""),"Chybí číslo dílu série. ","")&amp;IF(AND($E371&lt;&gt;"",$W371&lt;&gt;"Schváleno",$W371&lt;&gt;"Odloženo",$W371&lt;&gt;"Zrušeno",IFERROR(VLOOKUP($E371,Nastavení!$A$30:$G$53,3,FALSE()),0)&gt;0,IFERROR(VLOOKUP($E371,Nastavení!$A$30:$G$53,3,FALSE()),0)&lt;TODAY()),"Neschváleno po termínu cyklu. ","")))</f>
        <v/>
      </c>
    </row>
    <row r="372" spans="1:35" x14ac:dyDescent="0.2">
      <c r="A372" s="35"/>
      <c r="B372" s="11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11"/>
      <c r="N372" s="11"/>
      <c r="O372" s="11"/>
      <c r="P372" s="11"/>
      <c r="Q372" s="11"/>
      <c r="R372" s="11"/>
      <c r="S372" s="11"/>
      <c r="T372" s="35"/>
      <c r="U372" s="36"/>
      <c r="V372" s="11"/>
      <c r="W372" s="35"/>
      <c r="X372" s="35"/>
      <c r="Y372" s="36"/>
      <c r="Z372" s="11"/>
      <c r="AA372" s="35"/>
      <c r="AB372" s="36"/>
      <c r="AC372" s="35"/>
      <c r="AD372" s="35"/>
      <c r="AE372" s="37" t="str">
        <f>IF($A372="","",COUNTIFS(Připomínky!$A$4:$A$503,$A372,Připomínky!$J$4:$J$503,"Nevyřešeno"))</f>
        <v/>
      </c>
      <c r="AF372" s="37" t="str">
        <f>IF($A372="","",COUNTIFS(Publikace!$A$4:$A$503,$A372))</f>
        <v/>
      </c>
      <c r="AG372" s="38" t="str">
        <f>IF($A372="","",IF(AF372=0,"",_xlfn.MINIFS(Publikace!$E$4:$E$503,Publikace!$A$4:$A$503,$A372)))</f>
        <v/>
      </c>
      <c r="AH372" s="37" t="str">
        <f t="shared" si="5"/>
        <v/>
      </c>
      <c r="AI372" s="39" t="str">
        <f ca="1">IF($A372="","",TRIM(IF(AND($U372&lt;&gt;"",$U372&lt;TODAY(),$W372&lt;&gt;"Schváleno",$W372&lt;&gt;"Odloženo",$W372&lt;&gt;"Zrušeno"),"Po termínu odevzdání. ","")&amp;IF(AND($W372="Schváleno",OR($X372="",$Y372="")),"Schváleno bez jména / data. ","")&amp;IF(OR($G372="",$H372="",$I372="",$F372=""),"Chybí zařazení (kategorie, typ, profil nebo měsíc). ","")&amp;IF(AND(OR($I372="Honza",$I372="Radek"),OR($J372="",$J372="Nevztahuje se")),"Doplnit charakter (osobní / pracovní). ","")&amp;IF(AND($W372="Schváleno",$AE372&gt;0),"Schváleno, ale má otevřené připomínky. ","")&amp;IF(AND($AA372="Publikováno",$AF372=0),"Publikováno bez záznamu v listu Publikace. ","")&amp;IF(AND($C372&lt;&gt;"",$D372=""),"Chybí číslo dílu série. ","")&amp;IF(AND($E372&lt;&gt;"",$W372&lt;&gt;"Schváleno",$W372&lt;&gt;"Odloženo",$W372&lt;&gt;"Zrušeno",IFERROR(VLOOKUP($E372,Nastavení!$A$30:$G$53,3,FALSE()),0)&gt;0,IFERROR(VLOOKUP($E372,Nastavení!$A$30:$G$53,3,FALSE()),0)&lt;TODAY()),"Neschváleno po termínu cyklu. ","")))</f>
        <v/>
      </c>
    </row>
    <row r="373" spans="1:35" x14ac:dyDescent="0.2">
      <c r="A373" s="35"/>
      <c r="B373" s="11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11"/>
      <c r="N373" s="11"/>
      <c r="O373" s="11"/>
      <c r="P373" s="11"/>
      <c r="Q373" s="11"/>
      <c r="R373" s="11"/>
      <c r="S373" s="11"/>
      <c r="T373" s="35"/>
      <c r="U373" s="36"/>
      <c r="V373" s="11"/>
      <c r="W373" s="35"/>
      <c r="X373" s="35"/>
      <c r="Y373" s="36"/>
      <c r="Z373" s="11"/>
      <c r="AA373" s="35"/>
      <c r="AB373" s="36"/>
      <c r="AC373" s="35"/>
      <c r="AD373" s="35"/>
      <c r="AE373" s="37" t="str">
        <f>IF($A373="","",COUNTIFS(Připomínky!$A$4:$A$503,$A373,Připomínky!$J$4:$J$503,"Nevyřešeno"))</f>
        <v/>
      </c>
      <c r="AF373" s="37" t="str">
        <f>IF($A373="","",COUNTIFS(Publikace!$A$4:$A$503,$A373))</f>
        <v/>
      </c>
      <c r="AG373" s="38" t="str">
        <f>IF($A373="","",IF(AF373=0,"",_xlfn.MINIFS(Publikace!$E$4:$E$503,Publikace!$A$4:$A$503,$A373)))</f>
        <v/>
      </c>
      <c r="AH373" s="37" t="str">
        <f t="shared" si="5"/>
        <v/>
      </c>
      <c r="AI373" s="39" t="str">
        <f ca="1">IF($A373="","",TRIM(IF(AND($U373&lt;&gt;"",$U373&lt;TODAY(),$W373&lt;&gt;"Schváleno",$W373&lt;&gt;"Odloženo",$W373&lt;&gt;"Zrušeno"),"Po termínu odevzdání. ","")&amp;IF(AND($W373="Schváleno",OR($X373="",$Y373="")),"Schváleno bez jména / data. ","")&amp;IF(OR($G373="",$H373="",$I373="",$F373=""),"Chybí zařazení (kategorie, typ, profil nebo měsíc). ","")&amp;IF(AND(OR($I373="Honza",$I373="Radek"),OR($J373="",$J373="Nevztahuje se")),"Doplnit charakter (osobní / pracovní). ","")&amp;IF(AND($W373="Schváleno",$AE373&gt;0),"Schváleno, ale má otevřené připomínky. ","")&amp;IF(AND($AA373="Publikováno",$AF373=0),"Publikováno bez záznamu v listu Publikace. ","")&amp;IF(AND($C373&lt;&gt;"",$D373=""),"Chybí číslo dílu série. ","")&amp;IF(AND($E373&lt;&gt;"",$W373&lt;&gt;"Schváleno",$W373&lt;&gt;"Odloženo",$W373&lt;&gt;"Zrušeno",IFERROR(VLOOKUP($E373,Nastavení!$A$30:$G$53,3,FALSE()),0)&gt;0,IFERROR(VLOOKUP($E373,Nastavení!$A$30:$G$53,3,FALSE()),0)&lt;TODAY()),"Neschváleno po termínu cyklu. ","")))</f>
        <v/>
      </c>
    </row>
    <row r="374" spans="1:35" x14ac:dyDescent="0.2">
      <c r="A374" s="35"/>
      <c r="B374" s="11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11"/>
      <c r="N374" s="11"/>
      <c r="O374" s="11"/>
      <c r="P374" s="11"/>
      <c r="Q374" s="11"/>
      <c r="R374" s="11"/>
      <c r="S374" s="11"/>
      <c r="T374" s="35"/>
      <c r="U374" s="36"/>
      <c r="V374" s="11"/>
      <c r="W374" s="35"/>
      <c r="X374" s="35"/>
      <c r="Y374" s="36"/>
      <c r="Z374" s="11"/>
      <c r="AA374" s="35"/>
      <c r="AB374" s="36"/>
      <c r="AC374" s="35"/>
      <c r="AD374" s="35"/>
      <c r="AE374" s="37" t="str">
        <f>IF($A374="","",COUNTIFS(Připomínky!$A$4:$A$503,$A374,Připomínky!$J$4:$J$503,"Nevyřešeno"))</f>
        <v/>
      </c>
      <c r="AF374" s="37" t="str">
        <f>IF($A374="","",COUNTIFS(Publikace!$A$4:$A$503,$A374))</f>
        <v/>
      </c>
      <c r="AG374" s="38" t="str">
        <f>IF($A374="","",IF(AF374=0,"",_xlfn.MINIFS(Publikace!$E$4:$E$503,Publikace!$A$4:$A$503,$A374)))</f>
        <v/>
      </c>
      <c r="AH374" s="37" t="str">
        <f t="shared" si="5"/>
        <v/>
      </c>
      <c r="AI374" s="39" t="str">
        <f ca="1">IF($A374="","",TRIM(IF(AND($U374&lt;&gt;"",$U374&lt;TODAY(),$W374&lt;&gt;"Schváleno",$W374&lt;&gt;"Odloženo",$W374&lt;&gt;"Zrušeno"),"Po termínu odevzdání. ","")&amp;IF(AND($W374="Schváleno",OR($X374="",$Y374="")),"Schváleno bez jména / data. ","")&amp;IF(OR($G374="",$H374="",$I374="",$F374=""),"Chybí zařazení (kategorie, typ, profil nebo měsíc). ","")&amp;IF(AND(OR($I374="Honza",$I374="Radek"),OR($J374="",$J374="Nevztahuje se")),"Doplnit charakter (osobní / pracovní). ","")&amp;IF(AND($W374="Schváleno",$AE374&gt;0),"Schváleno, ale má otevřené připomínky. ","")&amp;IF(AND($AA374="Publikováno",$AF374=0),"Publikováno bez záznamu v listu Publikace. ","")&amp;IF(AND($C374&lt;&gt;"",$D374=""),"Chybí číslo dílu série. ","")&amp;IF(AND($E374&lt;&gt;"",$W374&lt;&gt;"Schváleno",$W374&lt;&gt;"Odloženo",$W374&lt;&gt;"Zrušeno",IFERROR(VLOOKUP($E374,Nastavení!$A$30:$G$53,3,FALSE()),0)&gt;0,IFERROR(VLOOKUP($E374,Nastavení!$A$30:$G$53,3,FALSE()),0)&lt;TODAY()),"Neschváleno po termínu cyklu. ","")))</f>
        <v/>
      </c>
    </row>
    <row r="375" spans="1:35" x14ac:dyDescent="0.2">
      <c r="A375" s="35"/>
      <c r="B375" s="11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11"/>
      <c r="N375" s="11"/>
      <c r="O375" s="11"/>
      <c r="P375" s="11"/>
      <c r="Q375" s="11"/>
      <c r="R375" s="11"/>
      <c r="S375" s="11"/>
      <c r="T375" s="35"/>
      <c r="U375" s="36"/>
      <c r="V375" s="11"/>
      <c r="W375" s="35"/>
      <c r="X375" s="35"/>
      <c r="Y375" s="36"/>
      <c r="Z375" s="11"/>
      <c r="AA375" s="35"/>
      <c r="AB375" s="36"/>
      <c r="AC375" s="35"/>
      <c r="AD375" s="35"/>
      <c r="AE375" s="37" t="str">
        <f>IF($A375="","",COUNTIFS(Připomínky!$A$4:$A$503,$A375,Připomínky!$J$4:$J$503,"Nevyřešeno"))</f>
        <v/>
      </c>
      <c r="AF375" s="37" t="str">
        <f>IF($A375="","",COUNTIFS(Publikace!$A$4:$A$503,$A375))</f>
        <v/>
      </c>
      <c r="AG375" s="38" t="str">
        <f>IF($A375="","",IF(AF375=0,"",_xlfn.MINIFS(Publikace!$E$4:$E$503,Publikace!$A$4:$A$503,$A375)))</f>
        <v/>
      </c>
      <c r="AH375" s="37" t="str">
        <f t="shared" si="5"/>
        <v/>
      </c>
      <c r="AI375" s="39" t="str">
        <f ca="1">IF($A375="","",TRIM(IF(AND($U375&lt;&gt;"",$U375&lt;TODAY(),$W375&lt;&gt;"Schváleno",$W375&lt;&gt;"Odloženo",$W375&lt;&gt;"Zrušeno"),"Po termínu odevzdání. ","")&amp;IF(AND($W375="Schváleno",OR($X375="",$Y375="")),"Schváleno bez jména / data. ","")&amp;IF(OR($G375="",$H375="",$I375="",$F375=""),"Chybí zařazení (kategorie, typ, profil nebo měsíc). ","")&amp;IF(AND(OR($I375="Honza",$I375="Radek"),OR($J375="",$J375="Nevztahuje se")),"Doplnit charakter (osobní / pracovní). ","")&amp;IF(AND($W375="Schváleno",$AE375&gt;0),"Schváleno, ale má otevřené připomínky. ","")&amp;IF(AND($AA375="Publikováno",$AF375=0),"Publikováno bez záznamu v listu Publikace. ","")&amp;IF(AND($C375&lt;&gt;"",$D375=""),"Chybí číslo dílu série. ","")&amp;IF(AND($E375&lt;&gt;"",$W375&lt;&gt;"Schváleno",$W375&lt;&gt;"Odloženo",$W375&lt;&gt;"Zrušeno",IFERROR(VLOOKUP($E375,Nastavení!$A$30:$G$53,3,FALSE()),0)&gt;0,IFERROR(VLOOKUP($E375,Nastavení!$A$30:$G$53,3,FALSE()),0)&lt;TODAY()),"Neschváleno po termínu cyklu. ","")))</f>
        <v/>
      </c>
    </row>
    <row r="376" spans="1:35" x14ac:dyDescent="0.2">
      <c r="A376" s="35"/>
      <c r="B376" s="11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11"/>
      <c r="N376" s="11"/>
      <c r="O376" s="11"/>
      <c r="P376" s="11"/>
      <c r="Q376" s="11"/>
      <c r="R376" s="11"/>
      <c r="S376" s="11"/>
      <c r="T376" s="35"/>
      <c r="U376" s="36"/>
      <c r="V376" s="11"/>
      <c r="W376" s="35"/>
      <c r="X376" s="35"/>
      <c r="Y376" s="36"/>
      <c r="Z376" s="11"/>
      <c r="AA376" s="35"/>
      <c r="AB376" s="36"/>
      <c r="AC376" s="35"/>
      <c r="AD376" s="35"/>
      <c r="AE376" s="37" t="str">
        <f>IF($A376="","",COUNTIFS(Připomínky!$A$4:$A$503,$A376,Připomínky!$J$4:$J$503,"Nevyřešeno"))</f>
        <v/>
      </c>
      <c r="AF376" s="37" t="str">
        <f>IF($A376="","",COUNTIFS(Publikace!$A$4:$A$503,$A376))</f>
        <v/>
      </c>
      <c r="AG376" s="38" t="str">
        <f>IF($A376="","",IF(AF376=0,"",_xlfn.MINIFS(Publikace!$E$4:$E$503,Publikace!$A$4:$A$503,$A376)))</f>
        <v/>
      </c>
      <c r="AH376" s="37" t="str">
        <f t="shared" si="5"/>
        <v/>
      </c>
      <c r="AI376" s="39" t="str">
        <f ca="1">IF($A376="","",TRIM(IF(AND($U376&lt;&gt;"",$U376&lt;TODAY(),$W376&lt;&gt;"Schváleno",$W376&lt;&gt;"Odloženo",$W376&lt;&gt;"Zrušeno"),"Po termínu odevzdání. ","")&amp;IF(AND($W376="Schváleno",OR($X376="",$Y376="")),"Schváleno bez jména / data. ","")&amp;IF(OR($G376="",$H376="",$I376="",$F376=""),"Chybí zařazení (kategorie, typ, profil nebo měsíc). ","")&amp;IF(AND(OR($I376="Honza",$I376="Radek"),OR($J376="",$J376="Nevztahuje se")),"Doplnit charakter (osobní / pracovní). ","")&amp;IF(AND($W376="Schváleno",$AE376&gt;0),"Schváleno, ale má otevřené připomínky. ","")&amp;IF(AND($AA376="Publikováno",$AF376=0),"Publikováno bez záznamu v listu Publikace. ","")&amp;IF(AND($C376&lt;&gt;"",$D376=""),"Chybí číslo dílu série. ","")&amp;IF(AND($E376&lt;&gt;"",$W376&lt;&gt;"Schváleno",$W376&lt;&gt;"Odloženo",$W376&lt;&gt;"Zrušeno",IFERROR(VLOOKUP($E376,Nastavení!$A$30:$G$53,3,FALSE()),0)&gt;0,IFERROR(VLOOKUP($E376,Nastavení!$A$30:$G$53,3,FALSE()),0)&lt;TODAY()),"Neschváleno po termínu cyklu. ","")))</f>
        <v/>
      </c>
    </row>
    <row r="377" spans="1:35" x14ac:dyDescent="0.2">
      <c r="A377" s="35"/>
      <c r="B377" s="11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11"/>
      <c r="N377" s="11"/>
      <c r="O377" s="11"/>
      <c r="P377" s="11"/>
      <c r="Q377" s="11"/>
      <c r="R377" s="11"/>
      <c r="S377" s="11"/>
      <c r="T377" s="35"/>
      <c r="U377" s="36"/>
      <c r="V377" s="11"/>
      <c r="W377" s="35"/>
      <c r="X377" s="35"/>
      <c r="Y377" s="36"/>
      <c r="Z377" s="11"/>
      <c r="AA377" s="35"/>
      <c r="AB377" s="36"/>
      <c r="AC377" s="35"/>
      <c r="AD377" s="35"/>
      <c r="AE377" s="37" t="str">
        <f>IF($A377="","",COUNTIFS(Připomínky!$A$4:$A$503,$A377,Připomínky!$J$4:$J$503,"Nevyřešeno"))</f>
        <v/>
      </c>
      <c r="AF377" s="37" t="str">
        <f>IF($A377="","",COUNTIFS(Publikace!$A$4:$A$503,$A377))</f>
        <v/>
      </c>
      <c r="AG377" s="38" t="str">
        <f>IF($A377="","",IF(AF377=0,"",_xlfn.MINIFS(Publikace!$E$4:$E$503,Publikace!$A$4:$A$503,$A377)))</f>
        <v/>
      </c>
      <c r="AH377" s="37" t="str">
        <f t="shared" si="5"/>
        <v/>
      </c>
      <c r="AI377" s="39" t="str">
        <f ca="1">IF($A377="","",TRIM(IF(AND($U377&lt;&gt;"",$U377&lt;TODAY(),$W377&lt;&gt;"Schváleno",$W377&lt;&gt;"Odloženo",$W377&lt;&gt;"Zrušeno"),"Po termínu odevzdání. ","")&amp;IF(AND($W377="Schváleno",OR($X377="",$Y377="")),"Schváleno bez jména / data. ","")&amp;IF(OR($G377="",$H377="",$I377="",$F377=""),"Chybí zařazení (kategorie, typ, profil nebo měsíc). ","")&amp;IF(AND(OR($I377="Honza",$I377="Radek"),OR($J377="",$J377="Nevztahuje se")),"Doplnit charakter (osobní / pracovní). ","")&amp;IF(AND($W377="Schváleno",$AE377&gt;0),"Schváleno, ale má otevřené připomínky. ","")&amp;IF(AND($AA377="Publikováno",$AF377=0),"Publikováno bez záznamu v listu Publikace. ","")&amp;IF(AND($C377&lt;&gt;"",$D377=""),"Chybí číslo dílu série. ","")&amp;IF(AND($E377&lt;&gt;"",$W377&lt;&gt;"Schváleno",$W377&lt;&gt;"Odloženo",$W377&lt;&gt;"Zrušeno",IFERROR(VLOOKUP($E377,Nastavení!$A$30:$G$53,3,FALSE()),0)&gt;0,IFERROR(VLOOKUP($E377,Nastavení!$A$30:$G$53,3,FALSE()),0)&lt;TODAY()),"Neschváleno po termínu cyklu. ","")))</f>
        <v/>
      </c>
    </row>
    <row r="378" spans="1:35" x14ac:dyDescent="0.2">
      <c r="A378" s="35"/>
      <c r="B378" s="11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11"/>
      <c r="N378" s="11"/>
      <c r="O378" s="11"/>
      <c r="P378" s="11"/>
      <c r="Q378" s="11"/>
      <c r="R378" s="11"/>
      <c r="S378" s="11"/>
      <c r="T378" s="35"/>
      <c r="U378" s="36"/>
      <c r="V378" s="11"/>
      <c r="W378" s="35"/>
      <c r="X378" s="35"/>
      <c r="Y378" s="36"/>
      <c r="Z378" s="11"/>
      <c r="AA378" s="35"/>
      <c r="AB378" s="36"/>
      <c r="AC378" s="35"/>
      <c r="AD378" s="35"/>
      <c r="AE378" s="37" t="str">
        <f>IF($A378="","",COUNTIFS(Připomínky!$A$4:$A$503,$A378,Připomínky!$J$4:$J$503,"Nevyřešeno"))</f>
        <v/>
      </c>
      <c r="AF378" s="37" t="str">
        <f>IF($A378="","",COUNTIFS(Publikace!$A$4:$A$503,$A378))</f>
        <v/>
      </c>
      <c r="AG378" s="38" t="str">
        <f>IF($A378="","",IF(AF378=0,"",_xlfn.MINIFS(Publikace!$E$4:$E$503,Publikace!$A$4:$A$503,$A378)))</f>
        <v/>
      </c>
      <c r="AH378" s="37" t="str">
        <f t="shared" si="5"/>
        <v/>
      </c>
      <c r="AI378" s="39" t="str">
        <f ca="1">IF($A378="","",TRIM(IF(AND($U378&lt;&gt;"",$U378&lt;TODAY(),$W378&lt;&gt;"Schváleno",$W378&lt;&gt;"Odloženo",$W378&lt;&gt;"Zrušeno"),"Po termínu odevzdání. ","")&amp;IF(AND($W378="Schváleno",OR($X378="",$Y378="")),"Schváleno bez jména / data. ","")&amp;IF(OR($G378="",$H378="",$I378="",$F378=""),"Chybí zařazení (kategorie, typ, profil nebo měsíc). ","")&amp;IF(AND(OR($I378="Honza",$I378="Radek"),OR($J378="",$J378="Nevztahuje se")),"Doplnit charakter (osobní / pracovní). ","")&amp;IF(AND($W378="Schváleno",$AE378&gt;0),"Schváleno, ale má otevřené připomínky. ","")&amp;IF(AND($AA378="Publikováno",$AF378=0),"Publikováno bez záznamu v listu Publikace. ","")&amp;IF(AND($C378&lt;&gt;"",$D378=""),"Chybí číslo dílu série. ","")&amp;IF(AND($E378&lt;&gt;"",$W378&lt;&gt;"Schváleno",$W378&lt;&gt;"Odloženo",$W378&lt;&gt;"Zrušeno",IFERROR(VLOOKUP($E378,Nastavení!$A$30:$G$53,3,FALSE()),0)&gt;0,IFERROR(VLOOKUP($E378,Nastavení!$A$30:$G$53,3,FALSE()),0)&lt;TODAY()),"Neschváleno po termínu cyklu. ","")))</f>
        <v/>
      </c>
    </row>
    <row r="379" spans="1:35" x14ac:dyDescent="0.2">
      <c r="A379" s="35"/>
      <c r="B379" s="11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11"/>
      <c r="N379" s="11"/>
      <c r="O379" s="11"/>
      <c r="P379" s="11"/>
      <c r="Q379" s="11"/>
      <c r="R379" s="11"/>
      <c r="S379" s="11"/>
      <c r="T379" s="35"/>
      <c r="U379" s="36"/>
      <c r="V379" s="11"/>
      <c r="W379" s="35"/>
      <c r="X379" s="35"/>
      <c r="Y379" s="36"/>
      <c r="Z379" s="11"/>
      <c r="AA379" s="35"/>
      <c r="AB379" s="36"/>
      <c r="AC379" s="35"/>
      <c r="AD379" s="35"/>
      <c r="AE379" s="37" t="str">
        <f>IF($A379="","",COUNTIFS(Připomínky!$A$4:$A$503,$A379,Připomínky!$J$4:$J$503,"Nevyřešeno"))</f>
        <v/>
      </c>
      <c r="AF379" s="37" t="str">
        <f>IF($A379="","",COUNTIFS(Publikace!$A$4:$A$503,$A379))</f>
        <v/>
      </c>
      <c r="AG379" s="38" t="str">
        <f>IF($A379="","",IF(AF379=0,"",_xlfn.MINIFS(Publikace!$E$4:$E$503,Publikace!$A$4:$A$503,$A379)))</f>
        <v/>
      </c>
      <c r="AH379" s="37" t="str">
        <f t="shared" si="5"/>
        <v/>
      </c>
      <c r="AI379" s="39" t="str">
        <f ca="1">IF($A379="","",TRIM(IF(AND($U379&lt;&gt;"",$U379&lt;TODAY(),$W379&lt;&gt;"Schváleno",$W379&lt;&gt;"Odloženo",$W379&lt;&gt;"Zrušeno"),"Po termínu odevzdání. ","")&amp;IF(AND($W379="Schváleno",OR($X379="",$Y379="")),"Schváleno bez jména / data. ","")&amp;IF(OR($G379="",$H379="",$I379="",$F379=""),"Chybí zařazení (kategorie, typ, profil nebo měsíc). ","")&amp;IF(AND(OR($I379="Honza",$I379="Radek"),OR($J379="",$J379="Nevztahuje se")),"Doplnit charakter (osobní / pracovní). ","")&amp;IF(AND($W379="Schváleno",$AE379&gt;0),"Schváleno, ale má otevřené připomínky. ","")&amp;IF(AND($AA379="Publikováno",$AF379=0),"Publikováno bez záznamu v listu Publikace. ","")&amp;IF(AND($C379&lt;&gt;"",$D379=""),"Chybí číslo dílu série. ","")&amp;IF(AND($E379&lt;&gt;"",$W379&lt;&gt;"Schváleno",$W379&lt;&gt;"Odloženo",$W379&lt;&gt;"Zrušeno",IFERROR(VLOOKUP($E379,Nastavení!$A$30:$G$53,3,FALSE()),0)&gt;0,IFERROR(VLOOKUP($E379,Nastavení!$A$30:$G$53,3,FALSE()),0)&lt;TODAY()),"Neschváleno po termínu cyklu. ","")))</f>
        <v/>
      </c>
    </row>
    <row r="380" spans="1:35" x14ac:dyDescent="0.2">
      <c r="A380" s="35"/>
      <c r="B380" s="11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11"/>
      <c r="N380" s="11"/>
      <c r="O380" s="11"/>
      <c r="P380" s="11"/>
      <c r="Q380" s="11"/>
      <c r="R380" s="11"/>
      <c r="S380" s="11"/>
      <c r="T380" s="35"/>
      <c r="U380" s="36"/>
      <c r="V380" s="11"/>
      <c r="W380" s="35"/>
      <c r="X380" s="35"/>
      <c r="Y380" s="36"/>
      <c r="Z380" s="11"/>
      <c r="AA380" s="35"/>
      <c r="AB380" s="36"/>
      <c r="AC380" s="35"/>
      <c r="AD380" s="35"/>
      <c r="AE380" s="37" t="str">
        <f>IF($A380="","",COUNTIFS(Připomínky!$A$4:$A$503,$A380,Připomínky!$J$4:$J$503,"Nevyřešeno"))</f>
        <v/>
      </c>
      <c r="AF380" s="37" t="str">
        <f>IF($A380="","",COUNTIFS(Publikace!$A$4:$A$503,$A380))</f>
        <v/>
      </c>
      <c r="AG380" s="38" t="str">
        <f>IF($A380="","",IF(AF380=0,"",_xlfn.MINIFS(Publikace!$E$4:$E$503,Publikace!$A$4:$A$503,$A380)))</f>
        <v/>
      </c>
      <c r="AH380" s="37" t="str">
        <f t="shared" si="5"/>
        <v/>
      </c>
      <c r="AI380" s="39" t="str">
        <f ca="1">IF($A380="","",TRIM(IF(AND($U380&lt;&gt;"",$U380&lt;TODAY(),$W380&lt;&gt;"Schváleno",$W380&lt;&gt;"Odloženo",$W380&lt;&gt;"Zrušeno"),"Po termínu odevzdání. ","")&amp;IF(AND($W380="Schváleno",OR($X380="",$Y380="")),"Schváleno bez jména / data. ","")&amp;IF(OR($G380="",$H380="",$I380="",$F380=""),"Chybí zařazení (kategorie, typ, profil nebo měsíc). ","")&amp;IF(AND(OR($I380="Honza",$I380="Radek"),OR($J380="",$J380="Nevztahuje se")),"Doplnit charakter (osobní / pracovní). ","")&amp;IF(AND($W380="Schváleno",$AE380&gt;0),"Schváleno, ale má otevřené připomínky. ","")&amp;IF(AND($AA380="Publikováno",$AF380=0),"Publikováno bez záznamu v listu Publikace. ","")&amp;IF(AND($C380&lt;&gt;"",$D380=""),"Chybí číslo dílu série. ","")&amp;IF(AND($E380&lt;&gt;"",$W380&lt;&gt;"Schváleno",$W380&lt;&gt;"Odloženo",$W380&lt;&gt;"Zrušeno",IFERROR(VLOOKUP($E380,Nastavení!$A$30:$G$53,3,FALSE()),0)&gt;0,IFERROR(VLOOKUP($E380,Nastavení!$A$30:$G$53,3,FALSE()),0)&lt;TODAY()),"Neschváleno po termínu cyklu. ","")))</f>
        <v/>
      </c>
    </row>
    <row r="381" spans="1:35" x14ac:dyDescent="0.2">
      <c r="A381" s="35"/>
      <c r="B381" s="11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11"/>
      <c r="N381" s="11"/>
      <c r="O381" s="11"/>
      <c r="P381" s="11"/>
      <c r="Q381" s="11"/>
      <c r="R381" s="11"/>
      <c r="S381" s="11"/>
      <c r="T381" s="35"/>
      <c r="U381" s="36"/>
      <c r="V381" s="11"/>
      <c r="W381" s="35"/>
      <c r="X381" s="35"/>
      <c r="Y381" s="36"/>
      <c r="Z381" s="11"/>
      <c r="AA381" s="35"/>
      <c r="AB381" s="36"/>
      <c r="AC381" s="35"/>
      <c r="AD381" s="35"/>
      <c r="AE381" s="37" t="str">
        <f>IF($A381="","",COUNTIFS(Připomínky!$A$4:$A$503,$A381,Připomínky!$J$4:$J$503,"Nevyřešeno"))</f>
        <v/>
      </c>
      <c r="AF381" s="37" t="str">
        <f>IF($A381="","",COUNTIFS(Publikace!$A$4:$A$503,$A381))</f>
        <v/>
      </c>
      <c r="AG381" s="38" t="str">
        <f>IF($A381="","",IF(AF381=0,"",_xlfn.MINIFS(Publikace!$E$4:$E$503,Publikace!$A$4:$A$503,$A381)))</f>
        <v/>
      </c>
      <c r="AH381" s="37" t="str">
        <f t="shared" si="5"/>
        <v/>
      </c>
      <c r="AI381" s="39" t="str">
        <f ca="1">IF($A381="","",TRIM(IF(AND($U381&lt;&gt;"",$U381&lt;TODAY(),$W381&lt;&gt;"Schváleno",$W381&lt;&gt;"Odloženo",$W381&lt;&gt;"Zrušeno"),"Po termínu odevzdání. ","")&amp;IF(AND($W381="Schváleno",OR($X381="",$Y381="")),"Schváleno bez jména / data. ","")&amp;IF(OR($G381="",$H381="",$I381="",$F381=""),"Chybí zařazení (kategorie, typ, profil nebo měsíc). ","")&amp;IF(AND(OR($I381="Honza",$I381="Radek"),OR($J381="",$J381="Nevztahuje se")),"Doplnit charakter (osobní / pracovní). ","")&amp;IF(AND($W381="Schváleno",$AE381&gt;0),"Schváleno, ale má otevřené připomínky. ","")&amp;IF(AND($AA381="Publikováno",$AF381=0),"Publikováno bez záznamu v listu Publikace. ","")&amp;IF(AND($C381&lt;&gt;"",$D381=""),"Chybí číslo dílu série. ","")&amp;IF(AND($E381&lt;&gt;"",$W381&lt;&gt;"Schváleno",$W381&lt;&gt;"Odloženo",$W381&lt;&gt;"Zrušeno",IFERROR(VLOOKUP($E381,Nastavení!$A$30:$G$53,3,FALSE()),0)&gt;0,IFERROR(VLOOKUP($E381,Nastavení!$A$30:$G$53,3,FALSE()),0)&lt;TODAY()),"Neschváleno po termínu cyklu. ","")))</f>
        <v/>
      </c>
    </row>
    <row r="382" spans="1:35" x14ac:dyDescent="0.2">
      <c r="A382" s="35"/>
      <c r="B382" s="11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11"/>
      <c r="N382" s="11"/>
      <c r="O382" s="11"/>
      <c r="P382" s="11"/>
      <c r="Q382" s="11"/>
      <c r="R382" s="11"/>
      <c r="S382" s="11"/>
      <c r="T382" s="35"/>
      <c r="U382" s="36"/>
      <c r="V382" s="11"/>
      <c r="W382" s="35"/>
      <c r="X382" s="35"/>
      <c r="Y382" s="36"/>
      <c r="Z382" s="11"/>
      <c r="AA382" s="35"/>
      <c r="AB382" s="36"/>
      <c r="AC382" s="35"/>
      <c r="AD382" s="35"/>
      <c r="AE382" s="37" t="str">
        <f>IF($A382="","",COUNTIFS(Připomínky!$A$4:$A$503,$A382,Připomínky!$J$4:$J$503,"Nevyřešeno"))</f>
        <v/>
      </c>
      <c r="AF382" s="37" t="str">
        <f>IF($A382="","",COUNTIFS(Publikace!$A$4:$A$503,$A382))</f>
        <v/>
      </c>
      <c r="AG382" s="38" t="str">
        <f>IF($A382="","",IF(AF382=0,"",_xlfn.MINIFS(Publikace!$E$4:$E$503,Publikace!$A$4:$A$503,$A382)))</f>
        <v/>
      </c>
      <c r="AH382" s="37" t="str">
        <f t="shared" si="5"/>
        <v/>
      </c>
      <c r="AI382" s="39" t="str">
        <f ca="1">IF($A382="","",TRIM(IF(AND($U382&lt;&gt;"",$U382&lt;TODAY(),$W382&lt;&gt;"Schváleno",$W382&lt;&gt;"Odloženo",$W382&lt;&gt;"Zrušeno"),"Po termínu odevzdání. ","")&amp;IF(AND($W382="Schváleno",OR($X382="",$Y382="")),"Schváleno bez jména / data. ","")&amp;IF(OR($G382="",$H382="",$I382="",$F382=""),"Chybí zařazení (kategorie, typ, profil nebo měsíc). ","")&amp;IF(AND(OR($I382="Honza",$I382="Radek"),OR($J382="",$J382="Nevztahuje se")),"Doplnit charakter (osobní / pracovní). ","")&amp;IF(AND($W382="Schváleno",$AE382&gt;0),"Schváleno, ale má otevřené připomínky. ","")&amp;IF(AND($AA382="Publikováno",$AF382=0),"Publikováno bez záznamu v listu Publikace. ","")&amp;IF(AND($C382&lt;&gt;"",$D382=""),"Chybí číslo dílu série. ","")&amp;IF(AND($E382&lt;&gt;"",$W382&lt;&gt;"Schváleno",$W382&lt;&gt;"Odloženo",$W382&lt;&gt;"Zrušeno",IFERROR(VLOOKUP($E382,Nastavení!$A$30:$G$53,3,FALSE()),0)&gt;0,IFERROR(VLOOKUP($E382,Nastavení!$A$30:$G$53,3,FALSE()),0)&lt;TODAY()),"Neschváleno po termínu cyklu. ","")))</f>
        <v/>
      </c>
    </row>
    <row r="383" spans="1:35" x14ac:dyDescent="0.2">
      <c r="A383" s="35"/>
      <c r="B383" s="11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11"/>
      <c r="N383" s="11"/>
      <c r="O383" s="11"/>
      <c r="P383" s="11"/>
      <c r="Q383" s="11"/>
      <c r="R383" s="11"/>
      <c r="S383" s="11"/>
      <c r="T383" s="35"/>
      <c r="U383" s="36"/>
      <c r="V383" s="11"/>
      <c r="W383" s="35"/>
      <c r="X383" s="35"/>
      <c r="Y383" s="36"/>
      <c r="Z383" s="11"/>
      <c r="AA383" s="35"/>
      <c r="AB383" s="36"/>
      <c r="AC383" s="35"/>
      <c r="AD383" s="35"/>
      <c r="AE383" s="37" t="str">
        <f>IF($A383="","",COUNTIFS(Připomínky!$A$4:$A$503,$A383,Připomínky!$J$4:$J$503,"Nevyřešeno"))</f>
        <v/>
      </c>
      <c r="AF383" s="37" t="str">
        <f>IF($A383="","",COUNTIFS(Publikace!$A$4:$A$503,$A383))</f>
        <v/>
      </c>
      <c r="AG383" s="38" t="str">
        <f>IF($A383="","",IF(AF383=0,"",_xlfn.MINIFS(Publikace!$E$4:$E$503,Publikace!$A$4:$A$503,$A383)))</f>
        <v/>
      </c>
      <c r="AH383" s="37" t="str">
        <f t="shared" si="5"/>
        <v/>
      </c>
      <c r="AI383" s="39" t="str">
        <f ca="1">IF($A383="","",TRIM(IF(AND($U383&lt;&gt;"",$U383&lt;TODAY(),$W383&lt;&gt;"Schváleno",$W383&lt;&gt;"Odloženo",$W383&lt;&gt;"Zrušeno"),"Po termínu odevzdání. ","")&amp;IF(AND($W383="Schváleno",OR($X383="",$Y383="")),"Schváleno bez jména / data. ","")&amp;IF(OR($G383="",$H383="",$I383="",$F383=""),"Chybí zařazení (kategorie, typ, profil nebo měsíc). ","")&amp;IF(AND(OR($I383="Honza",$I383="Radek"),OR($J383="",$J383="Nevztahuje se")),"Doplnit charakter (osobní / pracovní). ","")&amp;IF(AND($W383="Schváleno",$AE383&gt;0),"Schváleno, ale má otevřené připomínky. ","")&amp;IF(AND($AA383="Publikováno",$AF383=0),"Publikováno bez záznamu v listu Publikace. ","")&amp;IF(AND($C383&lt;&gt;"",$D383=""),"Chybí číslo dílu série. ","")&amp;IF(AND($E383&lt;&gt;"",$W383&lt;&gt;"Schváleno",$W383&lt;&gt;"Odloženo",$W383&lt;&gt;"Zrušeno",IFERROR(VLOOKUP($E383,Nastavení!$A$30:$G$53,3,FALSE()),0)&gt;0,IFERROR(VLOOKUP($E383,Nastavení!$A$30:$G$53,3,FALSE()),0)&lt;TODAY()),"Neschváleno po termínu cyklu. ","")))</f>
        <v/>
      </c>
    </row>
    <row r="384" spans="1:35" x14ac:dyDescent="0.2">
      <c r="A384" s="35"/>
      <c r="B384" s="11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11"/>
      <c r="N384" s="11"/>
      <c r="O384" s="11"/>
      <c r="P384" s="11"/>
      <c r="Q384" s="11"/>
      <c r="R384" s="11"/>
      <c r="S384" s="11"/>
      <c r="T384" s="35"/>
      <c r="U384" s="36"/>
      <c r="V384" s="11"/>
      <c r="W384" s="35"/>
      <c r="X384" s="35"/>
      <c r="Y384" s="36"/>
      <c r="Z384" s="11"/>
      <c r="AA384" s="35"/>
      <c r="AB384" s="36"/>
      <c r="AC384" s="35"/>
      <c r="AD384" s="35"/>
      <c r="AE384" s="37" t="str">
        <f>IF($A384="","",COUNTIFS(Připomínky!$A$4:$A$503,$A384,Připomínky!$J$4:$J$503,"Nevyřešeno"))</f>
        <v/>
      </c>
      <c r="AF384" s="37" t="str">
        <f>IF($A384="","",COUNTIFS(Publikace!$A$4:$A$503,$A384))</f>
        <v/>
      </c>
      <c r="AG384" s="38" t="str">
        <f>IF($A384="","",IF(AF384=0,"",_xlfn.MINIFS(Publikace!$E$4:$E$503,Publikace!$A$4:$A$503,$A384)))</f>
        <v/>
      </c>
      <c r="AH384" s="37" t="str">
        <f t="shared" si="5"/>
        <v/>
      </c>
      <c r="AI384" s="39" t="str">
        <f ca="1">IF($A384="","",TRIM(IF(AND($U384&lt;&gt;"",$U384&lt;TODAY(),$W384&lt;&gt;"Schváleno",$W384&lt;&gt;"Odloženo",$W384&lt;&gt;"Zrušeno"),"Po termínu odevzdání. ","")&amp;IF(AND($W384="Schváleno",OR($X384="",$Y384="")),"Schváleno bez jména / data. ","")&amp;IF(OR($G384="",$H384="",$I384="",$F384=""),"Chybí zařazení (kategorie, typ, profil nebo měsíc). ","")&amp;IF(AND(OR($I384="Honza",$I384="Radek"),OR($J384="",$J384="Nevztahuje se")),"Doplnit charakter (osobní / pracovní). ","")&amp;IF(AND($W384="Schváleno",$AE384&gt;0),"Schváleno, ale má otevřené připomínky. ","")&amp;IF(AND($AA384="Publikováno",$AF384=0),"Publikováno bez záznamu v listu Publikace. ","")&amp;IF(AND($C384&lt;&gt;"",$D384=""),"Chybí číslo dílu série. ","")&amp;IF(AND($E384&lt;&gt;"",$W384&lt;&gt;"Schváleno",$W384&lt;&gt;"Odloženo",$W384&lt;&gt;"Zrušeno",IFERROR(VLOOKUP($E384,Nastavení!$A$30:$G$53,3,FALSE()),0)&gt;0,IFERROR(VLOOKUP($E384,Nastavení!$A$30:$G$53,3,FALSE()),0)&lt;TODAY()),"Neschváleno po termínu cyklu. ","")))</f>
        <v/>
      </c>
    </row>
    <row r="385" spans="1:35" x14ac:dyDescent="0.2">
      <c r="A385" s="35"/>
      <c r="B385" s="11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11"/>
      <c r="N385" s="11"/>
      <c r="O385" s="11"/>
      <c r="P385" s="11"/>
      <c r="Q385" s="11"/>
      <c r="R385" s="11"/>
      <c r="S385" s="11"/>
      <c r="T385" s="35"/>
      <c r="U385" s="36"/>
      <c r="V385" s="11"/>
      <c r="W385" s="35"/>
      <c r="X385" s="35"/>
      <c r="Y385" s="36"/>
      <c r="Z385" s="11"/>
      <c r="AA385" s="35"/>
      <c r="AB385" s="36"/>
      <c r="AC385" s="35"/>
      <c r="AD385" s="35"/>
      <c r="AE385" s="37" t="str">
        <f>IF($A385="","",COUNTIFS(Připomínky!$A$4:$A$503,$A385,Připomínky!$J$4:$J$503,"Nevyřešeno"))</f>
        <v/>
      </c>
      <c r="AF385" s="37" t="str">
        <f>IF($A385="","",COUNTIFS(Publikace!$A$4:$A$503,$A385))</f>
        <v/>
      </c>
      <c r="AG385" s="38" t="str">
        <f>IF($A385="","",IF(AF385=0,"",_xlfn.MINIFS(Publikace!$E$4:$E$503,Publikace!$A$4:$A$503,$A385)))</f>
        <v/>
      </c>
      <c r="AH385" s="37" t="str">
        <f t="shared" si="5"/>
        <v/>
      </c>
      <c r="AI385" s="39" t="str">
        <f ca="1">IF($A385="","",TRIM(IF(AND($U385&lt;&gt;"",$U385&lt;TODAY(),$W385&lt;&gt;"Schváleno",$W385&lt;&gt;"Odloženo",$W385&lt;&gt;"Zrušeno"),"Po termínu odevzdání. ","")&amp;IF(AND($W385="Schváleno",OR($X385="",$Y385="")),"Schváleno bez jména / data. ","")&amp;IF(OR($G385="",$H385="",$I385="",$F385=""),"Chybí zařazení (kategorie, typ, profil nebo měsíc). ","")&amp;IF(AND(OR($I385="Honza",$I385="Radek"),OR($J385="",$J385="Nevztahuje se")),"Doplnit charakter (osobní / pracovní). ","")&amp;IF(AND($W385="Schváleno",$AE385&gt;0),"Schváleno, ale má otevřené připomínky. ","")&amp;IF(AND($AA385="Publikováno",$AF385=0),"Publikováno bez záznamu v listu Publikace. ","")&amp;IF(AND($C385&lt;&gt;"",$D385=""),"Chybí číslo dílu série. ","")&amp;IF(AND($E385&lt;&gt;"",$W385&lt;&gt;"Schváleno",$W385&lt;&gt;"Odloženo",$W385&lt;&gt;"Zrušeno",IFERROR(VLOOKUP($E385,Nastavení!$A$30:$G$53,3,FALSE()),0)&gt;0,IFERROR(VLOOKUP($E385,Nastavení!$A$30:$G$53,3,FALSE()),0)&lt;TODAY()),"Neschváleno po termínu cyklu. ","")))</f>
        <v/>
      </c>
    </row>
    <row r="386" spans="1:35" x14ac:dyDescent="0.2">
      <c r="A386" s="35"/>
      <c r="B386" s="11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11"/>
      <c r="N386" s="11"/>
      <c r="O386" s="11"/>
      <c r="P386" s="11"/>
      <c r="Q386" s="11"/>
      <c r="R386" s="11"/>
      <c r="S386" s="11"/>
      <c r="T386" s="35"/>
      <c r="U386" s="36"/>
      <c r="V386" s="11"/>
      <c r="W386" s="35"/>
      <c r="X386" s="35"/>
      <c r="Y386" s="36"/>
      <c r="Z386" s="11"/>
      <c r="AA386" s="35"/>
      <c r="AB386" s="36"/>
      <c r="AC386" s="35"/>
      <c r="AD386" s="35"/>
      <c r="AE386" s="37" t="str">
        <f>IF($A386="","",COUNTIFS(Připomínky!$A$4:$A$503,$A386,Připomínky!$J$4:$J$503,"Nevyřešeno"))</f>
        <v/>
      </c>
      <c r="AF386" s="37" t="str">
        <f>IF($A386="","",COUNTIFS(Publikace!$A$4:$A$503,$A386))</f>
        <v/>
      </c>
      <c r="AG386" s="38" t="str">
        <f>IF($A386="","",IF(AF386=0,"",_xlfn.MINIFS(Publikace!$E$4:$E$503,Publikace!$A$4:$A$503,$A386)))</f>
        <v/>
      </c>
      <c r="AH386" s="37" t="str">
        <f t="shared" si="5"/>
        <v/>
      </c>
      <c r="AI386" s="39" t="str">
        <f ca="1">IF($A386="","",TRIM(IF(AND($U386&lt;&gt;"",$U386&lt;TODAY(),$W386&lt;&gt;"Schváleno",$W386&lt;&gt;"Odloženo",$W386&lt;&gt;"Zrušeno"),"Po termínu odevzdání. ","")&amp;IF(AND($W386="Schváleno",OR($X386="",$Y386="")),"Schváleno bez jména / data. ","")&amp;IF(OR($G386="",$H386="",$I386="",$F386=""),"Chybí zařazení (kategorie, typ, profil nebo měsíc). ","")&amp;IF(AND(OR($I386="Honza",$I386="Radek"),OR($J386="",$J386="Nevztahuje se")),"Doplnit charakter (osobní / pracovní). ","")&amp;IF(AND($W386="Schváleno",$AE386&gt;0),"Schváleno, ale má otevřené připomínky. ","")&amp;IF(AND($AA386="Publikováno",$AF386=0),"Publikováno bez záznamu v listu Publikace. ","")&amp;IF(AND($C386&lt;&gt;"",$D386=""),"Chybí číslo dílu série. ","")&amp;IF(AND($E386&lt;&gt;"",$W386&lt;&gt;"Schváleno",$W386&lt;&gt;"Odloženo",$W386&lt;&gt;"Zrušeno",IFERROR(VLOOKUP($E386,Nastavení!$A$30:$G$53,3,FALSE()),0)&gt;0,IFERROR(VLOOKUP($E386,Nastavení!$A$30:$G$53,3,FALSE()),0)&lt;TODAY()),"Neschváleno po termínu cyklu. ","")))</f>
        <v/>
      </c>
    </row>
    <row r="387" spans="1:35" x14ac:dyDescent="0.2">
      <c r="A387" s="35"/>
      <c r="B387" s="11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11"/>
      <c r="N387" s="11"/>
      <c r="O387" s="11"/>
      <c r="P387" s="11"/>
      <c r="Q387" s="11"/>
      <c r="R387" s="11"/>
      <c r="S387" s="11"/>
      <c r="T387" s="35"/>
      <c r="U387" s="36"/>
      <c r="V387" s="11"/>
      <c r="W387" s="35"/>
      <c r="X387" s="35"/>
      <c r="Y387" s="36"/>
      <c r="Z387" s="11"/>
      <c r="AA387" s="35"/>
      <c r="AB387" s="36"/>
      <c r="AC387" s="35"/>
      <c r="AD387" s="35"/>
      <c r="AE387" s="37" t="str">
        <f>IF($A387="","",COUNTIFS(Připomínky!$A$4:$A$503,$A387,Připomínky!$J$4:$J$503,"Nevyřešeno"))</f>
        <v/>
      </c>
      <c r="AF387" s="37" t="str">
        <f>IF($A387="","",COUNTIFS(Publikace!$A$4:$A$503,$A387))</f>
        <v/>
      </c>
      <c r="AG387" s="38" t="str">
        <f>IF($A387="","",IF(AF387=0,"",_xlfn.MINIFS(Publikace!$E$4:$E$503,Publikace!$A$4:$A$503,$A387)))</f>
        <v/>
      </c>
      <c r="AH387" s="37" t="str">
        <f t="shared" si="5"/>
        <v/>
      </c>
      <c r="AI387" s="39" t="str">
        <f ca="1">IF($A387="","",TRIM(IF(AND($U387&lt;&gt;"",$U387&lt;TODAY(),$W387&lt;&gt;"Schváleno",$W387&lt;&gt;"Odloženo",$W387&lt;&gt;"Zrušeno"),"Po termínu odevzdání. ","")&amp;IF(AND($W387="Schváleno",OR($X387="",$Y387="")),"Schváleno bez jména / data. ","")&amp;IF(OR($G387="",$H387="",$I387="",$F387=""),"Chybí zařazení (kategorie, typ, profil nebo měsíc). ","")&amp;IF(AND(OR($I387="Honza",$I387="Radek"),OR($J387="",$J387="Nevztahuje se")),"Doplnit charakter (osobní / pracovní). ","")&amp;IF(AND($W387="Schváleno",$AE387&gt;0),"Schváleno, ale má otevřené připomínky. ","")&amp;IF(AND($AA387="Publikováno",$AF387=0),"Publikováno bez záznamu v listu Publikace. ","")&amp;IF(AND($C387&lt;&gt;"",$D387=""),"Chybí číslo dílu série. ","")&amp;IF(AND($E387&lt;&gt;"",$W387&lt;&gt;"Schváleno",$W387&lt;&gt;"Odloženo",$W387&lt;&gt;"Zrušeno",IFERROR(VLOOKUP($E387,Nastavení!$A$30:$G$53,3,FALSE()),0)&gt;0,IFERROR(VLOOKUP($E387,Nastavení!$A$30:$G$53,3,FALSE()),0)&lt;TODAY()),"Neschváleno po termínu cyklu. ","")))</f>
        <v/>
      </c>
    </row>
    <row r="388" spans="1:35" x14ac:dyDescent="0.2">
      <c r="A388" s="35"/>
      <c r="B388" s="11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11"/>
      <c r="N388" s="11"/>
      <c r="O388" s="11"/>
      <c r="P388" s="11"/>
      <c r="Q388" s="11"/>
      <c r="R388" s="11"/>
      <c r="S388" s="11"/>
      <c r="T388" s="35"/>
      <c r="U388" s="36"/>
      <c r="V388" s="11"/>
      <c r="W388" s="35"/>
      <c r="X388" s="35"/>
      <c r="Y388" s="36"/>
      <c r="Z388" s="11"/>
      <c r="AA388" s="35"/>
      <c r="AB388" s="36"/>
      <c r="AC388" s="35"/>
      <c r="AD388" s="35"/>
      <c r="AE388" s="37" t="str">
        <f>IF($A388="","",COUNTIFS(Připomínky!$A$4:$A$503,$A388,Připomínky!$J$4:$J$503,"Nevyřešeno"))</f>
        <v/>
      </c>
      <c r="AF388" s="37" t="str">
        <f>IF($A388="","",COUNTIFS(Publikace!$A$4:$A$503,$A388))</f>
        <v/>
      </c>
      <c r="AG388" s="38" t="str">
        <f>IF($A388="","",IF(AF388=0,"",_xlfn.MINIFS(Publikace!$E$4:$E$503,Publikace!$A$4:$A$503,$A388)))</f>
        <v/>
      </c>
      <c r="AH388" s="37" t="str">
        <f t="shared" ref="AH388:AH451" si="6">IF(AG388="","",YEAR(AG388)&amp;"-"&amp;TEXT(MONTH(AG388),"00"))</f>
        <v/>
      </c>
      <c r="AI388" s="39" t="str">
        <f ca="1">IF($A388="","",TRIM(IF(AND($U388&lt;&gt;"",$U388&lt;TODAY(),$W388&lt;&gt;"Schváleno",$W388&lt;&gt;"Odloženo",$W388&lt;&gt;"Zrušeno"),"Po termínu odevzdání. ","")&amp;IF(AND($W388="Schváleno",OR($X388="",$Y388="")),"Schváleno bez jména / data. ","")&amp;IF(OR($G388="",$H388="",$I388="",$F388=""),"Chybí zařazení (kategorie, typ, profil nebo měsíc). ","")&amp;IF(AND(OR($I388="Honza",$I388="Radek"),OR($J388="",$J388="Nevztahuje se")),"Doplnit charakter (osobní / pracovní). ","")&amp;IF(AND($W388="Schváleno",$AE388&gt;0),"Schváleno, ale má otevřené připomínky. ","")&amp;IF(AND($AA388="Publikováno",$AF388=0),"Publikováno bez záznamu v listu Publikace. ","")&amp;IF(AND($C388&lt;&gt;"",$D388=""),"Chybí číslo dílu série. ","")&amp;IF(AND($E388&lt;&gt;"",$W388&lt;&gt;"Schváleno",$W388&lt;&gt;"Odloženo",$W388&lt;&gt;"Zrušeno",IFERROR(VLOOKUP($E388,Nastavení!$A$30:$G$53,3,FALSE()),0)&gt;0,IFERROR(VLOOKUP($E388,Nastavení!$A$30:$G$53,3,FALSE()),0)&lt;TODAY()),"Neschváleno po termínu cyklu. ","")))</f>
        <v/>
      </c>
    </row>
    <row r="389" spans="1:35" x14ac:dyDescent="0.2">
      <c r="A389" s="35"/>
      <c r="B389" s="11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11"/>
      <c r="N389" s="11"/>
      <c r="O389" s="11"/>
      <c r="P389" s="11"/>
      <c r="Q389" s="11"/>
      <c r="R389" s="11"/>
      <c r="S389" s="11"/>
      <c r="T389" s="35"/>
      <c r="U389" s="36"/>
      <c r="V389" s="11"/>
      <c r="W389" s="35"/>
      <c r="X389" s="35"/>
      <c r="Y389" s="36"/>
      <c r="Z389" s="11"/>
      <c r="AA389" s="35"/>
      <c r="AB389" s="36"/>
      <c r="AC389" s="35"/>
      <c r="AD389" s="35"/>
      <c r="AE389" s="37" t="str">
        <f>IF($A389="","",COUNTIFS(Připomínky!$A$4:$A$503,$A389,Připomínky!$J$4:$J$503,"Nevyřešeno"))</f>
        <v/>
      </c>
      <c r="AF389" s="37" t="str">
        <f>IF($A389="","",COUNTIFS(Publikace!$A$4:$A$503,$A389))</f>
        <v/>
      </c>
      <c r="AG389" s="38" t="str">
        <f>IF($A389="","",IF(AF389=0,"",_xlfn.MINIFS(Publikace!$E$4:$E$503,Publikace!$A$4:$A$503,$A389)))</f>
        <v/>
      </c>
      <c r="AH389" s="37" t="str">
        <f t="shared" si="6"/>
        <v/>
      </c>
      <c r="AI389" s="39" t="str">
        <f ca="1">IF($A389="","",TRIM(IF(AND($U389&lt;&gt;"",$U389&lt;TODAY(),$W389&lt;&gt;"Schváleno",$W389&lt;&gt;"Odloženo",$W389&lt;&gt;"Zrušeno"),"Po termínu odevzdání. ","")&amp;IF(AND($W389="Schváleno",OR($X389="",$Y389="")),"Schváleno bez jména / data. ","")&amp;IF(OR($G389="",$H389="",$I389="",$F389=""),"Chybí zařazení (kategorie, typ, profil nebo měsíc). ","")&amp;IF(AND(OR($I389="Honza",$I389="Radek"),OR($J389="",$J389="Nevztahuje se")),"Doplnit charakter (osobní / pracovní). ","")&amp;IF(AND($W389="Schváleno",$AE389&gt;0),"Schváleno, ale má otevřené připomínky. ","")&amp;IF(AND($AA389="Publikováno",$AF389=0),"Publikováno bez záznamu v listu Publikace. ","")&amp;IF(AND($C389&lt;&gt;"",$D389=""),"Chybí číslo dílu série. ","")&amp;IF(AND($E389&lt;&gt;"",$W389&lt;&gt;"Schváleno",$W389&lt;&gt;"Odloženo",$W389&lt;&gt;"Zrušeno",IFERROR(VLOOKUP($E389,Nastavení!$A$30:$G$53,3,FALSE()),0)&gt;0,IFERROR(VLOOKUP($E389,Nastavení!$A$30:$G$53,3,FALSE()),0)&lt;TODAY()),"Neschváleno po termínu cyklu. ","")))</f>
        <v/>
      </c>
    </row>
    <row r="390" spans="1:35" x14ac:dyDescent="0.2">
      <c r="A390" s="35"/>
      <c r="B390" s="11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11"/>
      <c r="N390" s="11"/>
      <c r="O390" s="11"/>
      <c r="P390" s="11"/>
      <c r="Q390" s="11"/>
      <c r="R390" s="11"/>
      <c r="S390" s="11"/>
      <c r="T390" s="35"/>
      <c r="U390" s="36"/>
      <c r="V390" s="11"/>
      <c r="W390" s="35"/>
      <c r="X390" s="35"/>
      <c r="Y390" s="36"/>
      <c r="Z390" s="11"/>
      <c r="AA390" s="35"/>
      <c r="AB390" s="36"/>
      <c r="AC390" s="35"/>
      <c r="AD390" s="35"/>
      <c r="AE390" s="37" t="str">
        <f>IF($A390="","",COUNTIFS(Připomínky!$A$4:$A$503,$A390,Připomínky!$J$4:$J$503,"Nevyřešeno"))</f>
        <v/>
      </c>
      <c r="AF390" s="37" t="str">
        <f>IF($A390="","",COUNTIFS(Publikace!$A$4:$A$503,$A390))</f>
        <v/>
      </c>
      <c r="AG390" s="38" t="str">
        <f>IF($A390="","",IF(AF390=0,"",_xlfn.MINIFS(Publikace!$E$4:$E$503,Publikace!$A$4:$A$503,$A390)))</f>
        <v/>
      </c>
      <c r="AH390" s="37" t="str">
        <f t="shared" si="6"/>
        <v/>
      </c>
      <c r="AI390" s="39" t="str">
        <f ca="1">IF($A390="","",TRIM(IF(AND($U390&lt;&gt;"",$U390&lt;TODAY(),$W390&lt;&gt;"Schváleno",$W390&lt;&gt;"Odloženo",$W390&lt;&gt;"Zrušeno"),"Po termínu odevzdání. ","")&amp;IF(AND($W390="Schváleno",OR($X390="",$Y390="")),"Schváleno bez jména / data. ","")&amp;IF(OR($G390="",$H390="",$I390="",$F390=""),"Chybí zařazení (kategorie, typ, profil nebo měsíc). ","")&amp;IF(AND(OR($I390="Honza",$I390="Radek"),OR($J390="",$J390="Nevztahuje se")),"Doplnit charakter (osobní / pracovní). ","")&amp;IF(AND($W390="Schváleno",$AE390&gt;0),"Schváleno, ale má otevřené připomínky. ","")&amp;IF(AND($AA390="Publikováno",$AF390=0),"Publikováno bez záznamu v listu Publikace. ","")&amp;IF(AND($C390&lt;&gt;"",$D390=""),"Chybí číslo dílu série. ","")&amp;IF(AND($E390&lt;&gt;"",$W390&lt;&gt;"Schváleno",$W390&lt;&gt;"Odloženo",$W390&lt;&gt;"Zrušeno",IFERROR(VLOOKUP($E390,Nastavení!$A$30:$G$53,3,FALSE()),0)&gt;0,IFERROR(VLOOKUP($E390,Nastavení!$A$30:$G$53,3,FALSE()),0)&lt;TODAY()),"Neschváleno po termínu cyklu. ","")))</f>
        <v/>
      </c>
    </row>
    <row r="391" spans="1:35" x14ac:dyDescent="0.2">
      <c r="A391" s="35"/>
      <c r="B391" s="11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11"/>
      <c r="N391" s="11"/>
      <c r="O391" s="11"/>
      <c r="P391" s="11"/>
      <c r="Q391" s="11"/>
      <c r="R391" s="11"/>
      <c r="S391" s="11"/>
      <c r="T391" s="35"/>
      <c r="U391" s="36"/>
      <c r="V391" s="11"/>
      <c r="W391" s="35"/>
      <c r="X391" s="35"/>
      <c r="Y391" s="36"/>
      <c r="Z391" s="11"/>
      <c r="AA391" s="35"/>
      <c r="AB391" s="36"/>
      <c r="AC391" s="35"/>
      <c r="AD391" s="35"/>
      <c r="AE391" s="37" t="str">
        <f>IF($A391="","",COUNTIFS(Připomínky!$A$4:$A$503,$A391,Připomínky!$J$4:$J$503,"Nevyřešeno"))</f>
        <v/>
      </c>
      <c r="AF391" s="37" t="str">
        <f>IF($A391="","",COUNTIFS(Publikace!$A$4:$A$503,$A391))</f>
        <v/>
      </c>
      <c r="AG391" s="38" t="str">
        <f>IF($A391="","",IF(AF391=0,"",_xlfn.MINIFS(Publikace!$E$4:$E$503,Publikace!$A$4:$A$503,$A391)))</f>
        <v/>
      </c>
      <c r="AH391" s="37" t="str">
        <f t="shared" si="6"/>
        <v/>
      </c>
      <c r="AI391" s="39" t="str">
        <f ca="1">IF($A391="","",TRIM(IF(AND($U391&lt;&gt;"",$U391&lt;TODAY(),$W391&lt;&gt;"Schváleno",$W391&lt;&gt;"Odloženo",$W391&lt;&gt;"Zrušeno"),"Po termínu odevzdání. ","")&amp;IF(AND($W391="Schváleno",OR($X391="",$Y391="")),"Schváleno bez jména / data. ","")&amp;IF(OR($G391="",$H391="",$I391="",$F391=""),"Chybí zařazení (kategorie, typ, profil nebo měsíc). ","")&amp;IF(AND(OR($I391="Honza",$I391="Radek"),OR($J391="",$J391="Nevztahuje se")),"Doplnit charakter (osobní / pracovní). ","")&amp;IF(AND($W391="Schváleno",$AE391&gt;0),"Schváleno, ale má otevřené připomínky. ","")&amp;IF(AND($AA391="Publikováno",$AF391=0),"Publikováno bez záznamu v listu Publikace. ","")&amp;IF(AND($C391&lt;&gt;"",$D391=""),"Chybí číslo dílu série. ","")&amp;IF(AND($E391&lt;&gt;"",$W391&lt;&gt;"Schváleno",$W391&lt;&gt;"Odloženo",$W391&lt;&gt;"Zrušeno",IFERROR(VLOOKUP($E391,Nastavení!$A$30:$G$53,3,FALSE()),0)&gt;0,IFERROR(VLOOKUP($E391,Nastavení!$A$30:$G$53,3,FALSE()),0)&lt;TODAY()),"Neschváleno po termínu cyklu. ","")))</f>
        <v/>
      </c>
    </row>
    <row r="392" spans="1:35" x14ac:dyDescent="0.2">
      <c r="A392" s="35"/>
      <c r="B392" s="11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11"/>
      <c r="N392" s="11"/>
      <c r="O392" s="11"/>
      <c r="P392" s="11"/>
      <c r="Q392" s="11"/>
      <c r="R392" s="11"/>
      <c r="S392" s="11"/>
      <c r="T392" s="35"/>
      <c r="U392" s="36"/>
      <c r="V392" s="11"/>
      <c r="W392" s="35"/>
      <c r="X392" s="35"/>
      <c r="Y392" s="36"/>
      <c r="Z392" s="11"/>
      <c r="AA392" s="35"/>
      <c r="AB392" s="36"/>
      <c r="AC392" s="35"/>
      <c r="AD392" s="35"/>
      <c r="AE392" s="37" t="str">
        <f>IF($A392="","",COUNTIFS(Připomínky!$A$4:$A$503,$A392,Připomínky!$J$4:$J$503,"Nevyřešeno"))</f>
        <v/>
      </c>
      <c r="AF392" s="37" t="str">
        <f>IF($A392="","",COUNTIFS(Publikace!$A$4:$A$503,$A392))</f>
        <v/>
      </c>
      <c r="AG392" s="38" t="str">
        <f>IF($A392="","",IF(AF392=0,"",_xlfn.MINIFS(Publikace!$E$4:$E$503,Publikace!$A$4:$A$503,$A392)))</f>
        <v/>
      </c>
      <c r="AH392" s="37" t="str">
        <f t="shared" si="6"/>
        <v/>
      </c>
      <c r="AI392" s="39" t="str">
        <f ca="1">IF($A392="","",TRIM(IF(AND($U392&lt;&gt;"",$U392&lt;TODAY(),$W392&lt;&gt;"Schváleno",$W392&lt;&gt;"Odloženo",$W392&lt;&gt;"Zrušeno"),"Po termínu odevzdání. ","")&amp;IF(AND($W392="Schváleno",OR($X392="",$Y392="")),"Schváleno bez jména / data. ","")&amp;IF(OR($G392="",$H392="",$I392="",$F392=""),"Chybí zařazení (kategorie, typ, profil nebo měsíc). ","")&amp;IF(AND(OR($I392="Honza",$I392="Radek"),OR($J392="",$J392="Nevztahuje se")),"Doplnit charakter (osobní / pracovní). ","")&amp;IF(AND($W392="Schváleno",$AE392&gt;0),"Schváleno, ale má otevřené připomínky. ","")&amp;IF(AND($AA392="Publikováno",$AF392=0),"Publikováno bez záznamu v listu Publikace. ","")&amp;IF(AND($C392&lt;&gt;"",$D392=""),"Chybí číslo dílu série. ","")&amp;IF(AND($E392&lt;&gt;"",$W392&lt;&gt;"Schváleno",$W392&lt;&gt;"Odloženo",$W392&lt;&gt;"Zrušeno",IFERROR(VLOOKUP($E392,Nastavení!$A$30:$G$53,3,FALSE()),0)&gt;0,IFERROR(VLOOKUP($E392,Nastavení!$A$30:$G$53,3,FALSE()),0)&lt;TODAY()),"Neschváleno po termínu cyklu. ","")))</f>
        <v/>
      </c>
    </row>
    <row r="393" spans="1:35" x14ac:dyDescent="0.2">
      <c r="A393" s="35"/>
      <c r="B393" s="11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11"/>
      <c r="N393" s="11"/>
      <c r="O393" s="11"/>
      <c r="P393" s="11"/>
      <c r="Q393" s="11"/>
      <c r="R393" s="11"/>
      <c r="S393" s="11"/>
      <c r="T393" s="35"/>
      <c r="U393" s="36"/>
      <c r="V393" s="11"/>
      <c r="W393" s="35"/>
      <c r="X393" s="35"/>
      <c r="Y393" s="36"/>
      <c r="Z393" s="11"/>
      <c r="AA393" s="35"/>
      <c r="AB393" s="36"/>
      <c r="AC393" s="35"/>
      <c r="AD393" s="35"/>
      <c r="AE393" s="37" t="str">
        <f>IF($A393="","",COUNTIFS(Připomínky!$A$4:$A$503,$A393,Připomínky!$J$4:$J$503,"Nevyřešeno"))</f>
        <v/>
      </c>
      <c r="AF393" s="37" t="str">
        <f>IF($A393="","",COUNTIFS(Publikace!$A$4:$A$503,$A393))</f>
        <v/>
      </c>
      <c r="AG393" s="38" t="str">
        <f>IF($A393="","",IF(AF393=0,"",_xlfn.MINIFS(Publikace!$E$4:$E$503,Publikace!$A$4:$A$503,$A393)))</f>
        <v/>
      </c>
      <c r="AH393" s="37" t="str">
        <f t="shared" si="6"/>
        <v/>
      </c>
      <c r="AI393" s="39" t="str">
        <f ca="1">IF($A393="","",TRIM(IF(AND($U393&lt;&gt;"",$U393&lt;TODAY(),$W393&lt;&gt;"Schváleno",$W393&lt;&gt;"Odloženo",$W393&lt;&gt;"Zrušeno"),"Po termínu odevzdání. ","")&amp;IF(AND($W393="Schváleno",OR($X393="",$Y393="")),"Schváleno bez jména / data. ","")&amp;IF(OR($G393="",$H393="",$I393="",$F393=""),"Chybí zařazení (kategorie, typ, profil nebo měsíc). ","")&amp;IF(AND(OR($I393="Honza",$I393="Radek"),OR($J393="",$J393="Nevztahuje se")),"Doplnit charakter (osobní / pracovní). ","")&amp;IF(AND($W393="Schváleno",$AE393&gt;0),"Schváleno, ale má otevřené připomínky. ","")&amp;IF(AND($AA393="Publikováno",$AF393=0),"Publikováno bez záznamu v listu Publikace. ","")&amp;IF(AND($C393&lt;&gt;"",$D393=""),"Chybí číslo dílu série. ","")&amp;IF(AND($E393&lt;&gt;"",$W393&lt;&gt;"Schváleno",$W393&lt;&gt;"Odloženo",$W393&lt;&gt;"Zrušeno",IFERROR(VLOOKUP($E393,Nastavení!$A$30:$G$53,3,FALSE()),0)&gt;0,IFERROR(VLOOKUP($E393,Nastavení!$A$30:$G$53,3,FALSE()),0)&lt;TODAY()),"Neschváleno po termínu cyklu. ","")))</f>
        <v/>
      </c>
    </row>
    <row r="394" spans="1:35" x14ac:dyDescent="0.2">
      <c r="A394" s="35"/>
      <c r="B394" s="11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11"/>
      <c r="N394" s="11"/>
      <c r="O394" s="11"/>
      <c r="P394" s="11"/>
      <c r="Q394" s="11"/>
      <c r="R394" s="11"/>
      <c r="S394" s="11"/>
      <c r="T394" s="35"/>
      <c r="U394" s="36"/>
      <c r="V394" s="11"/>
      <c r="W394" s="35"/>
      <c r="X394" s="35"/>
      <c r="Y394" s="36"/>
      <c r="Z394" s="11"/>
      <c r="AA394" s="35"/>
      <c r="AB394" s="36"/>
      <c r="AC394" s="35"/>
      <c r="AD394" s="35"/>
      <c r="AE394" s="37" t="str">
        <f>IF($A394="","",COUNTIFS(Připomínky!$A$4:$A$503,$A394,Připomínky!$J$4:$J$503,"Nevyřešeno"))</f>
        <v/>
      </c>
      <c r="AF394" s="37" t="str">
        <f>IF($A394="","",COUNTIFS(Publikace!$A$4:$A$503,$A394))</f>
        <v/>
      </c>
      <c r="AG394" s="38" t="str">
        <f>IF($A394="","",IF(AF394=0,"",_xlfn.MINIFS(Publikace!$E$4:$E$503,Publikace!$A$4:$A$503,$A394)))</f>
        <v/>
      </c>
      <c r="AH394" s="37" t="str">
        <f t="shared" si="6"/>
        <v/>
      </c>
      <c r="AI394" s="39" t="str">
        <f ca="1">IF($A394="","",TRIM(IF(AND($U394&lt;&gt;"",$U394&lt;TODAY(),$W394&lt;&gt;"Schváleno",$W394&lt;&gt;"Odloženo",$W394&lt;&gt;"Zrušeno"),"Po termínu odevzdání. ","")&amp;IF(AND($W394="Schváleno",OR($X394="",$Y394="")),"Schváleno bez jména / data. ","")&amp;IF(OR($G394="",$H394="",$I394="",$F394=""),"Chybí zařazení (kategorie, typ, profil nebo měsíc). ","")&amp;IF(AND(OR($I394="Honza",$I394="Radek"),OR($J394="",$J394="Nevztahuje se")),"Doplnit charakter (osobní / pracovní). ","")&amp;IF(AND($W394="Schváleno",$AE394&gt;0),"Schváleno, ale má otevřené připomínky. ","")&amp;IF(AND($AA394="Publikováno",$AF394=0),"Publikováno bez záznamu v listu Publikace. ","")&amp;IF(AND($C394&lt;&gt;"",$D394=""),"Chybí číslo dílu série. ","")&amp;IF(AND($E394&lt;&gt;"",$W394&lt;&gt;"Schváleno",$W394&lt;&gt;"Odloženo",$W394&lt;&gt;"Zrušeno",IFERROR(VLOOKUP($E394,Nastavení!$A$30:$G$53,3,FALSE()),0)&gt;0,IFERROR(VLOOKUP($E394,Nastavení!$A$30:$G$53,3,FALSE()),0)&lt;TODAY()),"Neschváleno po termínu cyklu. ","")))</f>
        <v/>
      </c>
    </row>
    <row r="395" spans="1:35" x14ac:dyDescent="0.2">
      <c r="A395" s="35"/>
      <c r="B395" s="11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11"/>
      <c r="N395" s="11"/>
      <c r="O395" s="11"/>
      <c r="P395" s="11"/>
      <c r="Q395" s="11"/>
      <c r="R395" s="11"/>
      <c r="S395" s="11"/>
      <c r="T395" s="35"/>
      <c r="U395" s="36"/>
      <c r="V395" s="11"/>
      <c r="W395" s="35"/>
      <c r="X395" s="35"/>
      <c r="Y395" s="36"/>
      <c r="Z395" s="11"/>
      <c r="AA395" s="35"/>
      <c r="AB395" s="36"/>
      <c r="AC395" s="35"/>
      <c r="AD395" s="35"/>
      <c r="AE395" s="37" t="str">
        <f>IF($A395="","",COUNTIFS(Připomínky!$A$4:$A$503,$A395,Připomínky!$J$4:$J$503,"Nevyřešeno"))</f>
        <v/>
      </c>
      <c r="AF395" s="37" t="str">
        <f>IF($A395="","",COUNTIFS(Publikace!$A$4:$A$503,$A395))</f>
        <v/>
      </c>
      <c r="AG395" s="38" t="str">
        <f>IF($A395="","",IF(AF395=0,"",_xlfn.MINIFS(Publikace!$E$4:$E$503,Publikace!$A$4:$A$503,$A395)))</f>
        <v/>
      </c>
      <c r="AH395" s="37" t="str">
        <f t="shared" si="6"/>
        <v/>
      </c>
      <c r="AI395" s="39" t="str">
        <f ca="1">IF($A395="","",TRIM(IF(AND($U395&lt;&gt;"",$U395&lt;TODAY(),$W395&lt;&gt;"Schváleno",$W395&lt;&gt;"Odloženo",$W395&lt;&gt;"Zrušeno"),"Po termínu odevzdání. ","")&amp;IF(AND($W395="Schváleno",OR($X395="",$Y395="")),"Schváleno bez jména / data. ","")&amp;IF(OR($G395="",$H395="",$I395="",$F395=""),"Chybí zařazení (kategorie, typ, profil nebo měsíc). ","")&amp;IF(AND(OR($I395="Honza",$I395="Radek"),OR($J395="",$J395="Nevztahuje se")),"Doplnit charakter (osobní / pracovní). ","")&amp;IF(AND($W395="Schváleno",$AE395&gt;0),"Schváleno, ale má otevřené připomínky. ","")&amp;IF(AND($AA395="Publikováno",$AF395=0),"Publikováno bez záznamu v listu Publikace. ","")&amp;IF(AND($C395&lt;&gt;"",$D395=""),"Chybí číslo dílu série. ","")&amp;IF(AND($E395&lt;&gt;"",$W395&lt;&gt;"Schváleno",$W395&lt;&gt;"Odloženo",$W395&lt;&gt;"Zrušeno",IFERROR(VLOOKUP($E395,Nastavení!$A$30:$G$53,3,FALSE()),0)&gt;0,IFERROR(VLOOKUP($E395,Nastavení!$A$30:$G$53,3,FALSE()),0)&lt;TODAY()),"Neschváleno po termínu cyklu. ","")))</f>
        <v/>
      </c>
    </row>
    <row r="396" spans="1:35" x14ac:dyDescent="0.2">
      <c r="A396" s="35"/>
      <c r="B396" s="11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11"/>
      <c r="N396" s="11"/>
      <c r="O396" s="11"/>
      <c r="P396" s="11"/>
      <c r="Q396" s="11"/>
      <c r="R396" s="11"/>
      <c r="S396" s="11"/>
      <c r="T396" s="35"/>
      <c r="U396" s="36"/>
      <c r="V396" s="11"/>
      <c r="W396" s="35"/>
      <c r="X396" s="35"/>
      <c r="Y396" s="36"/>
      <c r="Z396" s="11"/>
      <c r="AA396" s="35"/>
      <c r="AB396" s="36"/>
      <c r="AC396" s="35"/>
      <c r="AD396" s="35"/>
      <c r="AE396" s="37" t="str">
        <f>IF($A396="","",COUNTIFS(Připomínky!$A$4:$A$503,$A396,Připomínky!$J$4:$J$503,"Nevyřešeno"))</f>
        <v/>
      </c>
      <c r="AF396" s="37" t="str">
        <f>IF($A396="","",COUNTIFS(Publikace!$A$4:$A$503,$A396))</f>
        <v/>
      </c>
      <c r="AG396" s="38" t="str">
        <f>IF($A396="","",IF(AF396=0,"",_xlfn.MINIFS(Publikace!$E$4:$E$503,Publikace!$A$4:$A$503,$A396)))</f>
        <v/>
      </c>
      <c r="AH396" s="37" t="str">
        <f t="shared" si="6"/>
        <v/>
      </c>
      <c r="AI396" s="39" t="str">
        <f ca="1">IF($A396="","",TRIM(IF(AND($U396&lt;&gt;"",$U396&lt;TODAY(),$W396&lt;&gt;"Schváleno",$W396&lt;&gt;"Odloženo",$W396&lt;&gt;"Zrušeno"),"Po termínu odevzdání. ","")&amp;IF(AND($W396="Schváleno",OR($X396="",$Y396="")),"Schváleno bez jména / data. ","")&amp;IF(OR($G396="",$H396="",$I396="",$F396=""),"Chybí zařazení (kategorie, typ, profil nebo měsíc). ","")&amp;IF(AND(OR($I396="Honza",$I396="Radek"),OR($J396="",$J396="Nevztahuje se")),"Doplnit charakter (osobní / pracovní). ","")&amp;IF(AND($W396="Schváleno",$AE396&gt;0),"Schváleno, ale má otevřené připomínky. ","")&amp;IF(AND($AA396="Publikováno",$AF396=0),"Publikováno bez záznamu v listu Publikace. ","")&amp;IF(AND($C396&lt;&gt;"",$D396=""),"Chybí číslo dílu série. ","")&amp;IF(AND($E396&lt;&gt;"",$W396&lt;&gt;"Schváleno",$W396&lt;&gt;"Odloženo",$W396&lt;&gt;"Zrušeno",IFERROR(VLOOKUP($E396,Nastavení!$A$30:$G$53,3,FALSE()),0)&gt;0,IFERROR(VLOOKUP($E396,Nastavení!$A$30:$G$53,3,FALSE()),0)&lt;TODAY()),"Neschváleno po termínu cyklu. ","")))</f>
        <v/>
      </c>
    </row>
    <row r="397" spans="1:35" x14ac:dyDescent="0.2">
      <c r="A397" s="35"/>
      <c r="B397" s="11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11"/>
      <c r="N397" s="11"/>
      <c r="O397" s="11"/>
      <c r="P397" s="11"/>
      <c r="Q397" s="11"/>
      <c r="R397" s="11"/>
      <c r="S397" s="11"/>
      <c r="T397" s="35"/>
      <c r="U397" s="36"/>
      <c r="V397" s="11"/>
      <c r="W397" s="35"/>
      <c r="X397" s="35"/>
      <c r="Y397" s="36"/>
      <c r="Z397" s="11"/>
      <c r="AA397" s="35"/>
      <c r="AB397" s="36"/>
      <c r="AC397" s="35"/>
      <c r="AD397" s="35"/>
      <c r="AE397" s="37" t="str">
        <f>IF($A397="","",COUNTIFS(Připomínky!$A$4:$A$503,$A397,Připomínky!$J$4:$J$503,"Nevyřešeno"))</f>
        <v/>
      </c>
      <c r="AF397" s="37" t="str">
        <f>IF($A397="","",COUNTIFS(Publikace!$A$4:$A$503,$A397))</f>
        <v/>
      </c>
      <c r="AG397" s="38" t="str">
        <f>IF($A397="","",IF(AF397=0,"",_xlfn.MINIFS(Publikace!$E$4:$E$503,Publikace!$A$4:$A$503,$A397)))</f>
        <v/>
      </c>
      <c r="AH397" s="37" t="str">
        <f t="shared" si="6"/>
        <v/>
      </c>
      <c r="AI397" s="39" t="str">
        <f ca="1">IF($A397="","",TRIM(IF(AND($U397&lt;&gt;"",$U397&lt;TODAY(),$W397&lt;&gt;"Schváleno",$W397&lt;&gt;"Odloženo",$W397&lt;&gt;"Zrušeno"),"Po termínu odevzdání. ","")&amp;IF(AND($W397="Schváleno",OR($X397="",$Y397="")),"Schváleno bez jména / data. ","")&amp;IF(OR($G397="",$H397="",$I397="",$F397=""),"Chybí zařazení (kategorie, typ, profil nebo měsíc). ","")&amp;IF(AND(OR($I397="Honza",$I397="Radek"),OR($J397="",$J397="Nevztahuje se")),"Doplnit charakter (osobní / pracovní). ","")&amp;IF(AND($W397="Schváleno",$AE397&gt;0),"Schváleno, ale má otevřené připomínky. ","")&amp;IF(AND($AA397="Publikováno",$AF397=0),"Publikováno bez záznamu v listu Publikace. ","")&amp;IF(AND($C397&lt;&gt;"",$D397=""),"Chybí číslo dílu série. ","")&amp;IF(AND($E397&lt;&gt;"",$W397&lt;&gt;"Schváleno",$W397&lt;&gt;"Odloženo",$W397&lt;&gt;"Zrušeno",IFERROR(VLOOKUP($E397,Nastavení!$A$30:$G$53,3,FALSE()),0)&gt;0,IFERROR(VLOOKUP($E397,Nastavení!$A$30:$G$53,3,FALSE()),0)&lt;TODAY()),"Neschváleno po termínu cyklu. ","")))</f>
        <v/>
      </c>
    </row>
    <row r="398" spans="1:35" x14ac:dyDescent="0.2">
      <c r="A398" s="35"/>
      <c r="B398" s="11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11"/>
      <c r="N398" s="11"/>
      <c r="O398" s="11"/>
      <c r="P398" s="11"/>
      <c r="Q398" s="11"/>
      <c r="R398" s="11"/>
      <c r="S398" s="11"/>
      <c r="T398" s="35"/>
      <c r="U398" s="36"/>
      <c r="V398" s="11"/>
      <c r="W398" s="35"/>
      <c r="X398" s="35"/>
      <c r="Y398" s="36"/>
      <c r="Z398" s="11"/>
      <c r="AA398" s="35"/>
      <c r="AB398" s="36"/>
      <c r="AC398" s="35"/>
      <c r="AD398" s="35"/>
      <c r="AE398" s="37" t="str">
        <f>IF($A398="","",COUNTIFS(Připomínky!$A$4:$A$503,$A398,Připomínky!$J$4:$J$503,"Nevyřešeno"))</f>
        <v/>
      </c>
      <c r="AF398" s="37" t="str">
        <f>IF($A398="","",COUNTIFS(Publikace!$A$4:$A$503,$A398))</f>
        <v/>
      </c>
      <c r="AG398" s="38" t="str">
        <f>IF($A398="","",IF(AF398=0,"",_xlfn.MINIFS(Publikace!$E$4:$E$503,Publikace!$A$4:$A$503,$A398)))</f>
        <v/>
      </c>
      <c r="AH398" s="37" t="str">
        <f t="shared" si="6"/>
        <v/>
      </c>
      <c r="AI398" s="39" t="str">
        <f ca="1">IF($A398="","",TRIM(IF(AND($U398&lt;&gt;"",$U398&lt;TODAY(),$W398&lt;&gt;"Schváleno",$W398&lt;&gt;"Odloženo",$W398&lt;&gt;"Zrušeno"),"Po termínu odevzdání. ","")&amp;IF(AND($W398="Schváleno",OR($X398="",$Y398="")),"Schváleno bez jména / data. ","")&amp;IF(OR($G398="",$H398="",$I398="",$F398=""),"Chybí zařazení (kategorie, typ, profil nebo měsíc). ","")&amp;IF(AND(OR($I398="Honza",$I398="Radek"),OR($J398="",$J398="Nevztahuje se")),"Doplnit charakter (osobní / pracovní). ","")&amp;IF(AND($W398="Schváleno",$AE398&gt;0),"Schváleno, ale má otevřené připomínky. ","")&amp;IF(AND($AA398="Publikováno",$AF398=0),"Publikováno bez záznamu v listu Publikace. ","")&amp;IF(AND($C398&lt;&gt;"",$D398=""),"Chybí číslo dílu série. ","")&amp;IF(AND($E398&lt;&gt;"",$W398&lt;&gt;"Schváleno",$W398&lt;&gt;"Odloženo",$W398&lt;&gt;"Zrušeno",IFERROR(VLOOKUP($E398,Nastavení!$A$30:$G$53,3,FALSE()),0)&gt;0,IFERROR(VLOOKUP($E398,Nastavení!$A$30:$G$53,3,FALSE()),0)&lt;TODAY()),"Neschváleno po termínu cyklu. ","")))</f>
        <v/>
      </c>
    </row>
    <row r="399" spans="1:35" x14ac:dyDescent="0.2">
      <c r="A399" s="35"/>
      <c r="B399" s="11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11"/>
      <c r="N399" s="11"/>
      <c r="O399" s="11"/>
      <c r="P399" s="11"/>
      <c r="Q399" s="11"/>
      <c r="R399" s="11"/>
      <c r="S399" s="11"/>
      <c r="T399" s="35"/>
      <c r="U399" s="36"/>
      <c r="V399" s="11"/>
      <c r="W399" s="35"/>
      <c r="X399" s="35"/>
      <c r="Y399" s="36"/>
      <c r="Z399" s="11"/>
      <c r="AA399" s="35"/>
      <c r="AB399" s="36"/>
      <c r="AC399" s="35"/>
      <c r="AD399" s="35"/>
      <c r="AE399" s="37" t="str">
        <f>IF($A399="","",COUNTIFS(Připomínky!$A$4:$A$503,$A399,Připomínky!$J$4:$J$503,"Nevyřešeno"))</f>
        <v/>
      </c>
      <c r="AF399" s="37" t="str">
        <f>IF($A399="","",COUNTIFS(Publikace!$A$4:$A$503,$A399))</f>
        <v/>
      </c>
      <c r="AG399" s="38" t="str">
        <f>IF($A399="","",IF(AF399=0,"",_xlfn.MINIFS(Publikace!$E$4:$E$503,Publikace!$A$4:$A$503,$A399)))</f>
        <v/>
      </c>
      <c r="AH399" s="37" t="str">
        <f t="shared" si="6"/>
        <v/>
      </c>
      <c r="AI399" s="39" t="str">
        <f ca="1">IF($A399="","",TRIM(IF(AND($U399&lt;&gt;"",$U399&lt;TODAY(),$W399&lt;&gt;"Schváleno",$W399&lt;&gt;"Odloženo",$W399&lt;&gt;"Zrušeno"),"Po termínu odevzdání. ","")&amp;IF(AND($W399="Schváleno",OR($X399="",$Y399="")),"Schváleno bez jména / data. ","")&amp;IF(OR($G399="",$H399="",$I399="",$F399=""),"Chybí zařazení (kategorie, typ, profil nebo měsíc). ","")&amp;IF(AND(OR($I399="Honza",$I399="Radek"),OR($J399="",$J399="Nevztahuje se")),"Doplnit charakter (osobní / pracovní). ","")&amp;IF(AND($W399="Schváleno",$AE399&gt;0),"Schváleno, ale má otevřené připomínky. ","")&amp;IF(AND($AA399="Publikováno",$AF399=0),"Publikováno bez záznamu v listu Publikace. ","")&amp;IF(AND($C399&lt;&gt;"",$D399=""),"Chybí číslo dílu série. ","")&amp;IF(AND($E399&lt;&gt;"",$W399&lt;&gt;"Schváleno",$W399&lt;&gt;"Odloženo",$W399&lt;&gt;"Zrušeno",IFERROR(VLOOKUP($E399,Nastavení!$A$30:$G$53,3,FALSE()),0)&gt;0,IFERROR(VLOOKUP($E399,Nastavení!$A$30:$G$53,3,FALSE()),0)&lt;TODAY()),"Neschváleno po termínu cyklu. ","")))</f>
        <v/>
      </c>
    </row>
    <row r="400" spans="1:35" x14ac:dyDescent="0.2">
      <c r="A400" s="35"/>
      <c r="B400" s="11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11"/>
      <c r="N400" s="11"/>
      <c r="O400" s="11"/>
      <c r="P400" s="11"/>
      <c r="Q400" s="11"/>
      <c r="R400" s="11"/>
      <c r="S400" s="11"/>
      <c r="T400" s="35"/>
      <c r="U400" s="36"/>
      <c r="V400" s="11"/>
      <c r="W400" s="35"/>
      <c r="X400" s="35"/>
      <c r="Y400" s="36"/>
      <c r="Z400" s="11"/>
      <c r="AA400" s="35"/>
      <c r="AB400" s="36"/>
      <c r="AC400" s="35"/>
      <c r="AD400" s="35"/>
      <c r="AE400" s="37" t="str">
        <f>IF($A400="","",COUNTIFS(Připomínky!$A$4:$A$503,$A400,Připomínky!$J$4:$J$503,"Nevyřešeno"))</f>
        <v/>
      </c>
      <c r="AF400" s="37" t="str">
        <f>IF($A400="","",COUNTIFS(Publikace!$A$4:$A$503,$A400))</f>
        <v/>
      </c>
      <c r="AG400" s="38" t="str">
        <f>IF($A400="","",IF(AF400=0,"",_xlfn.MINIFS(Publikace!$E$4:$E$503,Publikace!$A$4:$A$503,$A400)))</f>
        <v/>
      </c>
      <c r="AH400" s="37" t="str">
        <f t="shared" si="6"/>
        <v/>
      </c>
      <c r="AI400" s="39" t="str">
        <f ca="1">IF($A400="","",TRIM(IF(AND($U400&lt;&gt;"",$U400&lt;TODAY(),$W400&lt;&gt;"Schváleno",$W400&lt;&gt;"Odloženo",$W400&lt;&gt;"Zrušeno"),"Po termínu odevzdání. ","")&amp;IF(AND($W400="Schváleno",OR($X400="",$Y400="")),"Schváleno bez jména / data. ","")&amp;IF(OR($G400="",$H400="",$I400="",$F400=""),"Chybí zařazení (kategorie, typ, profil nebo měsíc). ","")&amp;IF(AND(OR($I400="Honza",$I400="Radek"),OR($J400="",$J400="Nevztahuje se")),"Doplnit charakter (osobní / pracovní). ","")&amp;IF(AND($W400="Schváleno",$AE400&gt;0),"Schváleno, ale má otevřené připomínky. ","")&amp;IF(AND($AA400="Publikováno",$AF400=0),"Publikováno bez záznamu v listu Publikace. ","")&amp;IF(AND($C400&lt;&gt;"",$D400=""),"Chybí číslo dílu série. ","")&amp;IF(AND($E400&lt;&gt;"",$W400&lt;&gt;"Schváleno",$W400&lt;&gt;"Odloženo",$W400&lt;&gt;"Zrušeno",IFERROR(VLOOKUP($E400,Nastavení!$A$30:$G$53,3,FALSE()),0)&gt;0,IFERROR(VLOOKUP($E400,Nastavení!$A$30:$G$53,3,FALSE()),0)&lt;TODAY()),"Neschváleno po termínu cyklu. ","")))</f>
        <v/>
      </c>
    </row>
    <row r="401" spans="1:35" x14ac:dyDescent="0.2">
      <c r="A401" s="35"/>
      <c r="B401" s="11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11"/>
      <c r="N401" s="11"/>
      <c r="O401" s="11"/>
      <c r="P401" s="11"/>
      <c r="Q401" s="11"/>
      <c r="R401" s="11"/>
      <c r="S401" s="11"/>
      <c r="T401" s="35"/>
      <c r="U401" s="36"/>
      <c r="V401" s="11"/>
      <c r="W401" s="35"/>
      <c r="X401" s="35"/>
      <c r="Y401" s="36"/>
      <c r="Z401" s="11"/>
      <c r="AA401" s="35"/>
      <c r="AB401" s="36"/>
      <c r="AC401" s="35"/>
      <c r="AD401" s="35"/>
      <c r="AE401" s="37" t="str">
        <f>IF($A401="","",COUNTIFS(Připomínky!$A$4:$A$503,$A401,Připomínky!$J$4:$J$503,"Nevyřešeno"))</f>
        <v/>
      </c>
      <c r="AF401" s="37" t="str">
        <f>IF($A401="","",COUNTIFS(Publikace!$A$4:$A$503,$A401))</f>
        <v/>
      </c>
      <c r="AG401" s="38" t="str">
        <f>IF($A401="","",IF(AF401=0,"",_xlfn.MINIFS(Publikace!$E$4:$E$503,Publikace!$A$4:$A$503,$A401)))</f>
        <v/>
      </c>
      <c r="AH401" s="37" t="str">
        <f t="shared" si="6"/>
        <v/>
      </c>
      <c r="AI401" s="39" t="str">
        <f ca="1">IF($A401="","",TRIM(IF(AND($U401&lt;&gt;"",$U401&lt;TODAY(),$W401&lt;&gt;"Schváleno",$W401&lt;&gt;"Odloženo",$W401&lt;&gt;"Zrušeno"),"Po termínu odevzdání. ","")&amp;IF(AND($W401="Schváleno",OR($X401="",$Y401="")),"Schváleno bez jména / data. ","")&amp;IF(OR($G401="",$H401="",$I401="",$F401=""),"Chybí zařazení (kategorie, typ, profil nebo měsíc). ","")&amp;IF(AND(OR($I401="Honza",$I401="Radek"),OR($J401="",$J401="Nevztahuje se")),"Doplnit charakter (osobní / pracovní). ","")&amp;IF(AND($W401="Schváleno",$AE401&gt;0),"Schváleno, ale má otevřené připomínky. ","")&amp;IF(AND($AA401="Publikováno",$AF401=0),"Publikováno bez záznamu v listu Publikace. ","")&amp;IF(AND($C401&lt;&gt;"",$D401=""),"Chybí číslo dílu série. ","")&amp;IF(AND($E401&lt;&gt;"",$W401&lt;&gt;"Schváleno",$W401&lt;&gt;"Odloženo",$W401&lt;&gt;"Zrušeno",IFERROR(VLOOKUP($E401,Nastavení!$A$30:$G$53,3,FALSE()),0)&gt;0,IFERROR(VLOOKUP($E401,Nastavení!$A$30:$G$53,3,FALSE()),0)&lt;TODAY()),"Neschváleno po termínu cyklu. ","")))</f>
        <v/>
      </c>
    </row>
    <row r="402" spans="1:35" x14ac:dyDescent="0.2">
      <c r="A402" s="35"/>
      <c r="B402" s="11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11"/>
      <c r="N402" s="11"/>
      <c r="O402" s="11"/>
      <c r="P402" s="11"/>
      <c r="Q402" s="11"/>
      <c r="R402" s="11"/>
      <c r="S402" s="11"/>
      <c r="T402" s="35"/>
      <c r="U402" s="36"/>
      <c r="V402" s="11"/>
      <c r="W402" s="35"/>
      <c r="X402" s="35"/>
      <c r="Y402" s="36"/>
      <c r="Z402" s="11"/>
      <c r="AA402" s="35"/>
      <c r="AB402" s="36"/>
      <c r="AC402" s="35"/>
      <c r="AD402" s="35"/>
      <c r="AE402" s="37" t="str">
        <f>IF($A402="","",COUNTIFS(Připomínky!$A$4:$A$503,$A402,Připomínky!$J$4:$J$503,"Nevyřešeno"))</f>
        <v/>
      </c>
      <c r="AF402" s="37" t="str">
        <f>IF($A402="","",COUNTIFS(Publikace!$A$4:$A$503,$A402))</f>
        <v/>
      </c>
      <c r="AG402" s="38" t="str">
        <f>IF($A402="","",IF(AF402=0,"",_xlfn.MINIFS(Publikace!$E$4:$E$503,Publikace!$A$4:$A$503,$A402)))</f>
        <v/>
      </c>
      <c r="AH402" s="37" t="str">
        <f t="shared" si="6"/>
        <v/>
      </c>
      <c r="AI402" s="39" t="str">
        <f ca="1">IF($A402="","",TRIM(IF(AND($U402&lt;&gt;"",$U402&lt;TODAY(),$W402&lt;&gt;"Schváleno",$W402&lt;&gt;"Odloženo",$W402&lt;&gt;"Zrušeno"),"Po termínu odevzdání. ","")&amp;IF(AND($W402="Schváleno",OR($X402="",$Y402="")),"Schváleno bez jména / data. ","")&amp;IF(OR($G402="",$H402="",$I402="",$F402=""),"Chybí zařazení (kategorie, typ, profil nebo měsíc). ","")&amp;IF(AND(OR($I402="Honza",$I402="Radek"),OR($J402="",$J402="Nevztahuje se")),"Doplnit charakter (osobní / pracovní). ","")&amp;IF(AND($W402="Schváleno",$AE402&gt;0),"Schváleno, ale má otevřené připomínky. ","")&amp;IF(AND($AA402="Publikováno",$AF402=0),"Publikováno bez záznamu v listu Publikace. ","")&amp;IF(AND($C402&lt;&gt;"",$D402=""),"Chybí číslo dílu série. ","")&amp;IF(AND($E402&lt;&gt;"",$W402&lt;&gt;"Schváleno",$W402&lt;&gt;"Odloženo",$W402&lt;&gt;"Zrušeno",IFERROR(VLOOKUP($E402,Nastavení!$A$30:$G$53,3,FALSE()),0)&gt;0,IFERROR(VLOOKUP($E402,Nastavení!$A$30:$G$53,3,FALSE()),0)&lt;TODAY()),"Neschváleno po termínu cyklu. ","")))</f>
        <v/>
      </c>
    </row>
    <row r="403" spans="1:35" x14ac:dyDescent="0.2">
      <c r="A403" s="35"/>
      <c r="B403" s="11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11"/>
      <c r="N403" s="11"/>
      <c r="O403" s="11"/>
      <c r="P403" s="11"/>
      <c r="Q403" s="11"/>
      <c r="R403" s="11"/>
      <c r="S403" s="11"/>
      <c r="T403" s="35"/>
      <c r="U403" s="36"/>
      <c r="V403" s="11"/>
      <c r="W403" s="35"/>
      <c r="X403" s="35"/>
      <c r="Y403" s="36"/>
      <c r="Z403" s="11"/>
      <c r="AA403" s="35"/>
      <c r="AB403" s="36"/>
      <c r="AC403" s="35"/>
      <c r="AD403" s="35"/>
      <c r="AE403" s="37" t="str">
        <f>IF($A403="","",COUNTIFS(Připomínky!$A$4:$A$503,$A403,Připomínky!$J$4:$J$503,"Nevyřešeno"))</f>
        <v/>
      </c>
      <c r="AF403" s="37" t="str">
        <f>IF($A403="","",COUNTIFS(Publikace!$A$4:$A$503,$A403))</f>
        <v/>
      </c>
      <c r="AG403" s="38" t="str">
        <f>IF($A403="","",IF(AF403=0,"",_xlfn.MINIFS(Publikace!$E$4:$E$503,Publikace!$A$4:$A$503,$A403)))</f>
        <v/>
      </c>
      <c r="AH403" s="37" t="str">
        <f t="shared" si="6"/>
        <v/>
      </c>
      <c r="AI403" s="39" t="str">
        <f ca="1">IF($A403="","",TRIM(IF(AND($U403&lt;&gt;"",$U403&lt;TODAY(),$W403&lt;&gt;"Schváleno",$W403&lt;&gt;"Odloženo",$W403&lt;&gt;"Zrušeno"),"Po termínu odevzdání. ","")&amp;IF(AND($W403="Schváleno",OR($X403="",$Y403="")),"Schváleno bez jména / data. ","")&amp;IF(OR($G403="",$H403="",$I403="",$F403=""),"Chybí zařazení (kategorie, typ, profil nebo měsíc). ","")&amp;IF(AND(OR($I403="Honza",$I403="Radek"),OR($J403="",$J403="Nevztahuje se")),"Doplnit charakter (osobní / pracovní). ","")&amp;IF(AND($W403="Schváleno",$AE403&gt;0),"Schváleno, ale má otevřené připomínky. ","")&amp;IF(AND($AA403="Publikováno",$AF403=0),"Publikováno bez záznamu v listu Publikace. ","")&amp;IF(AND($C403&lt;&gt;"",$D403=""),"Chybí číslo dílu série. ","")&amp;IF(AND($E403&lt;&gt;"",$W403&lt;&gt;"Schváleno",$W403&lt;&gt;"Odloženo",$W403&lt;&gt;"Zrušeno",IFERROR(VLOOKUP($E403,Nastavení!$A$30:$G$53,3,FALSE()),0)&gt;0,IFERROR(VLOOKUP($E403,Nastavení!$A$30:$G$53,3,FALSE()),0)&lt;TODAY()),"Neschváleno po termínu cyklu. ","")))</f>
        <v/>
      </c>
    </row>
    <row r="404" spans="1:35" x14ac:dyDescent="0.2">
      <c r="A404" s="35"/>
      <c r="B404" s="11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11"/>
      <c r="N404" s="11"/>
      <c r="O404" s="11"/>
      <c r="P404" s="11"/>
      <c r="Q404" s="11"/>
      <c r="R404" s="11"/>
      <c r="S404" s="11"/>
      <c r="T404" s="35"/>
      <c r="U404" s="36"/>
      <c r="V404" s="11"/>
      <c r="W404" s="35"/>
      <c r="X404" s="35"/>
      <c r="Y404" s="36"/>
      <c r="Z404" s="11"/>
      <c r="AA404" s="35"/>
      <c r="AB404" s="36"/>
      <c r="AC404" s="35"/>
      <c r="AD404" s="35"/>
      <c r="AE404" s="37" t="str">
        <f>IF($A404="","",COUNTIFS(Připomínky!$A$4:$A$503,$A404,Připomínky!$J$4:$J$503,"Nevyřešeno"))</f>
        <v/>
      </c>
      <c r="AF404" s="37" t="str">
        <f>IF($A404="","",COUNTIFS(Publikace!$A$4:$A$503,$A404))</f>
        <v/>
      </c>
      <c r="AG404" s="38" t="str">
        <f>IF($A404="","",IF(AF404=0,"",_xlfn.MINIFS(Publikace!$E$4:$E$503,Publikace!$A$4:$A$503,$A404)))</f>
        <v/>
      </c>
      <c r="AH404" s="37" t="str">
        <f t="shared" si="6"/>
        <v/>
      </c>
      <c r="AI404" s="39" t="str">
        <f ca="1">IF($A404="","",TRIM(IF(AND($U404&lt;&gt;"",$U404&lt;TODAY(),$W404&lt;&gt;"Schváleno",$W404&lt;&gt;"Odloženo",$W404&lt;&gt;"Zrušeno"),"Po termínu odevzdání. ","")&amp;IF(AND($W404="Schváleno",OR($X404="",$Y404="")),"Schváleno bez jména / data. ","")&amp;IF(OR($G404="",$H404="",$I404="",$F404=""),"Chybí zařazení (kategorie, typ, profil nebo měsíc). ","")&amp;IF(AND(OR($I404="Honza",$I404="Radek"),OR($J404="",$J404="Nevztahuje se")),"Doplnit charakter (osobní / pracovní). ","")&amp;IF(AND($W404="Schváleno",$AE404&gt;0),"Schváleno, ale má otevřené připomínky. ","")&amp;IF(AND($AA404="Publikováno",$AF404=0),"Publikováno bez záznamu v listu Publikace. ","")&amp;IF(AND($C404&lt;&gt;"",$D404=""),"Chybí číslo dílu série. ","")&amp;IF(AND($E404&lt;&gt;"",$W404&lt;&gt;"Schváleno",$W404&lt;&gt;"Odloženo",$W404&lt;&gt;"Zrušeno",IFERROR(VLOOKUP($E404,Nastavení!$A$30:$G$53,3,FALSE()),0)&gt;0,IFERROR(VLOOKUP($E404,Nastavení!$A$30:$G$53,3,FALSE()),0)&lt;TODAY()),"Neschváleno po termínu cyklu. ","")))</f>
        <v/>
      </c>
    </row>
    <row r="405" spans="1:35" x14ac:dyDescent="0.2">
      <c r="A405" s="35"/>
      <c r="B405" s="11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11"/>
      <c r="N405" s="11"/>
      <c r="O405" s="11"/>
      <c r="P405" s="11"/>
      <c r="Q405" s="11"/>
      <c r="R405" s="11"/>
      <c r="S405" s="11"/>
      <c r="T405" s="35"/>
      <c r="U405" s="36"/>
      <c r="V405" s="11"/>
      <c r="W405" s="35"/>
      <c r="X405" s="35"/>
      <c r="Y405" s="36"/>
      <c r="Z405" s="11"/>
      <c r="AA405" s="35"/>
      <c r="AB405" s="36"/>
      <c r="AC405" s="35"/>
      <c r="AD405" s="35"/>
      <c r="AE405" s="37" t="str">
        <f>IF($A405="","",COUNTIFS(Připomínky!$A$4:$A$503,$A405,Připomínky!$J$4:$J$503,"Nevyřešeno"))</f>
        <v/>
      </c>
      <c r="AF405" s="37" t="str">
        <f>IF($A405="","",COUNTIFS(Publikace!$A$4:$A$503,$A405))</f>
        <v/>
      </c>
      <c r="AG405" s="38" t="str">
        <f>IF($A405="","",IF(AF405=0,"",_xlfn.MINIFS(Publikace!$E$4:$E$503,Publikace!$A$4:$A$503,$A405)))</f>
        <v/>
      </c>
      <c r="AH405" s="37" t="str">
        <f t="shared" si="6"/>
        <v/>
      </c>
      <c r="AI405" s="39" t="str">
        <f ca="1">IF($A405="","",TRIM(IF(AND($U405&lt;&gt;"",$U405&lt;TODAY(),$W405&lt;&gt;"Schváleno",$W405&lt;&gt;"Odloženo",$W405&lt;&gt;"Zrušeno"),"Po termínu odevzdání. ","")&amp;IF(AND($W405="Schváleno",OR($X405="",$Y405="")),"Schváleno bez jména / data. ","")&amp;IF(OR($G405="",$H405="",$I405="",$F405=""),"Chybí zařazení (kategorie, typ, profil nebo měsíc). ","")&amp;IF(AND(OR($I405="Honza",$I405="Radek"),OR($J405="",$J405="Nevztahuje se")),"Doplnit charakter (osobní / pracovní). ","")&amp;IF(AND($W405="Schváleno",$AE405&gt;0),"Schváleno, ale má otevřené připomínky. ","")&amp;IF(AND($AA405="Publikováno",$AF405=0),"Publikováno bez záznamu v listu Publikace. ","")&amp;IF(AND($C405&lt;&gt;"",$D405=""),"Chybí číslo dílu série. ","")&amp;IF(AND($E405&lt;&gt;"",$W405&lt;&gt;"Schváleno",$W405&lt;&gt;"Odloženo",$W405&lt;&gt;"Zrušeno",IFERROR(VLOOKUP($E405,Nastavení!$A$30:$G$53,3,FALSE()),0)&gt;0,IFERROR(VLOOKUP($E405,Nastavení!$A$30:$G$53,3,FALSE()),0)&lt;TODAY()),"Neschváleno po termínu cyklu. ","")))</f>
        <v/>
      </c>
    </row>
    <row r="406" spans="1:35" x14ac:dyDescent="0.2">
      <c r="A406" s="35"/>
      <c r="B406" s="11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11"/>
      <c r="N406" s="11"/>
      <c r="O406" s="11"/>
      <c r="P406" s="11"/>
      <c r="Q406" s="11"/>
      <c r="R406" s="11"/>
      <c r="S406" s="11"/>
      <c r="T406" s="35"/>
      <c r="U406" s="36"/>
      <c r="V406" s="11"/>
      <c r="W406" s="35"/>
      <c r="X406" s="35"/>
      <c r="Y406" s="36"/>
      <c r="Z406" s="11"/>
      <c r="AA406" s="35"/>
      <c r="AB406" s="36"/>
      <c r="AC406" s="35"/>
      <c r="AD406" s="35"/>
      <c r="AE406" s="37" t="str">
        <f>IF($A406="","",COUNTIFS(Připomínky!$A$4:$A$503,$A406,Připomínky!$J$4:$J$503,"Nevyřešeno"))</f>
        <v/>
      </c>
      <c r="AF406" s="37" t="str">
        <f>IF($A406="","",COUNTIFS(Publikace!$A$4:$A$503,$A406))</f>
        <v/>
      </c>
      <c r="AG406" s="38" t="str">
        <f>IF($A406="","",IF(AF406=0,"",_xlfn.MINIFS(Publikace!$E$4:$E$503,Publikace!$A$4:$A$503,$A406)))</f>
        <v/>
      </c>
      <c r="AH406" s="37" t="str">
        <f t="shared" si="6"/>
        <v/>
      </c>
      <c r="AI406" s="39" t="str">
        <f ca="1">IF($A406="","",TRIM(IF(AND($U406&lt;&gt;"",$U406&lt;TODAY(),$W406&lt;&gt;"Schváleno",$W406&lt;&gt;"Odloženo",$W406&lt;&gt;"Zrušeno"),"Po termínu odevzdání. ","")&amp;IF(AND($W406="Schváleno",OR($X406="",$Y406="")),"Schváleno bez jména / data. ","")&amp;IF(OR($G406="",$H406="",$I406="",$F406=""),"Chybí zařazení (kategorie, typ, profil nebo měsíc). ","")&amp;IF(AND(OR($I406="Honza",$I406="Radek"),OR($J406="",$J406="Nevztahuje se")),"Doplnit charakter (osobní / pracovní). ","")&amp;IF(AND($W406="Schváleno",$AE406&gt;0),"Schváleno, ale má otevřené připomínky. ","")&amp;IF(AND($AA406="Publikováno",$AF406=0),"Publikováno bez záznamu v listu Publikace. ","")&amp;IF(AND($C406&lt;&gt;"",$D406=""),"Chybí číslo dílu série. ","")&amp;IF(AND($E406&lt;&gt;"",$W406&lt;&gt;"Schváleno",$W406&lt;&gt;"Odloženo",$W406&lt;&gt;"Zrušeno",IFERROR(VLOOKUP($E406,Nastavení!$A$30:$G$53,3,FALSE()),0)&gt;0,IFERROR(VLOOKUP($E406,Nastavení!$A$30:$G$53,3,FALSE()),0)&lt;TODAY()),"Neschváleno po termínu cyklu. ","")))</f>
        <v/>
      </c>
    </row>
    <row r="407" spans="1:35" x14ac:dyDescent="0.2">
      <c r="A407" s="35"/>
      <c r="B407" s="11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11"/>
      <c r="N407" s="11"/>
      <c r="O407" s="11"/>
      <c r="P407" s="11"/>
      <c r="Q407" s="11"/>
      <c r="R407" s="11"/>
      <c r="S407" s="11"/>
      <c r="T407" s="35"/>
      <c r="U407" s="36"/>
      <c r="V407" s="11"/>
      <c r="W407" s="35"/>
      <c r="X407" s="35"/>
      <c r="Y407" s="36"/>
      <c r="Z407" s="11"/>
      <c r="AA407" s="35"/>
      <c r="AB407" s="36"/>
      <c r="AC407" s="35"/>
      <c r="AD407" s="35"/>
      <c r="AE407" s="37" t="str">
        <f>IF($A407="","",COUNTIFS(Připomínky!$A$4:$A$503,$A407,Připomínky!$J$4:$J$503,"Nevyřešeno"))</f>
        <v/>
      </c>
      <c r="AF407" s="37" t="str">
        <f>IF($A407="","",COUNTIFS(Publikace!$A$4:$A$503,$A407))</f>
        <v/>
      </c>
      <c r="AG407" s="38" t="str">
        <f>IF($A407="","",IF(AF407=0,"",_xlfn.MINIFS(Publikace!$E$4:$E$503,Publikace!$A$4:$A$503,$A407)))</f>
        <v/>
      </c>
      <c r="AH407" s="37" t="str">
        <f t="shared" si="6"/>
        <v/>
      </c>
      <c r="AI407" s="39" t="str">
        <f ca="1">IF($A407="","",TRIM(IF(AND($U407&lt;&gt;"",$U407&lt;TODAY(),$W407&lt;&gt;"Schváleno",$W407&lt;&gt;"Odloženo",$W407&lt;&gt;"Zrušeno"),"Po termínu odevzdání. ","")&amp;IF(AND($W407="Schváleno",OR($X407="",$Y407="")),"Schváleno bez jména / data. ","")&amp;IF(OR($G407="",$H407="",$I407="",$F407=""),"Chybí zařazení (kategorie, typ, profil nebo měsíc). ","")&amp;IF(AND(OR($I407="Honza",$I407="Radek"),OR($J407="",$J407="Nevztahuje se")),"Doplnit charakter (osobní / pracovní). ","")&amp;IF(AND($W407="Schváleno",$AE407&gt;0),"Schváleno, ale má otevřené připomínky. ","")&amp;IF(AND($AA407="Publikováno",$AF407=0),"Publikováno bez záznamu v listu Publikace. ","")&amp;IF(AND($C407&lt;&gt;"",$D407=""),"Chybí číslo dílu série. ","")&amp;IF(AND($E407&lt;&gt;"",$W407&lt;&gt;"Schváleno",$W407&lt;&gt;"Odloženo",$W407&lt;&gt;"Zrušeno",IFERROR(VLOOKUP($E407,Nastavení!$A$30:$G$53,3,FALSE()),0)&gt;0,IFERROR(VLOOKUP($E407,Nastavení!$A$30:$G$53,3,FALSE()),0)&lt;TODAY()),"Neschváleno po termínu cyklu. ","")))</f>
        <v/>
      </c>
    </row>
    <row r="408" spans="1:35" x14ac:dyDescent="0.2">
      <c r="A408" s="35"/>
      <c r="B408" s="11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11"/>
      <c r="N408" s="11"/>
      <c r="O408" s="11"/>
      <c r="P408" s="11"/>
      <c r="Q408" s="11"/>
      <c r="R408" s="11"/>
      <c r="S408" s="11"/>
      <c r="T408" s="35"/>
      <c r="U408" s="36"/>
      <c r="V408" s="11"/>
      <c r="W408" s="35"/>
      <c r="X408" s="35"/>
      <c r="Y408" s="36"/>
      <c r="Z408" s="11"/>
      <c r="AA408" s="35"/>
      <c r="AB408" s="36"/>
      <c r="AC408" s="35"/>
      <c r="AD408" s="35"/>
      <c r="AE408" s="37" t="str">
        <f>IF($A408="","",COUNTIFS(Připomínky!$A$4:$A$503,$A408,Připomínky!$J$4:$J$503,"Nevyřešeno"))</f>
        <v/>
      </c>
      <c r="AF408" s="37" t="str">
        <f>IF($A408="","",COUNTIFS(Publikace!$A$4:$A$503,$A408))</f>
        <v/>
      </c>
      <c r="AG408" s="38" t="str">
        <f>IF($A408="","",IF(AF408=0,"",_xlfn.MINIFS(Publikace!$E$4:$E$503,Publikace!$A$4:$A$503,$A408)))</f>
        <v/>
      </c>
      <c r="AH408" s="37" t="str">
        <f t="shared" si="6"/>
        <v/>
      </c>
      <c r="AI408" s="39" t="str">
        <f ca="1">IF($A408="","",TRIM(IF(AND($U408&lt;&gt;"",$U408&lt;TODAY(),$W408&lt;&gt;"Schváleno",$W408&lt;&gt;"Odloženo",$W408&lt;&gt;"Zrušeno"),"Po termínu odevzdání. ","")&amp;IF(AND($W408="Schváleno",OR($X408="",$Y408="")),"Schváleno bez jména / data. ","")&amp;IF(OR($G408="",$H408="",$I408="",$F408=""),"Chybí zařazení (kategorie, typ, profil nebo měsíc). ","")&amp;IF(AND(OR($I408="Honza",$I408="Radek"),OR($J408="",$J408="Nevztahuje se")),"Doplnit charakter (osobní / pracovní). ","")&amp;IF(AND($W408="Schváleno",$AE408&gt;0),"Schváleno, ale má otevřené připomínky. ","")&amp;IF(AND($AA408="Publikováno",$AF408=0),"Publikováno bez záznamu v listu Publikace. ","")&amp;IF(AND($C408&lt;&gt;"",$D408=""),"Chybí číslo dílu série. ","")&amp;IF(AND($E408&lt;&gt;"",$W408&lt;&gt;"Schváleno",$W408&lt;&gt;"Odloženo",$W408&lt;&gt;"Zrušeno",IFERROR(VLOOKUP($E408,Nastavení!$A$30:$G$53,3,FALSE()),0)&gt;0,IFERROR(VLOOKUP($E408,Nastavení!$A$30:$G$53,3,FALSE()),0)&lt;TODAY()),"Neschváleno po termínu cyklu. ","")))</f>
        <v/>
      </c>
    </row>
    <row r="409" spans="1:35" x14ac:dyDescent="0.2">
      <c r="A409" s="35"/>
      <c r="B409" s="11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11"/>
      <c r="N409" s="11"/>
      <c r="O409" s="11"/>
      <c r="P409" s="11"/>
      <c r="Q409" s="11"/>
      <c r="R409" s="11"/>
      <c r="S409" s="11"/>
      <c r="T409" s="35"/>
      <c r="U409" s="36"/>
      <c r="V409" s="11"/>
      <c r="W409" s="35"/>
      <c r="X409" s="35"/>
      <c r="Y409" s="36"/>
      <c r="Z409" s="11"/>
      <c r="AA409" s="35"/>
      <c r="AB409" s="36"/>
      <c r="AC409" s="35"/>
      <c r="AD409" s="35"/>
      <c r="AE409" s="37" t="str">
        <f>IF($A409="","",COUNTIFS(Připomínky!$A$4:$A$503,$A409,Připomínky!$J$4:$J$503,"Nevyřešeno"))</f>
        <v/>
      </c>
      <c r="AF409" s="37" t="str">
        <f>IF($A409="","",COUNTIFS(Publikace!$A$4:$A$503,$A409))</f>
        <v/>
      </c>
      <c r="AG409" s="38" t="str">
        <f>IF($A409="","",IF(AF409=0,"",_xlfn.MINIFS(Publikace!$E$4:$E$503,Publikace!$A$4:$A$503,$A409)))</f>
        <v/>
      </c>
      <c r="AH409" s="37" t="str">
        <f t="shared" si="6"/>
        <v/>
      </c>
      <c r="AI409" s="39" t="str">
        <f ca="1">IF($A409="","",TRIM(IF(AND($U409&lt;&gt;"",$U409&lt;TODAY(),$W409&lt;&gt;"Schváleno",$W409&lt;&gt;"Odloženo",$W409&lt;&gt;"Zrušeno"),"Po termínu odevzdání. ","")&amp;IF(AND($W409="Schváleno",OR($X409="",$Y409="")),"Schváleno bez jména / data. ","")&amp;IF(OR($G409="",$H409="",$I409="",$F409=""),"Chybí zařazení (kategorie, typ, profil nebo měsíc). ","")&amp;IF(AND(OR($I409="Honza",$I409="Radek"),OR($J409="",$J409="Nevztahuje se")),"Doplnit charakter (osobní / pracovní). ","")&amp;IF(AND($W409="Schváleno",$AE409&gt;0),"Schváleno, ale má otevřené připomínky. ","")&amp;IF(AND($AA409="Publikováno",$AF409=0),"Publikováno bez záznamu v listu Publikace. ","")&amp;IF(AND($C409&lt;&gt;"",$D409=""),"Chybí číslo dílu série. ","")&amp;IF(AND($E409&lt;&gt;"",$W409&lt;&gt;"Schváleno",$W409&lt;&gt;"Odloženo",$W409&lt;&gt;"Zrušeno",IFERROR(VLOOKUP($E409,Nastavení!$A$30:$G$53,3,FALSE()),0)&gt;0,IFERROR(VLOOKUP($E409,Nastavení!$A$30:$G$53,3,FALSE()),0)&lt;TODAY()),"Neschváleno po termínu cyklu. ","")))</f>
        <v/>
      </c>
    </row>
    <row r="410" spans="1:35" x14ac:dyDescent="0.2">
      <c r="A410" s="35"/>
      <c r="B410" s="11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11"/>
      <c r="N410" s="11"/>
      <c r="O410" s="11"/>
      <c r="P410" s="11"/>
      <c r="Q410" s="11"/>
      <c r="R410" s="11"/>
      <c r="S410" s="11"/>
      <c r="T410" s="35"/>
      <c r="U410" s="36"/>
      <c r="V410" s="11"/>
      <c r="W410" s="35"/>
      <c r="X410" s="35"/>
      <c r="Y410" s="36"/>
      <c r="Z410" s="11"/>
      <c r="AA410" s="35"/>
      <c r="AB410" s="36"/>
      <c r="AC410" s="35"/>
      <c r="AD410" s="35"/>
      <c r="AE410" s="37" t="str">
        <f>IF($A410="","",COUNTIFS(Připomínky!$A$4:$A$503,$A410,Připomínky!$J$4:$J$503,"Nevyřešeno"))</f>
        <v/>
      </c>
      <c r="AF410" s="37" t="str">
        <f>IF($A410="","",COUNTIFS(Publikace!$A$4:$A$503,$A410))</f>
        <v/>
      </c>
      <c r="AG410" s="38" t="str">
        <f>IF($A410="","",IF(AF410=0,"",_xlfn.MINIFS(Publikace!$E$4:$E$503,Publikace!$A$4:$A$503,$A410)))</f>
        <v/>
      </c>
      <c r="AH410" s="37" t="str">
        <f t="shared" si="6"/>
        <v/>
      </c>
      <c r="AI410" s="39" t="str">
        <f ca="1">IF($A410="","",TRIM(IF(AND($U410&lt;&gt;"",$U410&lt;TODAY(),$W410&lt;&gt;"Schváleno",$W410&lt;&gt;"Odloženo",$W410&lt;&gt;"Zrušeno"),"Po termínu odevzdání. ","")&amp;IF(AND($W410="Schváleno",OR($X410="",$Y410="")),"Schváleno bez jména / data. ","")&amp;IF(OR($G410="",$H410="",$I410="",$F410=""),"Chybí zařazení (kategorie, typ, profil nebo měsíc). ","")&amp;IF(AND(OR($I410="Honza",$I410="Radek"),OR($J410="",$J410="Nevztahuje se")),"Doplnit charakter (osobní / pracovní). ","")&amp;IF(AND($W410="Schváleno",$AE410&gt;0),"Schváleno, ale má otevřené připomínky. ","")&amp;IF(AND($AA410="Publikováno",$AF410=0),"Publikováno bez záznamu v listu Publikace. ","")&amp;IF(AND($C410&lt;&gt;"",$D410=""),"Chybí číslo dílu série. ","")&amp;IF(AND($E410&lt;&gt;"",$W410&lt;&gt;"Schváleno",$W410&lt;&gt;"Odloženo",$W410&lt;&gt;"Zrušeno",IFERROR(VLOOKUP($E410,Nastavení!$A$30:$G$53,3,FALSE()),0)&gt;0,IFERROR(VLOOKUP($E410,Nastavení!$A$30:$G$53,3,FALSE()),0)&lt;TODAY()),"Neschváleno po termínu cyklu. ","")))</f>
        <v/>
      </c>
    </row>
    <row r="411" spans="1:35" x14ac:dyDescent="0.2">
      <c r="A411" s="35"/>
      <c r="B411" s="11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11"/>
      <c r="N411" s="11"/>
      <c r="O411" s="11"/>
      <c r="P411" s="11"/>
      <c r="Q411" s="11"/>
      <c r="R411" s="11"/>
      <c r="S411" s="11"/>
      <c r="T411" s="35"/>
      <c r="U411" s="36"/>
      <c r="V411" s="11"/>
      <c r="W411" s="35"/>
      <c r="X411" s="35"/>
      <c r="Y411" s="36"/>
      <c r="Z411" s="11"/>
      <c r="AA411" s="35"/>
      <c r="AB411" s="36"/>
      <c r="AC411" s="35"/>
      <c r="AD411" s="35"/>
      <c r="AE411" s="37" t="str">
        <f>IF($A411="","",COUNTIFS(Připomínky!$A$4:$A$503,$A411,Připomínky!$J$4:$J$503,"Nevyřešeno"))</f>
        <v/>
      </c>
      <c r="AF411" s="37" t="str">
        <f>IF($A411="","",COUNTIFS(Publikace!$A$4:$A$503,$A411))</f>
        <v/>
      </c>
      <c r="AG411" s="38" t="str">
        <f>IF($A411="","",IF(AF411=0,"",_xlfn.MINIFS(Publikace!$E$4:$E$503,Publikace!$A$4:$A$503,$A411)))</f>
        <v/>
      </c>
      <c r="AH411" s="37" t="str">
        <f t="shared" si="6"/>
        <v/>
      </c>
      <c r="AI411" s="39" t="str">
        <f ca="1">IF($A411="","",TRIM(IF(AND($U411&lt;&gt;"",$U411&lt;TODAY(),$W411&lt;&gt;"Schváleno",$W411&lt;&gt;"Odloženo",$W411&lt;&gt;"Zrušeno"),"Po termínu odevzdání. ","")&amp;IF(AND($W411="Schváleno",OR($X411="",$Y411="")),"Schváleno bez jména / data. ","")&amp;IF(OR($G411="",$H411="",$I411="",$F411=""),"Chybí zařazení (kategorie, typ, profil nebo měsíc). ","")&amp;IF(AND(OR($I411="Honza",$I411="Radek"),OR($J411="",$J411="Nevztahuje se")),"Doplnit charakter (osobní / pracovní). ","")&amp;IF(AND($W411="Schváleno",$AE411&gt;0),"Schváleno, ale má otevřené připomínky. ","")&amp;IF(AND($AA411="Publikováno",$AF411=0),"Publikováno bez záznamu v listu Publikace. ","")&amp;IF(AND($C411&lt;&gt;"",$D411=""),"Chybí číslo dílu série. ","")&amp;IF(AND($E411&lt;&gt;"",$W411&lt;&gt;"Schváleno",$W411&lt;&gt;"Odloženo",$W411&lt;&gt;"Zrušeno",IFERROR(VLOOKUP($E411,Nastavení!$A$30:$G$53,3,FALSE()),0)&gt;0,IFERROR(VLOOKUP($E411,Nastavení!$A$30:$G$53,3,FALSE()),0)&lt;TODAY()),"Neschváleno po termínu cyklu. ","")))</f>
        <v/>
      </c>
    </row>
    <row r="412" spans="1:35" x14ac:dyDescent="0.2">
      <c r="A412" s="35"/>
      <c r="B412" s="11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11"/>
      <c r="N412" s="11"/>
      <c r="O412" s="11"/>
      <c r="P412" s="11"/>
      <c r="Q412" s="11"/>
      <c r="R412" s="11"/>
      <c r="S412" s="11"/>
      <c r="T412" s="35"/>
      <c r="U412" s="36"/>
      <c r="V412" s="11"/>
      <c r="W412" s="35"/>
      <c r="X412" s="35"/>
      <c r="Y412" s="36"/>
      <c r="Z412" s="11"/>
      <c r="AA412" s="35"/>
      <c r="AB412" s="36"/>
      <c r="AC412" s="35"/>
      <c r="AD412" s="35"/>
      <c r="AE412" s="37" t="str">
        <f>IF($A412="","",COUNTIFS(Připomínky!$A$4:$A$503,$A412,Připomínky!$J$4:$J$503,"Nevyřešeno"))</f>
        <v/>
      </c>
      <c r="AF412" s="37" t="str">
        <f>IF($A412="","",COUNTIFS(Publikace!$A$4:$A$503,$A412))</f>
        <v/>
      </c>
      <c r="AG412" s="38" t="str">
        <f>IF($A412="","",IF(AF412=0,"",_xlfn.MINIFS(Publikace!$E$4:$E$503,Publikace!$A$4:$A$503,$A412)))</f>
        <v/>
      </c>
      <c r="AH412" s="37" t="str">
        <f t="shared" si="6"/>
        <v/>
      </c>
      <c r="AI412" s="39" t="str">
        <f ca="1">IF($A412="","",TRIM(IF(AND($U412&lt;&gt;"",$U412&lt;TODAY(),$W412&lt;&gt;"Schváleno",$W412&lt;&gt;"Odloženo",$W412&lt;&gt;"Zrušeno"),"Po termínu odevzdání. ","")&amp;IF(AND($W412="Schváleno",OR($X412="",$Y412="")),"Schváleno bez jména / data. ","")&amp;IF(OR($G412="",$H412="",$I412="",$F412=""),"Chybí zařazení (kategorie, typ, profil nebo měsíc). ","")&amp;IF(AND(OR($I412="Honza",$I412="Radek"),OR($J412="",$J412="Nevztahuje se")),"Doplnit charakter (osobní / pracovní). ","")&amp;IF(AND($W412="Schváleno",$AE412&gt;0),"Schváleno, ale má otevřené připomínky. ","")&amp;IF(AND($AA412="Publikováno",$AF412=0),"Publikováno bez záznamu v listu Publikace. ","")&amp;IF(AND($C412&lt;&gt;"",$D412=""),"Chybí číslo dílu série. ","")&amp;IF(AND($E412&lt;&gt;"",$W412&lt;&gt;"Schváleno",$W412&lt;&gt;"Odloženo",$W412&lt;&gt;"Zrušeno",IFERROR(VLOOKUP($E412,Nastavení!$A$30:$G$53,3,FALSE()),0)&gt;0,IFERROR(VLOOKUP($E412,Nastavení!$A$30:$G$53,3,FALSE()),0)&lt;TODAY()),"Neschváleno po termínu cyklu. ","")))</f>
        <v/>
      </c>
    </row>
    <row r="413" spans="1:35" x14ac:dyDescent="0.2">
      <c r="A413" s="35"/>
      <c r="B413" s="11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11"/>
      <c r="N413" s="11"/>
      <c r="O413" s="11"/>
      <c r="P413" s="11"/>
      <c r="Q413" s="11"/>
      <c r="R413" s="11"/>
      <c r="S413" s="11"/>
      <c r="T413" s="35"/>
      <c r="U413" s="36"/>
      <c r="V413" s="11"/>
      <c r="W413" s="35"/>
      <c r="X413" s="35"/>
      <c r="Y413" s="36"/>
      <c r="Z413" s="11"/>
      <c r="AA413" s="35"/>
      <c r="AB413" s="36"/>
      <c r="AC413" s="35"/>
      <c r="AD413" s="35"/>
      <c r="AE413" s="37" t="str">
        <f>IF($A413="","",COUNTIFS(Připomínky!$A$4:$A$503,$A413,Připomínky!$J$4:$J$503,"Nevyřešeno"))</f>
        <v/>
      </c>
      <c r="AF413" s="37" t="str">
        <f>IF($A413="","",COUNTIFS(Publikace!$A$4:$A$503,$A413))</f>
        <v/>
      </c>
      <c r="AG413" s="38" t="str">
        <f>IF($A413="","",IF(AF413=0,"",_xlfn.MINIFS(Publikace!$E$4:$E$503,Publikace!$A$4:$A$503,$A413)))</f>
        <v/>
      </c>
      <c r="AH413" s="37" t="str">
        <f t="shared" si="6"/>
        <v/>
      </c>
      <c r="AI413" s="39" t="str">
        <f ca="1">IF($A413="","",TRIM(IF(AND($U413&lt;&gt;"",$U413&lt;TODAY(),$W413&lt;&gt;"Schváleno",$W413&lt;&gt;"Odloženo",$W413&lt;&gt;"Zrušeno"),"Po termínu odevzdání. ","")&amp;IF(AND($W413="Schváleno",OR($X413="",$Y413="")),"Schváleno bez jména / data. ","")&amp;IF(OR($G413="",$H413="",$I413="",$F413=""),"Chybí zařazení (kategorie, typ, profil nebo měsíc). ","")&amp;IF(AND(OR($I413="Honza",$I413="Radek"),OR($J413="",$J413="Nevztahuje se")),"Doplnit charakter (osobní / pracovní). ","")&amp;IF(AND($W413="Schváleno",$AE413&gt;0),"Schváleno, ale má otevřené připomínky. ","")&amp;IF(AND($AA413="Publikováno",$AF413=0),"Publikováno bez záznamu v listu Publikace. ","")&amp;IF(AND($C413&lt;&gt;"",$D413=""),"Chybí číslo dílu série. ","")&amp;IF(AND($E413&lt;&gt;"",$W413&lt;&gt;"Schváleno",$W413&lt;&gt;"Odloženo",$W413&lt;&gt;"Zrušeno",IFERROR(VLOOKUP($E413,Nastavení!$A$30:$G$53,3,FALSE()),0)&gt;0,IFERROR(VLOOKUP($E413,Nastavení!$A$30:$G$53,3,FALSE()),0)&lt;TODAY()),"Neschváleno po termínu cyklu. ","")))</f>
        <v/>
      </c>
    </row>
    <row r="414" spans="1:35" x14ac:dyDescent="0.2">
      <c r="A414" s="35"/>
      <c r="B414" s="11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11"/>
      <c r="N414" s="11"/>
      <c r="O414" s="11"/>
      <c r="P414" s="11"/>
      <c r="Q414" s="11"/>
      <c r="R414" s="11"/>
      <c r="S414" s="11"/>
      <c r="T414" s="35"/>
      <c r="U414" s="36"/>
      <c r="V414" s="11"/>
      <c r="W414" s="35"/>
      <c r="X414" s="35"/>
      <c r="Y414" s="36"/>
      <c r="Z414" s="11"/>
      <c r="AA414" s="35"/>
      <c r="AB414" s="36"/>
      <c r="AC414" s="35"/>
      <c r="AD414" s="35"/>
      <c r="AE414" s="37" t="str">
        <f>IF($A414="","",COUNTIFS(Připomínky!$A$4:$A$503,$A414,Připomínky!$J$4:$J$503,"Nevyřešeno"))</f>
        <v/>
      </c>
      <c r="AF414" s="37" t="str">
        <f>IF($A414="","",COUNTIFS(Publikace!$A$4:$A$503,$A414))</f>
        <v/>
      </c>
      <c r="AG414" s="38" t="str">
        <f>IF($A414="","",IF(AF414=0,"",_xlfn.MINIFS(Publikace!$E$4:$E$503,Publikace!$A$4:$A$503,$A414)))</f>
        <v/>
      </c>
      <c r="AH414" s="37" t="str">
        <f t="shared" si="6"/>
        <v/>
      </c>
      <c r="AI414" s="39" t="str">
        <f ca="1">IF($A414="","",TRIM(IF(AND($U414&lt;&gt;"",$U414&lt;TODAY(),$W414&lt;&gt;"Schváleno",$W414&lt;&gt;"Odloženo",$W414&lt;&gt;"Zrušeno"),"Po termínu odevzdání. ","")&amp;IF(AND($W414="Schváleno",OR($X414="",$Y414="")),"Schváleno bez jména / data. ","")&amp;IF(OR($G414="",$H414="",$I414="",$F414=""),"Chybí zařazení (kategorie, typ, profil nebo měsíc). ","")&amp;IF(AND(OR($I414="Honza",$I414="Radek"),OR($J414="",$J414="Nevztahuje se")),"Doplnit charakter (osobní / pracovní). ","")&amp;IF(AND($W414="Schváleno",$AE414&gt;0),"Schváleno, ale má otevřené připomínky. ","")&amp;IF(AND($AA414="Publikováno",$AF414=0),"Publikováno bez záznamu v listu Publikace. ","")&amp;IF(AND($C414&lt;&gt;"",$D414=""),"Chybí číslo dílu série. ","")&amp;IF(AND($E414&lt;&gt;"",$W414&lt;&gt;"Schváleno",$W414&lt;&gt;"Odloženo",$W414&lt;&gt;"Zrušeno",IFERROR(VLOOKUP($E414,Nastavení!$A$30:$G$53,3,FALSE()),0)&gt;0,IFERROR(VLOOKUP($E414,Nastavení!$A$30:$G$53,3,FALSE()),0)&lt;TODAY()),"Neschváleno po termínu cyklu. ","")))</f>
        <v/>
      </c>
    </row>
    <row r="415" spans="1:35" x14ac:dyDescent="0.2">
      <c r="A415" s="35"/>
      <c r="B415" s="11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11"/>
      <c r="N415" s="11"/>
      <c r="O415" s="11"/>
      <c r="P415" s="11"/>
      <c r="Q415" s="11"/>
      <c r="R415" s="11"/>
      <c r="S415" s="11"/>
      <c r="T415" s="35"/>
      <c r="U415" s="36"/>
      <c r="V415" s="11"/>
      <c r="W415" s="35"/>
      <c r="X415" s="35"/>
      <c r="Y415" s="36"/>
      <c r="Z415" s="11"/>
      <c r="AA415" s="35"/>
      <c r="AB415" s="36"/>
      <c r="AC415" s="35"/>
      <c r="AD415" s="35"/>
      <c r="AE415" s="37" t="str">
        <f>IF($A415="","",COUNTIFS(Připomínky!$A$4:$A$503,$A415,Připomínky!$J$4:$J$503,"Nevyřešeno"))</f>
        <v/>
      </c>
      <c r="AF415" s="37" t="str">
        <f>IF($A415="","",COUNTIFS(Publikace!$A$4:$A$503,$A415))</f>
        <v/>
      </c>
      <c r="AG415" s="38" t="str">
        <f>IF($A415="","",IF(AF415=0,"",_xlfn.MINIFS(Publikace!$E$4:$E$503,Publikace!$A$4:$A$503,$A415)))</f>
        <v/>
      </c>
      <c r="AH415" s="37" t="str">
        <f t="shared" si="6"/>
        <v/>
      </c>
      <c r="AI415" s="39" t="str">
        <f ca="1">IF($A415="","",TRIM(IF(AND($U415&lt;&gt;"",$U415&lt;TODAY(),$W415&lt;&gt;"Schváleno",$W415&lt;&gt;"Odloženo",$W415&lt;&gt;"Zrušeno"),"Po termínu odevzdání. ","")&amp;IF(AND($W415="Schváleno",OR($X415="",$Y415="")),"Schváleno bez jména / data. ","")&amp;IF(OR($G415="",$H415="",$I415="",$F415=""),"Chybí zařazení (kategorie, typ, profil nebo měsíc). ","")&amp;IF(AND(OR($I415="Honza",$I415="Radek"),OR($J415="",$J415="Nevztahuje se")),"Doplnit charakter (osobní / pracovní). ","")&amp;IF(AND($W415="Schváleno",$AE415&gt;0),"Schváleno, ale má otevřené připomínky. ","")&amp;IF(AND($AA415="Publikováno",$AF415=0),"Publikováno bez záznamu v listu Publikace. ","")&amp;IF(AND($C415&lt;&gt;"",$D415=""),"Chybí číslo dílu série. ","")&amp;IF(AND($E415&lt;&gt;"",$W415&lt;&gt;"Schváleno",$W415&lt;&gt;"Odloženo",$W415&lt;&gt;"Zrušeno",IFERROR(VLOOKUP($E415,Nastavení!$A$30:$G$53,3,FALSE()),0)&gt;0,IFERROR(VLOOKUP($E415,Nastavení!$A$30:$G$53,3,FALSE()),0)&lt;TODAY()),"Neschváleno po termínu cyklu. ","")))</f>
        <v/>
      </c>
    </row>
    <row r="416" spans="1:35" x14ac:dyDescent="0.2">
      <c r="A416" s="35"/>
      <c r="B416" s="11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11"/>
      <c r="N416" s="11"/>
      <c r="O416" s="11"/>
      <c r="P416" s="11"/>
      <c r="Q416" s="11"/>
      <c r="R416" s="11"/>
      <c r="S416" s="11"/>
      <c r="T416" s="35"/>
      <c r="U416" s="36"/>
      <c r="V416" s="11"/>
      <c r="W416" s="35"/>
      <c r="X416" s="35"/>
      <c r="Y416" s="36"/>
      <c r="Z416" s="11"/>
      <c r="AA416" s="35"/>
      <c r="AB416" s="36"/>
      <c r="AC416" s="35"/>
      <c r="AD416" s="35"/>
      <c r="AE416" s="37" t="str">
        <f>IF($A416="","",COUNTIFS(Připomínky!$A$4:$A$503,$A416,Připomínky!$J$4:$J$503,"Nevyřešeno"))</f>
        <v/>
      </c>
      <c r="AF416" s="37" t="str">
        <f>IF($A416="","",COUNTIFS(Publikace!$A$4:$A$503,$A416))</f>
        <v/>
      </c>
      <c r="AG416" s="38" t="str">
        <f>IF($A416="","",IF(AF416=0,"",_xlfn.MINIFS(Publikace!$E$4:$E$503,Publikace!$A$4:$A$503,$A416)))</f>
        <v/>
      </c>
      <c r="AH416" s="37" t="str">
        <f t="shared" si="6"/>
        <v/>
      </c>
      <c r="AI416" s="39" t="str">
        <f ca="1">IF($A416="","",TRIM(IF(AND($U416&lt;&gt;"",$U416&lt;TODAY(),$W416&lt;&gt;"Schváleno",$W416&lt;&gt;"Odloženo",$W416&lt;&gt;"Zrušeno"),"Po termínu odevzdání. ","")&amp;IF(AND($W416="Schváleno",OR($X416="",$Y416="")),"Schváleno bez jména / data. ","")&amp;IF(OR($G416="",$H416="",$I416="",$F416=""),"Chybí zařazení (kategorie, typ, profil nebo měsíc). ","")&amp;IF(AND(OR($I416="Honza",$I416="Radek"),OR($J416="",$J416="Nevztahuje se")),"Doplnit charakter (osobní / pracovní). ","")&amp;IF(AND($W416="Schváleno",$AE416&gt;0),"Schváleno, ale má otevřené připomínky. ","")&amp;IF(AND($AA416="Publikováno",$AF416=0),"Publikováno bez záznamu v listu Publikace. ","")&amp;IF(AND($C416&lt;&gt;"",$D416=""),"Chybí číslo dílu série. ","")&amp;IF(AND($E416&lt;&gt;"",$W416&lt;&gt;"Schváleno",$W416&lt;&gt;"Odloženo",$W416&lt;&gt;"Zrušeno",IFERROR(VLOOKUP($E416,Nastavení!$A$30:$G$53,3,FALSE()),0)&gt;0,IFERROR(VLOOKUP($E416,Nastavení!$A$30:$G$53,3,FALSE()),0)&lt;TODAY()),"Neschváleno po termínu cyklu. ","")))</f>
        <v/>
      </c>
    </row>
    <row r="417" spans="1:35" x14ac:dyDescent="0.2">
      <c r="A417" s="35"/>
      <c r="B417" s="11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11"/>
      <c r="N417" s="11"/>
      <c r="O417" s="11"/>
      <c r="P417" s="11"/>
      <c r="Q417" s="11"/>
      <c r="R417" s="11"/>
      <c r="S417" s="11"/>
      <c r="T417" s="35"/>
      <c r="U417" s="36"/>
      <c r="V417" s="11"/>
      <c r="W417" s="35"/>
      <c r="X417" s="35"/>
      <c r="Y417" s="36"/>
      <c r="Z417" s="11"/>
      <c r="AA417" s="35"/>
      <c r="AB417" s="36"/>
      <c r="AC417" s="35"/>
      <c r="AD417" s="35"/>
      <c r="AE417" s="37" t="str">
        <f>IF($A417="","",COUNTIFS(Připomínky!$A$4:$A$503,$A417,Připomínky!$J$4:$J$503,"Nevyřešeno"))</f>
        <v/>
      </c>
      <c r="AF417" s="37" t="str">
        <f>IF($A417="","",COUNTIFS(Publikace!$A$4:$A$503,$A417))</f>
        <v/>
      </c>
      <c r="AG417" s="38" t="str">
        <f>IF($A417="","",IF(AF417=0,"",_xlfn.MINIFS(Publikace!$E$4:$E$503,Publikace!$A$4:$A$503,$A417)))</f>
        <v/>
      </c>
      <c r="AH417" s="37" t="str">
        <f t="shared" si="6"/>
        <v/>
      </c>
      <c r="AI417" s="39" t="str">
        <f ca="1">IF($A417="","",TRIM(IF(AND($U417&lt;&gt;"",$U417&lt;TODAY(),$W417&lt;&gt;"Schváleno",$W417&lt;&gt;"Odloženo",$W417&lt;&gt;"Zrušeno"),"Po termínu odevzdání. ","")&amp;IF(AND($W417="Schváleno",OR($X417="",$Y417="")),"Schváleno bez jména / data. ","")&amp;IF(OR($G417="",$H417="",$I417="",$F417=""),"Chybí zařazení (kategorie, typ, profil nebo měsíc). ","")&amp;IF(AND(OR($I417="Honza",$I417="Radek"),OR($J417="",$J417="Nevztahuje se")),"Doplnit charakter (osobní / pracovní). ","")&amp;IF(AND($W417="Schváleno",$AE417&gt;0),"Schváleno, ale má otevřené připomínky. ","")&amp;IF(AND($AA417="Publikováno",$AF417=0),"Publikováno bez záznamu v listu Publikace. ","")&amp;IF(AND($C417&lt;&gt;"",$D417=""),"Chybí číslo dílu série. ","")&amp;IF(AND($E417&lt;&gt;"",$W417&lt;&gt;"Schváleno",$W417&lt;&gt;"Odloženo",$W417&lt;&gt;"Zrušeno",IFERROR(VLOOKUP($E417,Nastavení!$A$30:$G$53,3,FALSE()),0)&gt;0,IFERROR(VLOOKUP($E417,Nastavení!$A$30:$G$53,3,FALSE()),0)&lt;TODAY()),"Neschváleno po termínu cyklu. ","")))</f>
        <v/>
      </c>
    </row>
    <row r="418" spans="1:35" x14ac:dyDescent="0.2">
      <c r="A418" s="35"/>
      <c r="B418" s="11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11"/>
      <c r="N418" s="11"/>
      <c r="O418" s="11"/>
      <c r="P418" s="11"/>
      <c r="Q418" s="11"/>
      <c r="R418" s="11"/>
      <c r="S418" s="11"/>
      <c r="T418" s="35"/>
      <c r="U418" s="36"/>
      <c r="V418" s="11"/>
      <c r="W418" s="35"/>
      <c r="X418" s="35"/>
      <c r="Y418" s="36"/>
      <c r="Z418" s="11"/>
      <c r="AA418" s="35"/>
      <c r="AB418" s="36"/>
      <c r="AC418" s="35"/>
      <c r="AD418" s="35"/>
      <c r="AE418" s="37" t="str">
        <f>IF($A418="","",COUNTIFS(Připomínky!$A$4:$A$503,$A418,Připomínky!$J$4:$J$503,"Nevyřešeno"))</f>
        <v/>
      </c>
      <c r="AF418" s="37" t="str">
        <f>IF($A418="","",COUNTIFS(Publikace!$A$4:$A$503,$A418))</f>
        <v/>
      </c>
      <c r="AG418" s="38" t="str">
        <f>IF($A418="","",IF(AF418=0,"",_xlfn.MINIFS(Publikace!$E$4:$E$503,Publikace!$A$4:$A$503,$A418)))</f>
        <v/>
      </c>
      <c r="AH418" s="37" t="str">
        <f t="shared" si="6"/>
        <v/>
      </c>
      <c r="AI418" s="39" t="str">
        <f ca="1">IF($A418="","",TRIM(IF(AND($U418&lt;&gt;"",$U418&lt;TODAY(),$W418&lt;&gt;"Schváleno",$W418&lt;&gt;"Odloženo",$W418&lt;&gt;"Zrušeno"),"Po termínu odevzdání. ","")&amp;IF(AND($W418="Schváleno",OR($X418="",$Y418="")),"Schváleno bez jména / data. ","")&amp;IF(OR($G418="",$H418="",$I418="",$F418=""),"Chybí zařazení (kategorie, typ, profil nebo měsíc). ","")&amp;IF(AND(OR($I418="Honza",$I418="Radek"),OR($J418="",$J418="Nevztahuje se")),"Doplnit charakter (osobní / pracovní). ","")&amp;IF(AND($W418="Schváleno",$AE418&gt;0),"Schváleno, ale má otevřené připomínky. ","")&amp;IF(AND($AA418="Publikováno",$AF418=0),"Publikováno bez záznamu v listu Publikace. ","")&amp;IF(AND($C418&lt;&gt;"",$D418=""),"Chybí číslo dílu série. ","")&amp;IF(AND($E418&lt;&gt;"",$W418&lt;&gt;"Schváleno",$W418&lt;&gt;"Odloženo",$W418&lt;&gt;"Zrušeno",IFERROR(VLOOKUP($E418,Nastavení!$A$30:$G$53,3,FALSE()),0)&gt;0,IFERROR(VLOOKUP($E418,Nastavení!$A$30:$G$53,3,FALSE()),0)&lt;TODAY()),"Neschváleno po termínu cyklu. ","")))</f>
        <v/>
      </c>
    </row>
    <row r="419" spans="1:35" x14ac:dyDescent="0.2">
      <c r="A419" s="35"/>
      <c r="B419" s="11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11"/>
      <c r="N419" s="11"/>
      <c r="O419" s="11"/>
      <c r="P419" s="11"/>
      <c r="Q419" s="11"/>
      <c r="R419" s="11"/>
      <c r="S419" s="11"/>
      <c r="T419" s="35"/>
      <c r="U419" s="36"/>
      <c r="V419" s="11"/>
      <c r="W419" s="35"/>
      <c r="X419" s="35"/>
      <c r="Y419" s="36"/>
      <c r="Z419" s="11"/>
      <c r="AA419" s="35"/>
      <c r="AB419" s="36"/>
      <c r="AC419" s="35"/>
      <c r="AD419" s="35"/>
      <c r="AE419" s="37" t="str">
        <f>IF($A419="","",COUNTIFS(Připomínky!$A$4:$A$503,$A419,Připomínky!$J$4:$J$503,"Nevyřešeno"))</f>
        <v/>
      </c>
      <c r="AF419" s="37" t="str">
        <f>IF($A419="","",COUNTIFS(Publikace!$A$4:$A$503,$A419))</f>
        <v/>
      </c>
      <c r="AG419" s="38" t="str">
        <f>IF($A419="","",IF(AF419=0,"",_xlfn.MINIFS(Publikace!$E$4:$E$503,Publikace!$A$4:$A$503,$A419)))</f>
        <v/>
      </c>
      <c r="AH419" s="37" t="str">
        <f t="shared" si="6"/>
        <v/>
      </c>
      <c r="AI419" s="39" t="str">
        <f ca="1">IF($A419="","",TRIM(IF(AND($U419&lt;&gt;"",$U419&lt;TODAY(),$W419&lt;&gt;"Schváleno",$W419&lt;&gt;"Odloženo",$W419&lt;&gt;"Zrušeno"),"Po termínu odevzdání. ","")&amp;IF(AND($W419="Schváleno",OR($X419="",$Y419="")),"Schváleno bez jména / data. ","")&amp;IF(OR($G419="",$H419="",$I419="",$F419=""),"Chybí zařazení (kategorie, typ, profil nebo měsíc). ","")&amp;IF(AND(OR($I419="Honza",$I419="Radek"),OR($J419="",$J419="Nevztahuje se")),"Doplnit charakter (osobní / pracovní). ","")&amp;IF(AND($W419="Schváleno",$AE419&gt;0),"Schváleno, ale má otevřené připomínky. ","")&amp;IF(AND($AA419="Publikováno",$AF419=0),"Publikováno bez záznamu v listu Publikace. ","")&amp;IF(AND($C419&lt;&gt;"",$D419=""),"Chybí číslo dílu série. ","")&amp;IF(AND($E419&lt;&gt;"",$W419&lt;&gt;"Schváleno",$W419&lt;&gt;"Odloženo",$W419&lt;&gt;"Zrušeno",IFERROR(VLOOKUP($E419,Nastavení!$A$30:$G$53,3,FALSE()),0)&gt;0,IFERROR(VLOOKUP($E419,Nastavení!$A$30:$G$53,3,FALSE()),0)&lt;TODAY()),"Neschváleno po termínu cyklu. ","")))</f>
        <v/>
      </c>
    </row>
    <row r="420" spans="1:35" x14ac:dyDescent="0.2">
      <c r="A420" s="35"/>
      <c r="B420" s="11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11"/>
      <c r="N420" s="11"/>
      <c r="O420" s="11"/>
      <c r="P420" s="11"/>
      <c r="Q420" s="11"/>
      <c r="R420" s="11"/>
      <c r="S420" s="11"/>
      <c r="T420" s="35"/>
      <c r="U420" s="36"/>
      <c r="V420" s="11"/>
      <c r="W420" s="35"/>
      <c r="X420" s="35"/>
      <c r="Y420" s="36"/>
      <c r="Z420" s="11"/>
      <c r="AA420" s="35"/>
      <c r="AB420" s="36"/>
      <c r="AC420" s="35"/>
      <c r="AD420" s="35"/>
      <c r="AE420" s="37" t="str">
        <f>IF($A420="","",COUNTIFS(Připomínky!$A$4:$A$503,$A420,Připomínky!$J$4:$J$503,"Nevyřešeno"))</f>
        <v/>
      </c>
      <c r="AF420" s="37" t="str">
        <f>IF($A420="","",COUNTIFS(Publikace!$A$4:$A$503,$A420))</f>
        <v/>
      </c>
      <c r="AG420" s="38" t="str">
        <f>IF($A420="","",IF(AF420=0,"",_xlfn.MINIFS(Publikace!$E$4:$E$503,Publikace!$A$4:$A$503,$A420)))</f>
        <v/>
      </c>
      <c r="AH420" s="37" t="str">
        <f t="shared" si="6"/>
        <v/>
      </c>
      <c r="AI420" s="39" t="str">
        <f ca="1">IF($A420="","",TRIM(IF(AND($U420&lt;&gt;"",$U420&lt;TODAY(),$W420&lt;&gt;"Schváleno",$W420&lt;&gt;"Odloženo",$W420&lt;&gt;"Zrušeno"),"Po termínu odevzdání. ","")&amp;IF(AND($W420="Schváleno",OR($X420="",$Y420="")),"Schváleno bez jména / data. ","")&amp;IF(OR($G420="",$H420="",$I420="",$F420=""),"Chybí zařazení (kategorie, typ, profil nebo měsíc). ","")&amp;IF(AND(OR($I420="Honza",$I420="Radek"),OR($J420="",$J420="Nevztahuje se")),"Doplnit charakter (osobní / pracovní). ","")&amp;IF(AND($W420="Schváleno",$AE420&gt;0),"Schváleno, ale má otevřené připomínky. ","")&amp;IF(AND($AA420="Publikováno",$AF420=0),"Publikováno bez záznamu v listu Publikace. ","")&amp;IF(AND($C420&lt;&gt;"",$D420=""),"Chybí číslo dílu série. ","")&amp;IF(AND($E420&lt;&gt;"",$W420&lt;&gt;"Schváleno",$W420&lt;&gt;"Odloženo",$W420&lt;&gt;"Zrušeno",IFERROR(VLOOKUP($E420,Nastavení!$A$30:$G$53,3,FALSE()),0)&gt;0,IFERROR(VLOOKUP($E420,Nastavení!$A$30:$G$53,3,FALSE()),0)&lt;TODAY()),"Neschváleno po termínu cyklu. ","")))</f>
        <v/>
      </c>
    </row>
    <row r="421" spans="1:35" x14ac:dyDescent="0.2">
      <c r="A421" s="35"/>
      <c r="B421" s="11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11"/>
      <c r="N421" s="11"/>
      <c r="O421" s="11"/>
      <c r="P421" s="11"/>
      <c r="Q421" s="11"/>
      <c r="R421" s="11"/>
      <c r="S421" s="11"/>
      <c r="T421" s="35"/>
      <c r="U421" s="36"/>
      <c r="V421" s="11"/>
      <c r="W421" s="35"/>
      <c r="X421" s="35"/>
      <c r="Y421" s="36"/>
      <c r="Z421" s="11"/>
      <c r="AA421" s="35"/>
      <c r="AB421" s="36"/>
      <c r="AC421" s="35"/>
      <c r="AD421" s="35"/>
      <c r="AE421" s="37" t="str">
        <f>IF($A421="","",COUNTIFS(Připomínky!$A$4:$A$503,$A421,Připomínky!$J$4:$J$503,"Nevyřešeno"))</f>
        <v/>
      </c>
      <c r="AF421" s="37" t="str">
        <f>IF($A421="","",COUNTIFS(Publikace!$A$4:$A$503,$A421))</f>
        <v/>
      </c>
      <c r="AG421" s="38" t="str">
        <f>IF($A421="","",IF(AF421=0,"",_xlfn.MINIFS(Publikace!$E$4:$E$503,Publikace!$A$4:$A$503,$A421)))</f>
        <v/>
      </c>
      <c r="AH421" s="37" t="str">
        <f t="shared" si="6"/>
        <v/>
      </c>
      <c r="AI421" s="39" t="str">
        <f ca="1">IF($A421="","",TRIM(IF(AND($U421&lt;&gt;"",$U421&lt;TODAY(),$W421&lt;&gt;"Schváleno",$W421&lt;&gt;"Odloženo",$W421&lt;&gt;"Zrušeno"),"Po termínu odevzdání. ","")&amp;IF(AND($W421="Schváleno",OR($X421="",$Y421="")),"Schváleno bez jména / data. ","")&amp;IF(OR($G421="",$H421="",$I421="",$F421=""),"Chybí zařazení (kategorie, typ, profil nebo měsíc). ","")&amp;IF(AND(OR($I421="Honza",$I421="Radek"),OR($J421="",$J421="Nevztahuje se")),"Doplnit charakter (osobní / pracovní). ","")&amp;IF(AND($W421="Schváleno",$AE421&gt;0),"Schváleno, ale má otevřené připomínky. ","")&amp;IF(AND($AA421="Publikováno",$AF421=0),"Publikováno bez záznamu v listu Publikace. ","")&amp;IF(AND($C421&lt;&gt;"",$D421=""),"Chybí číslo dílu série. ","")&amp;IF(AND($E421&lt;&gt;"",$W421&lt;&gt;"Schváleno",$W421&lt;&gt;"Odloženo",$W421&lt;&gt;"Zrušeno",IFERROR(VLOOKUP($E421,Nastavení!$A$30:$G$53,3,FALSE()),0)&gt;0,IFERROR(VLOOKUP($E421,Nastavení!$A$30:$G$53,3,FALSE()),0)&lt;TODAY()),"Neschváleno po termínu cyklu. ","")))</f>
        <v/>
      </c>
    </row>
    <row r="422" spans="1:35" x14ac:dyDescent="0.2">
      <c r="A422" s="35"/>
      <c r="B422" s="11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11"/>
      <c r="N422" s="11"/>
      <c r="O422" s="11"/>
      <c r="P422" s="11"/>
      <c r="Q422" s="11"/>
      <c r="R422" s="11"/>
      <c r="S422" s="11"/>
      <c r="T422" s="35"/>
      <c r="U422" s="36"/>
      <c r="V422" s="11"/>
      <c r="W422" s="35"/>
      <c r="X422" s="35"/>
      <c r="Y422" s="36"/>
      <c r="Z422" s="11"/>
      <c r="AA422" s="35"/>
      <c r="AB422" s="36"/>
      <c r="AC422" s="35"/>
      <c r="AD422" s="35"/>
      <c r="AE422" s="37" t="str">
        <f>IF($A422="","",COUNTIFS(Připomínky!$A$4:$A$503,$A422,Připomínky!$J$4:$J$503,"Nevyřešeno"))</f>
        <v/>
      </c>
      <c r="AF422" s="37" t="str">
        <f>IF($A422="","",COUNTIFS(Publikace!$A$4:$A$503,$A422))</f>
        <v/>
      </c>
      <c r="AG422" s="38" t="str">
        <f>IF($A422="","",IF(AF422=0,"",_xlfn.MINIFS(Publikace!$E$4:$E$503,Publikace!$A$4:$A$503,$A422)))</f>
        <v/>
      </c>
      <c r="AH422" s="37" t="str">
        <f t="shared" si="6"/>
        <v/>
      </c>
      <c r="AI422" s="39" t="str">
        <f ca="1">IF($A422="","",TRIM(IF(AND($U422&lt;&gt;"",$U422&lt;TODAY(),$W422&lt;&gt;"Schváleno",$W422&lt;&gt;"Odloženo",$W422&lt;&gt;"Zrušeno"),"Po termínu odevzdání. ","")&amp;IF(AND($W422="Schváleno",OR($X422="",$Y422="")),"Schváleno bez jména / data. ","")&amp;IF(OR($G422="",$H422="",$I422="",$F422=""),"Chybí zařazení (kategorie, typ, profil nebo měsíc). ","")&amp;IF(AND(OR($I422="Honza",$I422="Radek"),OR($J422="",$J422="Nevztahuje se")),"Doplnit charakter (osobní / pracovní). ","")&amp;IF(AND($W422="Schváleno",$AE422&gt;0),"Schváleno, ale má otevřené připomínky. ","")&amp;IF(AND($AA422="Publikováno",$AF422=0),"Publikováno bez záznamu v listu Publikace. ","")&amp;IF(AND($C422&lt;&gt;"",$D422=""),"Chybí číslo dílu série. ","")&amp;IF(AND($E422&lt;&gt;"",$W422&lt;&gt;"Schváleno",$W422&lt;&gt;"Odloženo",$W422&lt;&gt;"Zrušeno",IFERROR(VLOOKUP($E422,Nastavení!$A$30:$G$53,3,FALSE()),0)&gt;0,IFERROR(VLOOKUP($E422,Nastavení!$A$30:$G$53,3,FALSE()),0)&lt;TODAY()),"Neschváleno po termínu cyklu. ","")))</f>
        <v/>
      </c>
    </row>
    <row r="423" spans="1:35" x14ac:dyDescent="0.2">
      <c r="A423" s="35"/>
      <c r="B423" s="11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11"/>
      <c r="N423" s="11"/>
      <c r="O423" s="11"/>
      <c r="P423" s="11"/>
      <c r="Q423" s="11"/>
      <c r="R423" s="11"/>
      <c r="S423" s="11"/>
      <c r="T423" s="35"/>
      <c r="U423" s="36"/>
      <c r="V423" s="11"/>
      <c r="W423" s="35"/>
      <c r="X423" s="35"/>
      <c r="Y423" s="36"/>
      <c r="Z423" s="11"/>
      <c r="AA423" s="35"/>
      <c r="AB423" s="36"/>
      <c r="AC423" s="35"/>
      <c r="AD423" s="35"/>
      <c r="AE423" s="37" t="str">
        <f>IF($A423="","",COUNTIFS(Připomínky!$A$4:$A$503,$A423,Připomínky!$J$4:$J$503,"Nevyřešeno"))</f>
        <v/>
      </c>
      <c r="AF423" s="37" t="str">
        <f>IF($A423="","",COUNTIFS(Publikace!$A$4:$A$503,$A423))</f>
        <v/>
      </c>
      <c r="AG423" s="38" t="str">
        <f>IF($A423="","",IF(AF423=0,"",_xlfn.MINIFS(Publikace!$E$4:$E$503,Publikace!$A$4:$A$503,$A423)))</f>
        <v/>
      </c>
      <c r="AH423" s="37" t="str">
        <f t="shared" si="6"/>
        <v/>
      </c>
      <c r="AI423" s="39" t="str">
        <f ca="1">IF($A423="","",TRIM(IF(AND($U423&lt;&gt;"",$U423&lt;TODAY(),$W423&lt;&gt;"Schváleno",$W423&lt;&gt;"Odloženo",$W423&lt;&gt;"Zrušeno"),"Po termínu odevzdání. ","")&amp;IF(AND($W423="Schváleno",OR($X423="",$Y423="")),"Schváleno bez jména / data. ","")&amp;IF(OR($G423="",$H423="",$I423="",$F423=""),"Chybí zařazení (kategorie, typ, profil nebo měsíc). ","")&amp;IF(AND(OR($I423="Honza",$I423="Radek"),OR($J423="",$J423="Nevztahuje se")),"Doplnit charakter (osobní / pracovní). ","")&amp;IF(AND($W423="Schváleno",$AE423&gt;0),"Schváleno, ale má otevřené připomínky. ","")&amp;IF(AND($AA423="Publikováno",$AF423=0),"Publikováno bez záznamu v listu Publikace. ","")&amp;IF(AND($C423&lt;&gt;"",$D423=""),"Chybí číslo dílu série. ","")&amp;IF(AND($E423&lt;&gt;"",$W423&lt;&gt;"Schváleno",$W423&lt;&gt;"Odloženo",$W423&lt;&gt;"Zrušeno",IFERROR(VLOOKUP($E423,Nastavení!$A$30:$G$53,3,FALSE()),0)&gt;0,IFERROR(VLOOKUP($E423,Nastavení!$A$30:$G$53,3,FALSE()),0)&lt;TODAY()),"Neschváleno po termínu cyklu. ","")))</f>
        <v/>
      </c>
    </row>
    <row r="424" spans="1:35" x14ac:dyDescent="0.2">
      <c r="A424" s="35"/>
      <c r="B424" s="11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11"/>
      <c r="N424" s="11"/>
      <c r="O424" s="11"/>
      <c r="P424" s="11"/>
      <c r="Q424" s="11"/>
      <c r="R424" s="11"/>
      <c r="S424" s="11"/>
      <c r="T424" s="35"/>
      <c r="U424" s="36"/>
      <c r="V424" s="11"/>
      <c r="W424" s="35"/>
      <c r="X424" s="35"/>
      <c r="Y424" s="36"/>
      <c r="Z424" s="11"/>
      <c r="AA424" s="35"/>
      <c r="AB424" s="36"/>
      <c r="AC424" s="35"/>
      <c r="AD424" s="35"/>
      <c r="AE424" s="37" t="str">
        <f>IF($A424="","",COUNTIFS(Připomínky!$A$4:$A$503,$A424,Připomínky!$J$4:$J$503,"Nevyřešeno"))</f>
        <v/>
      </c>
      <c r="AF424" s="37" t="str">
        <f>IF($A424="","",COUNTIFS(Publikace!$A$4:$A$503,$A424))</f>
        <v/>
      </c>
      <c r="AG424" s="38" t="str">
        <f>IF($A424="","",IF(AF424=0,"",_xlfn.MINIFS(Publikace!$E$4:$E$503,Publikace!$A$4:$A$503,$A424)))</f>
        <v/>
      </c>
      <c r="AH424" s="37" t="str">
        <f t="shared" si="6"/>
        <v/>
      </c>
      <c r="AI424" s="39" t="str">
        <f ca="1">IF($A424="","",TRIM(IF(AND($U424&lt;&gt;"",$U424&lt;TODAY(),$W424&lt;&gt;"Schváleno",$W424&lt;&gt;"Odloženo",$W424&lt;&gt;"Zrušeno"),"Po termínu odevzdání. ","")&amp;IF(AND($W424="Schváleno",OR($X424="",$Y424="")),"Schváleno bez jména / data. ","")&amp;IF(OR($G424="",$H424="",$I424="",$F424=""),"Chybí zařazení (kategorie, typ, profil nebo měsíc). ","")&amp;IF(AND(OR($I424="Honza",$I424="Radek"),OR($J424="",$J424="Nevztahuje se")),"Doplnit charakter (osobní / pracovní). ","")&amp;IF(AND($W424="Schváleno",$AE424&gt;0),"Schváleno, ale má otevřené připomínky. ","")&amp;IF(AND($AA424="Publikováno",$AF424=0),"Publikováno bez záznamu v listu Publikace. ","")&amp;IF(AND($C424&lt;&gt;"",$D424=""),"Chybí číslo dílu série. ","")&amp;IF(AND($E424&lt;&gt;"",$W424&lt;&gt;"Schváleno",$W424&lt;&gt;"Odloženo",$W424&lt;&gt;"Zrušeno",IFERROR(VLOOKUP($E424,Nastavení!$A$30:$G$53,3,FALSE()),0)&gt;0,IFERROR(VLOOKUP($E424,Nastavení!$A$30:$G$53,3,FALSE()),0)&lt;TODAY()),"Neschváleno po termínu cyklu. ","")))</f>
        <v/>
      </c>
    </row>
    <row r="425" spans="1:35" x14ac:dyDescent="0.2">
      <c r="A425" s="35"/>
      <c r="B425" s="11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11"/>
      <c r="N425" s="11"/>
      <c r="O425" s="11"/>
      <c r="P425" s="11"/>
      <c r="Q425" s="11"/>
      <c r="R425" s="11"/>
      <c r="S425" s="11"/>
      <c r="T425" s="35"/>
      <c r="U425" s="36"/>
      <c r="V425" s="11"/>
      <c r="W425" s="35"/>
      <c r="X425" s="35"/>
      <c r="Y425" s="36"/>
      <c r="Z425" s="11"/>
      <c r="AA425" s="35"/>
      <c r="AB425" s="36"/>
      <c r="AC425" s="35"/>
      <c r="AD425" s="35"/>
      <c r="AE425" s="37" t="str">
        <f>IF($A425="","",COUNTIFS(Připomínky!$A$4:$A$503,$A425,Připomínky!$J$4:$J$503,"Nevyřešeno"))</f>
        <v/>
      </c>
      <c r="AF425" s="37" t="str">
        <f>IF($A425="","",COUNTIFS(Publikace!$A$4:$A$503,$A425))</f>
        <v/>
      </c>
      <c r="AG425" s="38" t="str">
        <f>IF($A425="","",IF(AF425=0,"",_xlfn.MINIFS(Publikace!$E$4:$E$503,Publikace!$A$4:$A$503,$A425)))</f>
        <v/>
      </c>
      <c r="AH425" s="37" t="str">
        <f t="shared" si="6"/>
        <v/>
      </c>
      <c r="AI425" s="39" t="str">
        <f ca="1">IF($A425="","",TRIM(IF(AND($U425&lt;&gt;"",$U425&lt;TODAY(),$W425&lt;&gt;"Schváleno",$W425&lt;&gt;"Odloženo",$W425&lt;&gt;"Zrušeno"),"Po termínu odevzdání. ","")&amp;IF(AND($W425="Schváleno",OR($X425="",$Y425="")),"Schváleno bez jména / data. ","")&amp;IF(OR($G425="",$H425="",$I425="",$F425=""),"Chybí zařazení (kategorie, typ, profil nebo měsíc). ","")&amp;IF(AND(OR($I425="Honza",$I425="Radek"),OR($J425="",$J425="Nevztahuje se")),"Doplnit charakter (osobní / pracovní). ","")&amp;IF(AND($W425="Schváleno",$AE425&gt;0),"Schváleno, ale má otevřené připomínky. ","")&amp;IF(AND($AA425="Publikováno",$AF425=0),"Publikováno bez záznamu v listu Publikace. ","")&amp;IF(AND($C425&lt;&gt;"",$D425=""),"Chybí číslo dílu série. ","")&amp;IF(AND($E425&lt;&gt;"",$W425&lt;&gt;"Schváleno",$W425&lt;&gt;"Odloženo",$W425&lt;&gt;"Zrušeno",IFERROR(VLOOKUP($E425,Nastavení!$A$30:$G$53,3,FALSE()),0)&gt;0,IFERROR(VLOOKUP($E425,Nastavení!$A$30:$G$53,3,FALSE()),0)&lt;TODAY()),"Neschváleno po termínu cyklu. ","")))</f>
        <v/>
      </c>
    </row>
    <row r="426" spans="1:35" x14ac:dyDescent="0.2">
      <c r="A426" s="35"/>
      <c r="B426" s="11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11"/>
      <c r="N426" s="11"/>
      <c r="O426" s="11"/>
      <c r="P426" s="11"/>
      <c r="Q426" s="11"/>
      <c r="R426" s="11"/>
      <c r="S426" s="11"/>
      <c r="T426" s="35"/>
      <c r="U426" s="36"/>
      <c r="V426" s="11"/>
      <c r="W426" s="35"/>
      <c r="X426" s="35"/>
      <c r="Y426" s="36"/>
      <c r="Z426" s="11"/>
      <c r="AA426" s="35"/>
      <c r="AB426" s="36"/>
      <c r="AC426" s="35"/>
      <c r="AD426" s="35"/>
      <c r="AE426" s="37" t="str">
        <f>IF($A426="","",COUNTIFS(Připomínky!$A$4:$A$503,$A426,Připomínky!$J$4:$J$503,"Nevyřešeno"))</f>
        <v/>
      </c>
      <c r="AF426" s="37" t="str">
        <f>IF($A426="","",COUNTIFS(Publikace!$A$4:$A$503,$A426))</f>
        <v/>
      </c>
      <c r="AG426" s="38" t="str">
        <f>IF($A426="","",IF(AF426=0,"",_xlfn.MINIFS(Publikace!$E$4:$E$503,Publikace!$A$4:$A$503,$A426)))</f>
        <v/>
      </c>
      <c r="AH426" s="37" t="str">
        <f t="shared" si="6"/>
        <v/>
      </c>
      <c r="AI426" s="39" t="str">
        <f ca="1">IF($A426="","",TRIM(IF(AND($U426&lt;&gt;"",$U426&lt;TODAY(),$W426&lt;&gt;"Schváleno",$W426&lt;&gt;"Odloženo",$W426&lt;&gt;"Zrušeno"),"Po termínu odevzdání. ","")&amp;IF(AND($W426="Schváleno",OR($X426="",$Y426="")),"Schváleno bez jména / data. ","")&amp;IF(OR($G426="",$H426="",$I426="",$F426=""),"Chybí zařazení (kategorie, typ, profil nebo měsíc). ","")&amp;IF(AND(OR($I426="Honza",$I426="Radek"),OR($J426="",$J426="Nevztahuje se")),"Doplnit charakter (osobní / pracovní). ","")&amp;IF(AND($W426="Schváleno",$AE426&gt;0),"Schváleno, ale má otevřené připomínky. ","")&amp;IF(AND($AA426="Publikováno",$AF426=0),"Publikováno bez záznamu v listu Publikace. ","")&amp;IF(AND($C426&lt;&gt;"",$D426=""),"Chybí číslo dílu série. ","")&amp;IF(AND($E426&lt;&gt;"",$W426&lt;&gt;"Schváleno",$W426&lt;&gt;"Odloženo",$W426&lt;&gt;"Zrušeno",IFERROR(VLOOKUP($E426,Nastavení!$A$30:$G$53,3,FALSE()),0)&gt;0,IFERROR(VLOOKUP($E426,Nastavení!$A$30:$G$53,3,FALSE()),0)&lt;TODAY()),"Neschváleno po termínu cyklu. ","")))</f>
        <v/>
      </c>
    </row>
    <row r="427" spans="1:35" x14ac:dyDescent="0.2">
      <c r="A427" s="35"/>
      <c r="B427" s="11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11"/>
      <c r="N427" s="11"/>
      <c r="O427" s="11"/>
      <c r="P427" s="11"/>
      <c r="Q427" s="11"/>
      <c r="R427" s="11"/>
      <c r="S427" s="11"/>
      <c r="T427" s="35"/>
      <c r="U427" s="36"/>
      <c r="V427" s="11"/>
      <c r="W427" s="35"/>
      <c r="X427" s="35"/>
      <c r="Y427" s="36"/>
      <c r="Z427" s="11"/>
      <c r="AA427" s="35"/>
      <c r="AB427" s="36"/>
      <c r="AC427" s="35"/>
      <c r="AD427" s="35"/>
      <c r="AE427" s="37" t="str">
        <f>IF($A427="","",COUNTIFS(Připomínky!$A$4:$A$503,$A427,Připomínky!$J$4:$J$503,"Nevyřešeno"))</f>
        <v/>
      </c>
      <c r="AF427" s="37" t="str">
        <f>IF($A427="","",COUNTIFS(Publikace!$A$4:$A$503,$A427))</f>
        <v/>
      </c>
      <c r="AG427" s="38" t="str">
        <f>IF($A427="","",IF(AF427=0,"",_xlfn.MINIFS(Publikace!$E$4:$E$503,Publikace!$A$4:$A$503,$A427)))</f>
        <v/>
      </c>
      <c r="AH427" s="37" t="str">
        <f t="shared" si="6"/>
        <v/>
      </c>
      <c r="AI427" s="39" t="str">
        <f ca="1">IF($A427="","",TRIM(IF(AND($U427&lt;&gt;"",$U427&lt;TODAY(),$W427&lt;&gt;"Schváleno",$W427&lt;&gt;"Odloženo",$W427&lt;&gt;"Zrušeno"),"Po termínu odevzdání. ","")&amp;IF(AND($W427="Schváleno",OR($X427="",$Y427="")),"Schváleno bez jména / data. ","")&amp;IF(OR($G427="",$H427="",$I427="",$F427=""),"Chybí zařazení (kategorie, typ, profil nebo měsíc). ","")&amp;IF(AND(OR($I427="Honza",$I427="Radek"),OR($J427="",$J427="Nevztahuje se")),"Doplnit charakter (osobní / pracovní). ","")&amp;IF(AND($W427="Schváleno",$AE427&gt;0),"Schváleno, ale má otevřené připomínky. ","")&amp;IF(AND($AA427="Publikováno",$AF427=0),"Publikováno bez záznamu v listu Publikace. ","")&amp;IF(AND($C427&lt;&gt;"",$D427=""),"Chybí číslo dílu série. ","")&amp;IF(AND($E427&lt;&gt;"",$W427&lt;&gt;"Schváleno",$W427&lt;&gt;"Odloženo",$W427&lt;&gt;"Zrušeno",IFERROR(VLOOKUP($E427,Nastavení!$A$30:$G$53,3,FALSE()),0)&gt;0,IFERROR(VLOOKUP($E427,Nastavení!$A$30:$G$53,3,FALSE()),0)&lt;TODAY()),"Neschváleno po termínu cyklu. ","")))</f>
        <v/>
      </c>
    </row>
    <row r="428" spans="1:35" x14ac:dyDescent="0.2">
      <c r="A428" s="35"/>
      <c r="B428" s="11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11"/>
      <c r="N428" s="11"/>
      <c r="O428" s="11"/>
      <c r="P428" s="11"/>
      <c r="Q428" s="11"/>
      <c r="R428" s="11"/>
      <c r="S428" s="11"/>
      <c r="T428" s="35"/>
      <c r="U428" s="36"/>
      <c r="V428" s="11"/>
      <c r="W428" s="35"/>
      <c r="X428" s="35"/>
      <c r="Y428" s="36"/>
      <c r="Z428" s="11"/>
      <c r="AA428" s="35"/>
      <c r="AB428" s="36"/>
      <c r="AC428" s="35"/>
      <c r="AD428" s="35"/>
      <c r="AE428" s="37" t="str">
        <f>IF($A428="","",COUNTIFS(Připomínky!$A$4:$A$503,$A428,Připomínky!$J$4:$J$503,"Nevyřešeno"))</f>
        <v/>
      </c>
      <c r="AF428" s="37" t="str">
        <f>IF($A428="","",COUNTIFS(Publikace!$A$4:$A$503,$A428))</f>
        <v/>
      </c>
      <c r="AG428" s="38" t="str">
        <f>IF($A428="","",IF(AF428=0,"",_xlfn.MINIFS(Publikace!$E$4:$E$503,Publikace!$A$4:$A$503,$A428)))</f>
        <v/>
      </c>
      <c r="AH428" s="37" t="str">
        <f t="shared" si="6"/>
        <v/>
      </c>
      <c r="AI428" s="39" t="str">
        <f ca="1">IF($A428="","",TRIM(IF(AND($U428&lt;&gt;"",$U428&lt;TODAY(),$W428&lt;&gt;"Schváleno",$W428&lt;&gt;"Odloženo",$W428&lt;&gt;"Zrušeno"),"Po termínu odevzdání. ","")&amp;IF(AND($W428="Schváleno",OR($X428="",$Y428="")),"Schváleno bez jména / data. ","")&amp;IF(OR($G428="",$H428="",$I428="",$F428=""),"Chybí zařazení (kategorie, typ, profil nebo měsíc). ","")&amp;IF(AND(OR($I428="Honza",$I428="Radek"),OR($J428="",$J428="Nevztahuje se")),"Doplnit charakter (osobní / pracovní). ","")&amp;IF(AND($W428="Schváleno",$AE428&gt;0),"Schváleno, ale má otevřené připomínky. ","")&amp;IF(AND($AA428="Publikováno",$AF428=0),"Publikováno bez záznamu v listu Publikace. ","")&amp;IF(AND($C428&lt;&gt;"",$D428=""),"Chybí číslo dílu série. ","")&amp;IF(AND($E428&lt;&gt;"",$W428&lt;&gt;"Schváleno",$W428&lt;&gt;"Odloženo",$W428&lt;&gt;"Zrušeno",IFERROR(VLOOKUP($E428,Nastavení!$A$30:$G$53,3,FALSE()),0)&gt;0,IFERROR(VLOOKUP($E428,Nastavení!$A$30:$G$53,3,FALSE()),0)&lt;TODAY()),"Neschváleno po termínu cyklu. ","")))</f>
        <v/>
      </c>
    </row>
    <row r="429" spans="1:35" x14ac:dyDescent="0.2">
      <c r="A429" s="35"/>
      <c r="B429" s="11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11"/>
      <c r="N429" s="11"/>
      <c r="O429" s="11"/>
      <c r="P429" s="11"/>
      <c r="Q429" s="11"/>
      <c r="R429" s="11"/>
      <c r="S429" s="11"/>
      <c r="T429" s="35"/>
      <c r="U429" s="36"/>
      <c r="V429" s="11"/>
      <c r="W429" s="35"/>
      <c r="X429" s="35"/>
      <c r="Y429" s="36"/>
      <c r="Z429" s="11"/>
      <c r="AA429" s="35"/>
      <c r="AB429" s="36"/>
      <c r="AC429" s="35"/>
      <c r="AD429" s="35"/>
      <c r="AE429" s="37" t="str">
        <f>IF($A429="","",COUNTIFS(Připomínky!$A$4:$A$503,$A429,Připomínky!$J$4:$J$503,"Nevyřešeno"))</f>
        <v/>
      </c>
      <c r="AF429" s="37" t="str">
        <f>IF($A429="","",COUNTIFS(Publikace!$A$4:$A$503,$A429))</f>
        <v/>
      </c>
      <c r="AG429" s="38" t="str">
        <f>IF($A429="","",IF(AF429=0,"",_xlfn.MINIFS(Publikace!$E$4:$E$503,Publikace!$A$4:$A$503,$A429)))</f>
        <v/>
      </c>
      <c r="AH429" s="37" t="str">
        <f t="shared" si="6"/>
        <v/>
      </c>
      <c r="AI429" s="39" t="str">
        <f ca="1">IF($A429="","",TRIM(IF(AND($U429&lt;&gt;"",$U429&lt;TODAY(),$W429&lt;&gt;"Schváleno",$W429&lt;&gt;"Odloženo",$W429&lt;&gt;"Zrušeno"),"Po termínu odevzdání. ","")&amp;IF(AND($W429="Schváleno",OR($X429="",$Y429="")),"Schváleno bez jména / data. ","")&amp;IF(OR($G429="",$H429="",$I429="",$F429=""),"Chybí zařazení (kategorie, typ, profil nebo měsíc). ","")&amp;IF(AND(OR($I429="Honza",$I429="Radek"),OR($J429="",$J429="Nevztahuje se")),"Doplnit charakter (osobní / pracovní). ","")&amp;IF(AND($W429="Schváleno",$AE429&gt;0),"Schváleno, ale má otevřené připomínky. ","")&amp;IF(AND($AA429="Publikováno",$AF429=0),"Publikováno bez záznamu v listu Publikace. ","")&amp;IF(AND($C429&lt;&gt;"",$D429=""),"Chybí číslo dílu série. ","")&amp;IF(AND($E429&lt;&gt;"",$W429&lt;&gt;"Schváleno",$W429&lt;&gt;"Odloženo",$W429&lt;&gt;"Zrušeno",IFERROR(VLOOKUP($E429,Nastavení!$A$30:$G$53,3,FALSE()),0)&gt;0,IFERROR(VLOOKUP($E429,Nastavení!$A$30:$G$53,3,FALSE()),0)&lt;TODAY()),"Neschváleno po termínu cyklu. ","")))</f>
        <v/>
      </c>
    </row>
    <row r="430" spans="1:35" x14ac:dyDescent="0.2">
      <c r="A430" s="35"/>
      <c r="B430" s="11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11"/>
      <c r="N430" s="11"/>
      <c r="O430" s="11"/>
      <c r="P430" s="11"/>
      <c r="Q430" s="11"/>
      <c r="R430" s="11"/>
      <c r="S430" s="11"/>
      <c r="T430" s="35"/>
      <c r="U430" s="36"/>
      <c r="V430" s="11"/>
      <c r="W430" s="35"/>
      <c r="X430" s="35"/>
      <c r="Y430" s="36"/>
      <c r="Z430" s="11"/>
      <c r="AA430" s="35"/>
      <c r="AB430" s="36"/>
      <c r="AC430" s="35"/>
      <c r="AD430" s="35"/>
      <c r="AE430" s="37" t="str">
        <f>IF($A430="","",COUNTIFS(Připomínky!$A$4:$A$503,$A430,Připomínky!$J$4:$J$503,"Nevyřešeno"))</f>
        <v/>
      </c>
      <c r="AF430" s="37" t="str">
        <f>IF($A430="","",COUNTIFS(Publikace!$A$4:$A$503,$A430))</f>
        <v/>
      </c>
      <c r="AG430" s="38" t="str">
        <f>IF($A430="","",IF(AF430=0,"",_xlfn.MINIFS(Publikace!$E$4:$E$503,Publikace!$A$4:$A$503,$A430)))</f>
        <v/>
      </c>
      <c r="AH430" s="37" t="str">
        <f t="shared" si="6"/>
        <v/>
      </c>
      <c r="AI430" s="39" t="str">
        <f ca="1">IF($A430="","",TRIM(IF(AND($U430&lt;&gt;"",$U430&lt;TODAY(),$W430&lt;&gt;"Schváleno",$W430&lt;&gt;"Odloženo",$W430&lt;&gt;"Zrušeno"),"Po termínu odevzdání. ","")&amp;IF(AND($W430="Schváleno",OR($X430="",$Y430="")),"Schváleno bez jména / data. ","")&amp;IF(OR($G430="",$H430="",$I430="",$F430=""),"Chybí zařazení (kategorie, typ, profil nebo měsíc). ","")&amp;IF(AND(OR($I430="Honza",$I430="Radek"),OR($J430="",$J430="Nevztahuje se")),"Doplnit charakter (osobní / pracovní). ","")&amp;IF(AND($W430="Schváleno",$AE430&gt;0),"Schváleno, ale má otevřené připomínky. ","")&amp;IF(AND($AA430="Publikováno",$AF430=0),"Publikováno bez záznamu v listu Publikace. ","")&amp;IF(AND($C430&lt;&gt;"",$D430=""),"Chybí číslo dílu série. ","")&amp;IF(AND($E430&lt;&gt;"",$W430&lt;&gt;"Schváleno",$W430&lt;&gt;"Odloženo",$W430&lt;&gt;"Zrušeno",IFERROR(VLOOKUP($E430,Nastavení!$A$30:$G$53,3,FALSE()),0)&gt;0,IFERROR(VLOOKUP($E430,Nastavení!$A$30:$G$53,3,FALSE()),0)&lt;TODAY()),"Neschváleno po termínu cyklu. ","")))</f>
        <v/>
      </c>
    </row>
    <row r="431" spans="1:35" x14ac:dyDescent="0.2">
      <c r="A431" s="35"/>
      <c r="B431" s="11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11"/>
      <c r="N431" s="11"/>
      <c r="O431" s="11"/>
      <c r="P431" s="11"/>
      <c r="Q431" s="11"/>
      <c r="R431" s="11"/>
      <c r="S431" s="11"/>
      <c r="T431" s="35"/>
      <c r="U431" s="36"/>
      <c r="V431" s="11"/>
      <c r="W431" s="35"/>
      <c r="X431" s="35"/>
      <c r="Y431" s="36"/>
      <c r="Z431" s="11"/>
      <c r="AA431" s="35"/>
      <c r="AB431" s="36"/>
      <c r="AC431" s="35"/>
      <c r="AD431" s="35"/>
      <c r="AE431" s="37" t="str">
        <f>IF($A431="","",COUNTIFS(Připomínky!$A$4:$A$503,$A431,Připomínky!$J$4:$J$503,"Nevyřešeno"))</f>
        <v/>
      </c>
      <c r="AF431" s="37" t="str">
        <f>IF($A431="","",COUNTIFS(Publikace!$A$4:$A$503,$A431))</f>
        <v/>
      </c>
      <c r="AG431" s="38" t="str">
        <f>IF($A431="","",IF(AF431=0,"",_xlfn.MINIFS(Publikace!$E$4:$E$503,Publikace!$A$4:$A$503,$A431)))</f>
        <v/>
      </c>
      <c r="AH431" s="37" t="str">
        <f t="shared" si="6"/>
        <v/>
      </c>
      <c r="AI431" s="39" t="str">
        <f ca="1">IF($A431="","",TRIM(IF(AND($U431&lt;&gt;"",$U431&lt;TODAY(),$W431&lt;&gt;"Schváleno",$W431&lt;&gt;"Odloženo",$W431&lt;&gt;"Zrušeno"),"Po termínu odevzdání. ","")&amp;IF(AND($W431="Schváleno",OR($X431="",$Y431="")),"Schváleno bez jména / data. ","")&amp;IF(OR($G431="",$H431="",$I431="",$F431=""),"Chybí zařazení (kategorie, typ, profil nebo měsíc). ","")&amp;IF(AND(OR($I431="Honza",$I431="Radek"),OR($J431="",$J431="Nevztahuje se")),"Doplnit charakter (osobní / pracovní). ","")&amp;IF(AND($W431="Schváleno",$AE431&gt;0),"Schváleno, ale má otevřené připomínky. ","")&amp;IF(AND($AA431="Publikováno",$AF431=0),"Publikováno bez záznamu v listu Publikace. ","")&amp;IF(AND($C431&lt;&gt;"",$D431=""),"Chybí číslo dílu série. ","")&amp;IF(AND($E431&lt;&gt;"",$W431&lt;&gt;"Schváleno",$W431&lt;&gt;"Odloženo",$W431&lt;&gt;"Zrušeno",IFERROR(VLOOKUP($E431,Nastavení!$A$30:$G$53,3,FALSE()),0)&gt;0,IFERROR(VLOOKUP($E431,Nastavení!$A$30:$G$53,3,FALSE()),0)&lt;TODAY()),"Neschváleno po termínu cyklu. ","")))</f>
        <v/>
      </c>
    </row>
    <row r="432" spans="1:35" x14ac:dyDescent="0.2">
      <c r="A432" s="35"/>
      <c r="B432" s="11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11"/>
      <c r="N432" s="11"/>
      <c r="O432" s="11"/>
      <c r="P432" s="11"/>
      <c r="Q432" s="11"/>
      <c r="R432" s="11"/>
      <c r="S432" s="11"/>
      <c r="T432" s="35"/>
      <c r="U432" s="36"/>
      <c r="V432" s="11"/>
      <c r="W432" s="35"/>
      <c r="X432" s="35"/>
      <c r="Y432" s="36"/>
      <c r="Z432" s="11"/>
      <c r="AA432" s="35"/>
      <c r="AB432" s="36"/>
      <c r="AC432" s="35"/>
      <c r="AD432" s="35"/>
      <c r="AE432" s="37" t="str">
        <f>IF($A432="","",COUNTIFS(Připomínky!$A$4:$A$503,$A432,Připomínky!$J$4:$J$503,"Nevyřešeno"))</f>
        <v/>
      </c>
      <c r="AF432" s="37" t="str">
        <f>IF($A432="","",COUNTIFS(Publikace!$A$4:$A$503,$A432))</f>
        <v/>
      </c>
      <c r="AG432" s="38" t="str">
        <f>IF($A432="","",IF(AF432=0,"",_xlfn.MINIFS(Publikace!$E$4:$E$503,Publikace!$A$4:$A$503,$A432)))</f>
        <v/>
      </c>
      <c r="AH432" s="37" t="str">
        <f t="shared" si="6"/>
        <v/>
      </c>
      <c r="AI432" s="39" t="str">
        <f ca="1">IF($A432="","",TRIM(IF(AND($U432&lt;&gt;"",$U432&lt;TODAY(),$W432&lt;&gt;"Schváleno",$W432&lt;&gt;"Odloženo",$W432&lt;&gt;"Zrušeno"),"Po termínu odevzdání. ","")&amp;IF(AND($W432="Schváleno",OR($X432="",$Y432="")),"Schváleno bez jména / data. ","")&amp;IF(OR($G432="",$H432="",$I432="",$F432=""),"Chybí zařazení (kategorie, typ, profil nebo měsíc). ","")&amp;IF(AND(OR($I432="Honza",$I432="Radek"),OR($J432="",$J432="Nevztahuje se")),"Doplnit charakter (osobní / pracovní). ","")&amp;IF(AND($W432="Schváleno",$AE432&gt;0),"Schváleno, ale má otevřené připomínky. ","")&amp;IF(AND($AA432="Publikováno",$AF432=0),"Publikováno bez záznamu v listu Publikace. ","")&amp;IF(AND($C432&lt;&gt;"",$D432=""),"Chybí číslo dílu série. ","")&amp;IF(AND($E432&lt;&gt;"",$W432&lt;&gt;"Schváleno",$W432&lt;&gt;"Odloženo",$W432&lt;&gt;"Zrušeno",IFERROR(VLOOKUP($E432,Nastavení!$A$30:$G$53,3,FALSE()),0)&gt;0,IFERROR(VLOOKUP($E432,Nastavení!$A$30:$G$53,3,FALSE()),0)&lt;TODAY()),"Neschváleno po termínu cyklu. ","")))</f>
        <v/>
      </c>
    </row>
    <row r="433" spans="1:35" x14ac:dyDescent="0.2">
      <c r="A433" s="35"/>
      <c r="B433" s="11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11"/>
      <c r="N433" s="11"/>
      <c r="O433" s="11"/>
      <c r="P433" s="11"/>
      <c r="Q433" s="11"/>
      <c r="R433" s="11"/>
      <c r="S433" s="11"/>
      <c r="T433" s="35"/>
      <c r="U433" s="36"/>
      <c r="V433" s="11"/>
      <c r="W433" s="35"/>
      <c r="X433" s="35"/>
      <c r="Y433" s="36"/>
      <c r="Z433" s="11"/>
      <c r="AA433" s="35"/>
      <c r="AB433" s="36"/>
      <c r="AC433" s="35"/>
      <c r="AD433" s="35"/>
      <c r="AE433" s="37" t="str">
        <f>IF($A433="","",COUNTIFS(Připomínky!$A$4:$A$503,$A433,Připomínky!$J$4:$J$503,"Nevyřešeno"))</f>
        <v/>
      </c>
      <c r="AF433" s="37" t="str">
        <f>IF($A433="","",COUNTIFS(Publikace!$A$4:$A$503,$A433))</f>
        <v/>
      </c>
      <c r="AG433" s="38" t="str">
        <f>IF($A433="","",IF(AF433=0,"",_xlfn.MINIFS(Publikace!$E$4:$E$503,Publikace!$A$4:$A$503,$A433)))</f>
        <v/>
      </c>
      <c r="AH433" s="37" t="str">
        <f t="shared" si="6"/>
        <v/>
      </c>
      <c r="AI433" s="39" t="str">
        <f ca="1">IF($A433="","",TRIM(IF(AND($U433&lt;&gt;"",$U433&lt;TODAY(),$W433&lt;&gt;"Schváleno",$W433&lt;&gt;"Odloženo",$W433&lt;&gt;"Zrušeno"),"Po termínu odevzdání. ","")&amp;IF(AND($W433="Schváleno",OR($X433="",$Y433="")),"Schváleno bez jména / data. ","")&amp;IF(OR($G433="",$H433="",$I433="",$F433=""),"Chybí zařazení (kategorie, typ, profil nebo měsíc). ","")&amp;IF(AND(OR($I433="Honza",$I433="Radek"),OR($J433="",$J433="Nevztahuje se")),"Doplnit charakter (osobní / pracovní). ","")&amp;IF(AND($W433="Schváleno",$AE433&gt;0),"Schváleno, ale má otevřené připomínky. ","")&amp;IF(AND($AA433="Publikováno",$AF433=0),"Publikováno bez záznamu v listu Publikace. ","")&amp;IF(AND($C433&lt;&gt;"",$D433=""),"Chybí číslo dílu série. ","")&amp;IF(AND($E433&lt;&gt;"",$W433&lt;&gt;"Schváleno",$W433&lt;&gt;"Odloženo",$W433&lt;&gt;"Zrušeno",IFERROR(VLOOKUP($E433,Nastavení!$A$30:$G$53,3,FALSE()),0)&gt;0,IFERROR(VLOOKUP($E433,Nastavení!$A$30:$G$53,3,FALSE()),0)&lt;TODAY()),"Neschváleno po termínu cyklu. ","")))</f>
        <v/>
      </c>
    </row>
    <row r="434" spans="1:35" x14ac:dyDescent="0.2">
      <c r="A434" s="35"/>
      <c r="B434" s="11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11"/>
      <c r="N434" s="11"/>
      <c r="O434" s="11"/>
      <c r="P434" s="11"/>
      <c r="Q434" s="11"/>
      <c r="R434" s="11"/>
      <c r="S434" s="11"/>
      <c r="T434" s="35"/>
      <c r="U434" s="36"/>
      <c r="V434" s="11"/>
      <c r="W434" s="35"/>
      <c r="X434" s="35"/>
      <c r="Y434" s="36"/>
      <c r="Z434" s="11"/>
      <c r="AA434" s="35"/>
      <c r="AB434" s="36"/>
      <c r="AC434" s="35"/>
      <c r="AD434" s="35"/>
      <c r="AE434" s="37" t="str">
        <f>IF($A434="","",COUNTIFS(Připomínky!$A$4:$A$503,$A434,Připomínky!$J$4:$J$503,"Nevyřešeno"))</f>
        <v/>
      </c>
      <c r="AF434" s="37" t="str">
        <f>IF($A434="","",COUNTIFS(Publikace!$A$4:$A$503,$A434))</f>
        <v/>
      </c>
      <c r="AG434" s="38" t="str">
        <f>IF($A434="","",IF(AF434=0,"",_xlfn.MINIFS(Publikace!$E$4:$E$503,Publikace!$A$4:$A$503,$A434)))</f>
        <v/>
      </c>
      <c r="AH434" s="37" t="str">
        <f t="shared" si="6"/>
        <v/>
      </c>
      <c r="AI434" s="39" t="str">
        <f ca="1">IF($A434="","",TRIM(IF(AND($U434&lt;&gt;"",$U434&lt;TODAY(),$W434&lt;&gt;"Schváleno",$W434&lt;&gt;"Odloženo",$W434&lt;&gt;"Zrušeno"),"Po termínu odevzdání. ","")&amp;IF(AND($W434="Schváleno",OR($X434="",$Y434="")),"Schváleno bez jména / data. ","")&amp;IF(OR($G434="",$H434="",$I434="",$F434=""),"Chybí zařazení (kategorie, typ, profil nebo měsíc). ","")&amp;IF(AND(OR($I434="Honza",$I434="Radek"),OR($J434="",$J434="Nevztahuje se")),"Doplnit charakter (osobní / pracovní). ","")&amp;IF(AND($W434="Schváleno",$AE434&gt;0),"Schváleno, ale má otevřené připomínky. ","")&amp;IF(AND($AA434="Publikováno",$AF434=0),"Publikováno bez záznamu v listu Publikace. ","")&amp;IF(AND($C434&lt;&gt;"",$D434=""),"Chybí číslo dílu série. ","")&amp;IF(AND($E434&lt;&gt;"",$W434&lt;&gt;"Schváleno",$W434&lt;&gt;"Odloženo",$W434&lt;&gt;"Zrušeno",IFERROR(VLOOKUP($E434,Nastavení!$A$30:$G$53,3,FALSE()),0)&gt;0,IFERROR(VLOOKUP($E434,Nastavení!$A$30:$G$53,3,FALSE()),0)&lt;TODAY()),"Neschváleno po termínu cyklu. ","")))</f>
        <v/>
      </c>
    </row>
    <row r="435" spans="1:35" x14ac:dyDescent="0.2">
      <c r="A435" s="35"/>
      <c r="B435" s="11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11"/>
      <c r="N435" s="11"/>
      <c r="O435" s="11"/>
      <c r="P435" s="11"/>
      <c r="Q435" s="11"/>
      <c r="R435" s="11"/>
      <c r="S435" s="11"/>
      <c r="T435" s="35"/>
      <c r="U435" s="36"/>
      <c r="V435" s="11"/>
      <c r="W435" s="35"/>
      <c r="X435" s="35"/>
      <c r="Y435" s="36"/>
      <c r="Z435" s="11"/>
      <c r="AA435" s="35"/>
      <c r="AB435" s="36"/>
      <c r="AC435" s="35"/>
      <c r="AD435" s="35"/>
      <c r="AE435" s="37" t="str">
        <f>IF($A435="","",COUNTIFS(Připomínky!$A$4:$A$503,$A435,Připomínky!$J$4:$J$503,"Nevyřešeno"))</f>
        <v/>
      </c>
      <c r="AF435" s="37" t="str">
        <f>IF($A435="","",COUNTIFS(Publikace!$A$4:$A$503,$A435))</f>
        <v/>
      </c>
      <c r="AG435" s="38" t="str">
        <f>IF($A435="","",IF(AF435=0,"",_xlfn.MINIFS(Publikace!$E$4:$E$503,Publikace!$A$4:$A$503,$A435)))</f>
        <v/>
      </c>
      <c r="AH435" s="37" t="str">
        <f t="shared" si="6"/>
        <v/>
      </c>
      <c r="AI435" s="39" t="str">
        <f ca="1">IF($A435="","",TRIM(IF(AND($U435&lt;&gt;"",$U435&lt;TODAY(),$W435&lt;&gt;"Schváleno",$W435&lt;&gt;"Odloženo",$W435&lt;&gt;"Zrušeno"),"Po termínu odevzdání. ","")&amp;IF(AND($W435="Schváleno",OR($X435="",$Y435="")),"Schváleno bez jména / data. ","")&amp;IF(OR($G435="",$H435="",$I435="",$F435=""),"Chybí zařazení (kategorie, typ, profil nebo měsíc). ","")&amp;IF(AND(OR($I435="Honza",$I435="Radek"),OR($J435="",$J435="Nevztahuje se")),"Doplnit charakter (osobní / pracovní). ","")&amp;IF(AND($W435="Schváleno",$AE435&gt;0),"Schváleno, ale má otevřené připomínky. ","")&amp;IF(AND($AA435="Publikováno",$AF435=0),"Publikováno bez záznamu v listu Publikace. ","")&amp;IF(AND($C435&lt;&gt;"",$D435=""),"Chybí číslo dílu série. ","")&amp;IF(AND($E435&lt;&gt;"",$W435&lt;&gt;"Schváleno",$W435&lt;&gt;"Odloženo",$W435&lt;&gt;"Zrušeno",IFERROR(VLOOKUP($E435,Nastavení!$A$30:$G$53,3,FALSE()),0)&gt;0,IFERROR(VLOOKUP($E435,Nastavení!$A$30:$G$53,3,FALSE()),0)&lt;TODAY()),"Neschváleno po termínu cyklu. ","")))</f>
        <v/>
      </c>
    </row>
    <row r="436" spans="1:35" x14ac:dyDescent="0.2">
      <c r="A436" s="35"/>
      <c r="B436" s="11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11"/>
      <c r="N436" s="11"/>
      <c r="O436" s="11"/>
      <c r="P436" s="11"/>
      <c r="Q436" s="11"/>
      <c r="R436" s="11"/>
      <c r="S436" s="11"/>
      <c r="T436" s="35"/>
      <c r="U436" s="36"/>
      <c r="V436" s="11"/>
      <c r="W436" s="35"/>
      <c r="X436" s="35"/>
      <c r="Y436" s="36"/>
      <c r="Z436" s="11"/>
      <c r="AA436" s="35"/>
      <c r="AB436" s="36"/>
      <c r="AC436" s="35"/>
      <c r="AD436" s="35"/>
      <c r="AE436" s="37" t="str">
        <f>IF($A436="","",COUNTIFS(Připomínky!$A$4:$A$503,$A436,Připomínky!$J$4:$J$503,"Nevyřešeno"))</f>
        <v/>
      </c>
      <c r="AF436" s="37" t="str">
        <f>IF($A436="","",COUNTIFS(Publikace!$A$4:$A$503,$A436))</f>
        <v/>
      </c>
      <c r="AG436" s="38" t="str">
        <f>IF($A436="","",IF(AF436=0,"",_xlfn.MINIFS(Publikace!$E$4:$E$503,Publikace!$A$4:$A$503,$A436)))</f>
        <v/>
      </c>
      <c r="AH436" s="37" t="str">
        <f t="shared" si="6"/>
        <v/>
      </c>
      <c r="AI436" s="39" t="str">
        <f ca="1">IF($A436="","",TRIM(IF(AND($U436&lt;&gt;"",$U436&lt;TODAY(),$W436&lt;&gt;"Schváleno",$W436&lt;&gt;"Odloženo",$W436&lt;&gt;"Zrušeno"),"Po termínu odevzdání. ","")&amp;IF(AND($W436="Schváleno",OR($X436="",$Y436="")),"Schváleno bez jména / data. ","")&amp;IF(OR($G436="",$H436="",$I436="",$F436=""),"Chybí zařazení (kategorie, typ, profil nebo měsíc). ","")&amp;IF(AND(OR($I436="Honza",$I436="Radek"),OR($J436="",$J436="Nevztahuje se")),"Doplnit charakter (osobní / pracovní). ","")&amp;IF(AND($W436="Schváleno",$AE436&gt;0),"Schváleno, ale má otevřené připomínky. ","")&amp;IF(AND($AA436="Publikováno",$AF436=0),"Publikováno bez záznamu v listu Publikace. ","")&amp;IF(AND($C436&lt;&gt;"",$D436=""),"Chybí číslo dílu série. ","")&amp;IF(AND($E436&lt;&gt;"",$W436&lt;&gt;"Schváleno",$W436&lt;&gt;"Odloženo",$W436&lt;&gt;"Zrušeno",IFERROR(VLOOKUP($E436,Nastavení!$A$30:$G$53,3,FALSE()),0)&gt;0,IFERROR(VLOOKUP($E436,Nastavení!$A$30:$G$53,3,FALSE()),0)&lt;TODAY()),"Neschváleno po termínu cyklu. ","")))</f>
        <v/>
      </c>
    </row>
    <row r="437" spans="1:35" x14ac:dyDescent="0.2">
      <c r="A437" s="35"/>
      <c r="B437" s="11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11"/>
      <c r="N437" s="11"/>
      <c r="O437" s="11"/>
      <c r="P437" s="11"/>
      <c r="Q437" s="11"/>
      <c r="R437" s="11"/>
      <c r="S437" s="11"/>
      <c r="T437" s="35"/>
      <c r="U437" s="36"/>
      <c r="V437" s="11"/>
      <c r="W437" s="35"/>
      <c r="X437" s="35"/>
      <c r="Y437" s="36"/>
      <c r="Z437" s="11"/>
      <c r="AA437" s="35"/>
      <c r="AB437" s="36"/>
      <c r="AC437" s="35"/>
      <c r="AD437" s="35"/>
      <c r="AE437" s="37" t="str">
        <f>IF($A437="","",COUNTIFS(Připomínky!$A$4:$A$503,$A437,Připomínky!$J$4:$J$503,"Nevyřešeno"))</f>
        <v/>
      </c>
      <c r="AF437" s="37" t="str">
        <f>IF($A437="","",COUNTIFS(Publikace!$A$4:$A$503,$A437))</f>
        <v/>
      </c>
      <c r="AG437" s="38" t="str">
        <f>IF($A437="","",IF(AF437=0,"",_xlfn.MINIFS(Publikace!$E$4:$E$503,Publikace!$A$4:$A$503,$A437)))</f>
        <v/>
      </c>
      <c r="AH437" s="37" t="str">
        <f t="shared" si="6"/>
        <v/>
      </c>
      <c r="AI437" s="39" t="str">
        <f ca="1">IF($A437="","",TRIM(IF(AND($U437&lt;&gt;"",$U437&lt;TODAY(),$W437&lt;&gt;"Schváleno",$W437&lt;&gt;"Odloženo",$W437&lt;&gt;"Zrušeno"),"Po termínu odevzdání. ","")&amp;IF(AND($W437="Schváleno",OR($X437="",$Y437="")),"Schváleno bez jména / data. ","")&amp;IF(OR($G437="",$H437="",$I437="",$F437=""),"Chybí zařazení (kategorie, typ, profil nebo měsíc). ","")&amp;IF(AND(OR($I437="Honza",$I437="Radek"),OR($J437="",$J437="Nevztahuje se")),"Doplnit charakter (osobní / pracovní). ","")&amp;IF(AND($W437="Schváleno",$AE437&gt;0),"Schváleno, ale má otevřené připomínky. ","")&amp;IF(AND($AA437="Publikováno",$AF437=0),"Publikováno bez záznamu v listu Publikace. ","")&amp;IF(AND($C437&lt;&gt;"",$D437=""),"Chybí číslo dílu série. ","")&amp;IF(AND($E437&lt;&gt;"",$W437&lt;&gt;"Schváleno",$W437&lt;&gt;"Odloženo",$W437&lt;&gt;"Zrušeno",IFERROR(VLOOKUP($E437,Nastavení!$A$30:$G$53,3,FALSE()),0)&gt;0,IFERROR(VLOOKUP($E437,Nastavení!$A$30:$G$53,3,FALSE()),0)&lt;TODAY()),"Neschváleno po termínu cyklu. ","")))</f>
        <v/>
      </c>
    </row>
    <row r="438" spans="1:35" x14ac:dyDescent="0.2">
      <c r="A438" s="35"/>
      <c r="B438" s="11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11"/>
      <c r="N438" s="11"/>
      <c r="O438" s="11"/>
      <c r="P438" s="11"/>
      <c r="Q438" s="11"/>
      <c r="R438" s="11"/>
      <c r="S438" s="11"/>
      <c r="T438" s="35"/>
      <c r="U438" s="36"/>
      <c r="V438" s="11"/>
      <c r="W438" s="35"/>
      <c r="X438" s="35"/>
      <c r="Y438" s="36"/>
      <c r="Z438" s="11"/>
      <c r="AA438" s="35"/>
      <c r="AB438" s="36"/>
      <c r="AC438" s="35"/>
      <c r="AD438" s="35"/>
      <c r="AE438" s="37" t="str">
        <f>IF($A438="","",COUNTIFS(Připomínky!$A$4:$A$503,$A438,Připomínky!$J$4:$J$503,"Nevyřešeno"))</f>
        <v/>
      </c>
      <c r="AF438" s="37" t="str">
        <f>IF($A438="","",COUNTIFS(Publikace!$A$4:$A$503,$A438))</f>
        <v/>
      </c>
      <c r="AG438" s="38" t="str">
        <f>IF($A438="","",IF(AF438=0,"",_xlfn.MINIFS(Publikace!$E$4:$E$503,Publikace!$A$4:$A$503,$A438)))</f>
        <v/>
      </c>
      <c r="AH438" s="37" t="str">
        <f t="shared" si="6"/>
        <v/>
      </c>
      <c r="AI438" s="39" t="str">
        <f ca="1">IF($A438="","",TRIM(IF(AND($U438&lt;&gt;"",$U438&lt;TODAY(),$W438&lt;&gt;"Schváleno",$W438&lt;&gt;"Odloženo",$W438&lt;&gt;"Zrušeno"),"Po termínu odevzdání. ","")&amp;IF(AND($W438="Schváleno",OR($X438="",$Y438="")),"Schváleno bez jména / data. ","")&amp;IF(OR($G438="",$H438="",$I438="",$F438=""),"Chybí zařazení (kategorie, typ, profil nebo měsíc). ","")&amp;IF(AND(OR($I438="Honza",$I438="Radek"),OR($J438="",$J438="Nevztahuje se")),"Doplnit charakter (osobní / pracovní). ","")&amp;IF(AND($W438="Schváleno",$AE438&gt;0),"Schváleno, ale má otevřené připomínky. ","")&amp;IF(AND($AA438="Publikováno",$AF438=0),"Publikováno bez záznamu v listu Publikace. ","")&amp;IF(AND($C438&lt;&gt;"",$D438=""),"Chybí číslo dílu série. ","")&amp;IF(AND($E438&lt;&gt;"",$W438&lt;&gt;"Schváleno",$W438&lt;&gt;"Odloženo",$W438&lt;&gt;"Zrušeno",IFERROR(VLOOKUP($E438,Nastavení!$A$30:$G$53,3,FALSE()),0)&gt;0,IFERROR(VLOOKUP($E438,Nastavení!$A$30:$G$53,3,FALSE()),0)&lt;TODAY()),"Neschváleno po termínu cyklu. ","")))</f>
        <v/>
      </c>
    </row>
    <row r="439" spans="1:35" x14ac:dyDescent="0.2">
      <c r="A439" s="35"/>
      <c r="B439" s="11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11"/>
      <c r="N439" s="11"/>
      <c r="O439" s="11"/>
      <c r="P439" s="11"/>
      <c r="Q439" s="11"/>
      <c r="R439" s="11"/>
      <c r="S439" s="11"/>
      <c r="T439" s="35"/>
      <c r="U439" s="36"/>
      <c r="V439" s="11"/>
      <c r="W439" s="35"/>
      <c r="X439" s="35"/>
      <c r="Y439" s="36"/>
      <c r="Z439" s="11"/>
      <c r="AA439" s="35"/>
      <c r="AB439" s="36"/>
      <c r="AC439" s="35"/>
      <c r="AD439" s="35"/>
      <c r="AE439" s="37" t="str">
        <f>IF($A439="","",COUNTIFS(Připomínky!$A$4:$A$503,$A439,Připomínky!$J$4:$J$503,"Nevyřešeno"))</f>
        <v/>
      </c>
      <c r="AF439" s="37" t="str">
        <f>IF($A439="","",COUNTIFS(Publikace!$A$4:$A$503,$A439))</f>
        <v/>
      </c>
      <c r="AG439" s="38" t="str">
        <f>IF($A439="","",IF(AF439=0,"",_xlfn.MINIFS(Publikace!$E$4:$E$503,Publikace!$A$4:$A$503,$A439)))</f>
        <v/>
      </c>
      <c r="AH439" s="37" t="str">
        <f t="shared" si="6"/>
        <v/>
      </c>
      <c r="AI439" s="39" t="str">
        <f ca="1">IF($A439="","",TRIM(IF(AND($U439&lt;&gt;"",$U439&lt;TODAY(),$W439&lt;&gt;"Schváleno",$W439&lt;&gt;"Odloženo",$W439&lt;&gt;"Zrušeno"),"Po termínu odevzdání. ","")&amp;IF(AND($W439="Schváleno",OR($X439="",$Y439="")),"Schváleno bez jména / data. ","")&amp;IF(OR($G439="",$H439="",$I439="",$F439=""),"Chybí zařazení (kategorie, typ, profil nebo měsíc). ","")&amp;IF(AND(OR($I439="Honza",$I439="Radek"),OR($J439="",$J439="Nevztahuje se")),"Doplnit charakter (osobní / pracovní). ","")&amp;IF(AND($W439="Schváleno",$AE439&gt;0),"Schváleno, ale má otevřené připomínky. ","")&amp;IF(AND($AA439="Publikováno",$AF439=0),"Publikováno bez záznamu v listu Publikace. ","")&amp;IF(AND($C439&lt;&gt;"",$D439=""),"Chybí číslo dílu série. ","")&amp;IF(AND($E439&lt;&gt;"",$W439&lt;&gt;"Schváleno",$W439&lt;&gt;"Odloženo",$W439&lt;&gt;"Zrušeno",IFERROR(VLOOKUP($E439,Nastavení!$A$30:$G$53,3,FALSE()),0)&gt;0,IFERROR(VLOOKUP($E439,Nastavení!$A$30:$G$53,3,FALSE()),0)&lt;TODAY()),"Neschváleno po termínu cyklu. ","")))</f>
        <v/>
      </c>
    </row>
    <row r="440" spans="1:35" x14ac:dyDescent="0.2">
      <c r="A440" s="35"/>
      <c r="B440" s="11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11"/>
      <c r="N440" s="11"/>
      <c r="O440" s="11"/>
      <c r="P440" s="11"/>
      <c r="Q440" s="11"/>
      <c r="R440" s="11"/>
      <c r="S440" s="11"/>
      <c r="T440" s="35"/>
      <c r="U440" s="36"/>
      <c r="V440" s="11"/>
      <c r="W440" s="35"/>
      <c r="X440" s="35"/>
      <c r="Y440" s="36"/>
      <c r="Z440" s="11"/>
      <c r="AA440" s="35"/>
      <c r="AB440" s="36"/>
      <c r="AC440" s="35"/>
      <c r="AD440" s="35"/>
      <c r="AE440" s="37" t="str">
        <f>IF($A440="","",COUNTIFS(Připomínky!$A$4:$A$503,$A440,Připomínky!$J$4:$J$503,"Nevyřešeno"))</f>
        <v/>
      </c>
      <c r="AF440" s="37" t="str">
        <f>IF($A440="","",COUNTIFS(Publikace!$A$4:$A$503,$A440))</f>
        <v/>
      </c>
      <c r="AG440" s="38" t="str">
        <f>IF($A440="","",IF(AF440=0,"",_xlfn.MINIFS(Publikace!$E$4:$E$503,Publikace!$A$4:$A$503,$A440)))</f>
        <v/>
      </c>
      <c r="AH440" s="37" t="str">
        <f t="shared" si="6"/>
        <v/>
      </c>
      <c r="AI440" s="39" t="str">
        <f ca="1">IF($A440="","",TRIM(IF(AND($U440&lt;&gt;"",$U440&lt;TODAY(),$W440&lt;&gt;"Schváleno",$W440&lt;&gt;"Odloženo",$W440&lt;&gt;"Zrušeno"),"Po termínu odevzdání. ","")&amp;IF(AND($W440="Schváleno",OR($X440="",$Y440="")),"Schváleno bez jména / data. ","")&amp;IF(OR($G440="",$H440="",$I440="",$F440=""),"Chybí zařazení (kategorie, typ, profil nebo měsíc). ","")&amp;IF(AND(OR($I440="Honza",$I440="Radek"),OR($J440="",$J440="Nevztahuje se")),"Doplnit charakter (osobní / pracovní). ","")&amp;IF(AND($W440="Schváleno",$AE440&gt;0),"Schváleno, ale má otevřené připomínky. ","")&amp;IF(AND($AA440="Publikováno",$AF440=0),"Publikováno bez záznamu v listu Publikace. ","")&amp;IF(AND($C440&lt;&gt;"",$D440=""),"Chybí číslo dílu série. ","")&amp;IF(AND($E440&lt;&gt;"",$W440&lt;&gt;"Schváleno",$W440&lt;&gt;"Odloženo",$W440&lt;&gt;"Zrušeno",IFERROR(VLOOKUP($E440,Nastavení!$A$30:$G$53,3,FALSE()),0)&gt;0,IFERROR(VLOOKUP($E440,Nastavení!$A$30:$G$53,3,FALSE()),0)&lt;TODAY()),"Neschváleno po termínu cyklu. ","")))</f>
        <v/>
      </c>
    </row>
    <row r="441" spans="1:35" x14ac:dyDescent="0.2">
      <c r="A441" s="35"/>
      <c r="B441" s="11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11"/>
      <c r="N441" s="11"/>
      <c r="O441" s="11"/>
      <c r="P441" s="11"/>
      <c r="Q441" s="11"/>
      <c r="R441" s="11"/>
      <c r="S441" s="11"/>
      <c r="T441" s="35"/>
      <c r="U441" s="36"/>
      <c r="V441" s="11"/>
      <c r="W441" s="35"/>
      <c r="X441" s="35"/>
      <c r="Y441" s="36"/>
      <c r="Z441" s="11"/>
      <c r="AA441" s="35"/>
      <c r="AB441" s="36"/>
      <c r="AC441" s="35"/>
      <c r="AD441" s="35"/>
      <c r="AE441" s="37" t="str">
        <f>IF($A441="","",COUNTIFS(Připomínky!$A$4:$A$503,$A441,Připomínky!$J$4:$J$503,"Nevyřešeno"))</f>
        <v/>
      </c>
      <c r="AF441" s="37" t="str">
        <f>IF($A441="","",COUNTIFS(Publikace!$A$4:$A$503,$A441))</f>
        <v/>
      </c>
      <c r="AG441" s="38" t="str">
        <f>IF($A441="","",IF(AF441=0,"",_xlfn.MINIFS(Publikace!$E$4:$E$503,Publikace!$A$4:$A$503,$A441)))</f>
        <v/>
      </c>
      <c r="AH441" s="37" t="str">
        <f t="shared" si="6"/>
        <v/>
      </c>
      <c r="AI441" s="39" t="str">
        <f ca="1">IF($A441="","",TRIM(IF(AND($U441&lt;&gt;"",$U441&lt;TODAY(),$W441&lt;&gt;"Schváleno",$W441&lt;&gt;"Odloženo",$W441&lt;&gt;"Zrušeno"),"Po termínu odevzdání. ","")&amp;IF(AND($W441="Schváleno",OR($X441="",$Y441="")),"Schváleno bez jména / data. ","")&amp;IF(OR($G441="",$H441="",$I441="",$F441=""),"Chybí zařazení (kategorie, typ, profil nebo měsíc). ","")&amp;IF(AND(OR($I441="Honza",$I441="Radek"),OR($J441="",$J441="Nevztahuje se")),"Doplnit charakter (osobní / pracovní). ","")&amp;IF(AND($W441="Schváleno",$AE441&gt;0),"Schváleno, ale má otevřené připomínky. ","")&amp;IF(AND($AA441="Publikováno",$AF441=0),"Publikováno bez záznamu v listu Publikace. ","")&amp;IF(AND($C441&lt;&gt;"",$D441=""),"Chybí číslo dílu série. ","")&amp;IF(AND($E441&lt;&gt;"",$W441&lt;&gt;"Schváleno",$W441&lt;&gt;"Odloženo",$W441&lt;&gt;"Zrušeno",IFERROR(VLOOKUP($E441,Nastavení!$A$30:$G$53,3,FALSE()),0)&gt;0,IFERROR(VLOOKUP($E441,Nastavení!$A$30:$G$53,3,FALSE()),0)&lt;TODAY()),"Neschváleno po termínu cyklu. ","")))</f>
        <v/>
      </c>
    </row>
    <row r="442" spans="1:35" x14ac:dyDescent="0.2">
      <c r="A442" s="35"/>
      <c r="B442" s="11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11"/>
      <c r="N442" s="11"/>
      <c r="O442" s="11"/>
      <c r="P442" s="11"/>
      <c r="Q442" s="11"/>
      <c r="R442" s="11"/>
      <c r="S442" s="11"/>
      <c r="T442" s="35"/>
      <c r="U442" s="36"/>
      <c r="V442" s="11"/>
      <c r="W442" s="35"/>
      <c r="X442" s="35"/>
      <c r="Y442" s="36"/>
      <c r="Z442" s="11"/>
      <c r="AA442" s="35"/>
      <c r="AB442" s="36"/>
      <c r="AC442" s="35"/>
      <c r="AD442" s="35"/>
      <c r="AE442" s="37" t="str">
        <f>IF($A442="","",COUNTIFS(Připomínky!$A$4:$A$503,$A442,Připomínky!$J$4:$J$503,"Nevyřešeno"))</f>
        <v/>
      </c>
      <c r="AF442" s="37" t="str">
        <f>IF($A442="","",COUNTIFS(Publikace!$A$4:$A$503,$A442))</f>
        <v/>
      </c>
      <c r="AG442" s="38" t="str">
        <f>IF($A442="","",IF(AF442=0,"",_xlfn.MINIFS(Publikace!$E$4:$E$503,Publikace!$A$4:$A$503,$A442)))</f>
        <v/>
      </c>
      <c r="AH442" s="37" t="str">
        <f t="shared" si="6"/>
        <v/>
      </c>
      <c r="AI442" s="39" t="str">
        <f ca="1">IF($A442="","",TRIM(IF(AND($U442&lt;&gt;"",$U442&lt;TODAY(),$W442&lt;&gt;"Schváleno",$W442&lt;&gt;"Odloženo",$W442&lt;&gt;"Zrušeno"),"Po termínu odevzdání. ","")&amp;IF(AND($W442="Schváleno",OR($X442="",$Y442="")),"Schváleno bez jména / data. ","")&amp;IF(OR($G442="",$H442="",$I442="",$F442=""),"Chybí zařazení (kategorie, typ, profil nebo měsíc). ","")&amp;IF(AND(OR($I442="Honza",$I442="Radek"),OR($J442="",$J442="Nevztahuje se")),"Doplnit charakter (osobní / pracovní). ","")&amp;IF(AND($W442="Schváleno",$AE442&gt;0),"Schváleno, ale má otevřené připomínky. ","")&amp;IF(AND($AA442="Publikováno",$AF442=0),"Publikováno bez záznamu v listu Publikace. ","")&amp;IF(AND($C442&lt;&gt;"",$D442=""),"Chybí číslo dílu série. ","")&amp;IF(AND($E442&lt;&gt;"",$W442&lt;&gt;"Schváleno",$W442&lt;&gt;"Odloženo",$W442&lt;&gt;"Zrušeno",IFERROR(VLOOKUP($E442,Nastavení!$A$30:$G$53,3,FALSE()),0)&gt;0,IFERROR(VLOOKUP($E442,Nastavení!$A$30:$G$53,3,FALSE()),0)&lt;TODAY()),"Neschváleno po termínu cyklu. ","")))</f>
        <v/>
      </c>
    </row>
    <row r="443" spans="1:35" x14ac:dyDescent="0.2">
      <c r="A443" s="35"/>
      <c r="B443" s="11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11"/>
      <c r="N443" s="11"/>
      <c r="O443" s="11"/>
      <c r="P443" s="11"/>
      <c r="Q443" s="11"/>
      <c r="R443" s="11"/>
      <c r="S443" s="11"/>
      <c r="T443" s="35"/>
      <c r="U443" s="36"/>
      <c r="V443" s="11"/>
      <c r="W443" s="35"/>
      <c r="X443" s="35"/>
      <c r="Y443" s="36"/>
      <c r="Z443" s="11"/>
      <c r="AA443" s="35"/>
      <c r="AB443" s="36"/>
      <c r="AC443" s="35"/>
      <c r="AD443" s="35"/>
      <c r="AE443" s="37" t="str">
        <f>IF($A443="","",COUNTIFS(Připomínky!$A$4:$A$503,$A443,Připomínky!$J$4:$J$503,"Nevyřešeno"))</f>
        <v/>
      </c>
      <c r="AF443" s="37" t="str">
        <f>IF($A443="","",COUNTIFS(Publikace!$A$4:$A$503,$A443))</f>
        <v/>
      </c>
      <c r="AG443" s="38" t="str">
        <f>IF($A443="","",IF(AF443=0,"",_xlfn.MINIFS(Publikace!$E$4:$E$503,Publikace!$A$4:$A$503,$A443)))</f>
        <v/>
      </c>
      <c r="AH443" s="37" t="str">
        <f t="shared" si="6"/>
        <v/>
      </c>
      <c r="AI443" s="39" t="str">
        <f ca="1">IF($A443="","",TRIM(IF(AND($U443&lt;&gt;"",$U443&lt;TODAY(),$W443&lt;&gt;"Schváleno",$W443&lt;&gt;"Odloženo",$W443&lt;&gt;"Zrušeno"),"Po termínu odevzdání. ","")&amp;IF(AND($W443="Schváleno",OR($X443="",$Y443="")),"Schváleno bez jména / data. ","")&amp;IF(OR($G443="",$H443="",$I443="",$F443=""),"Chybí zařazení (kategorie, typ, profil nebo měsíc). ","")&amp;IF(AND(OR($I443="Honza",$I443="Radek"),OR($J443="",$J443="Nevztahuje se")),"Doplnit charakter (osobní / pracovní). ","")&amp;IF(AND($W443="Schváleno",$AE443&gt;0),"Schváleno, ale má otevřené připomínky. ","")&amp;IF(AND($AA443="Publikováno",$AF443=0),"Publikováno bez záznamu v listu Publikace. ","")&amp;IF(AND($C443&lt;&gt;"",$D443=""),"Chybí číslo dílu série. ","")&amp;IF(AND($E443&lt;&gt;"",$W443&lt;&gt;"Schváleno",$W443&lt;&gt;"Odloženo",$W443&lt;&gt;"Zrušeno",IFERROR(VLOOKUP($E443,Nastavení!$A$30:$G$53,3,FALSE()),0)&gt;0,IFERROR(VLOOKUP($E443,Nastavení!$A$30:$G$53,3,FALSE()),0)&lt;TODAY()),"Neschváleno po termínu cyklu. ","")))</f>
        <v/>
      </c>
    </row>
    <row r="444" spans="1:35" x14ac:dyDescent="0.2">
      <c r="A444" s="35"/>
      <c r="B444" s="11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11"/>
      <c r="N444" s="11"/>
      <c r="O444" s="11"/>
      <c r="P444" s="11"/>
      <c r="Q444" s="11"/>
      <c r="R444" s="11"/>
      <c r="S444" s="11"/>
      <c r="T444" s="35"/>
      <c r="U444" s="36"/>
      <c r="V444" s="11"/>
      <c r="W444" s="35"/>
      <c r="X444" s="35"/>
      <c r="Y444" s="36"/>
      <c r="Z444" s="11"/>
      <c r="AA444" s="35"/>
      <c r="AB444" s="36"/>
      <c r="AC444" s="35"/>
      <c r="AD444" s="35"/>
      <c r="AE444" s="37" t="str">
        <f>IF($A444="","",COUNTIFS(Připomínky!$A$4:$A$503,$A444,Připomínky!$J$4:$J$503,"Nevyřešeno"))</f>
        <v/>
      </c>
      <c r="AF444" s="37" t="str">
        <f>IF($A444="","",COUNTIFS(Publikace!$A$4:$A$503,$A444))</f>
        <v/>
      </c>
      <c r="AG444" s="38" t="str">
        <f>IF($A444="","",IF(AF444=0,"",_xlfn.MINIFS(Publikace!$E$4:$E$503,Publikace!$A$4:$A$503,$A444)))</f>
        <v/>
      </c>
      <c r="AH444" s="37" t="str">
        <f t="shared" si="6"/>
        <v/>
      </c>
      <c r="AI444" s="39" t="str">
        <f ca="1">IF($A444="","",TRIM(IF(AND($U444&lt;&gt;"",$U444&lt;TODAY(),$W444&lt;&gt;"Schváleno",$W444&lt;&gt;"Odloženo",$W444&lt;&gt;"Zrušeno"),"Po termínu odevzdání. ","")&amp;IF(AND($W444="Schváleno",OR($X444="",$Y444="")),"Schváleno bez jména / data. ","")&amp;IF(OR($G444="",$H444="",$I444="",$F444=""),"Chybí zařazení (kategorie, typ, profil nebo měsíc). ","")&amp;IF(AND(OR($I444="Honza",$I444="Radek"),OR($J444="",$J444="Nevztahuje se")),"Doplnit charakter (osobní / pracovní). ","")&amp;IF(AND($W444="Schváleno",$AE444&gt;0),"Schváleno, ale má otevřené připomínky. ","")&amp;IF(AND($AA444="Publikováno",$AF444=0),"Publikováno bez záznamu v listu Publikace. ","")&amp;IF(AND($C444&lt;&gt;"",$D444=""),"Chybí číslo dílu série. ","")&amp;IF(AND($E444&lt;&gt;"",$W444&lt;&gt;"Schváleno",$W444&lt;&gt;"Odloženo",$W444&lt;&gt;"Zrušeno",IFERROR(VLOOKUP($E444,Nastavení!$A$30:$G$53,3,FALSE()),0)&gt;0,IFERROR(VLOOKUP($E444,Nastavení!$A$30:$G$53,3,FALSE()),0)&lt;TODAY()),"Neschváleno po termínu cyklu. ","")))</f>
        <v/>
      </c>
    </row>
    <row r="445" spans="1:35" x14ac:dyDescent="0.2">
      <c r="A445" s="35"/>
      <c r="B445" s="11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11"/>
      <c r="N445" s="11"/>
      <c r="O445" s="11"/>
      <c r="P445" s="11"/>
      <c r="Q445" s="11"/>
      <c r="R445" s="11"/>
      <c r="S445" s="11"/>
      <c r="T445" s="35"/>
      <c r="U445" s="36"/>
      <c r="V445" s="11"/>
      <c r="W445" s="35"/>
      <c r="X445" s="35"/>
      <c r="Y445" s="36"/>
      <c r="Z445" s="11"/>
      <c r="AA445" s="35"/>
      <c r="AB445" s="36"/>
      <c r="AC445" s="35"/>
      <c r="AD445" s="35"/>
      <c r="AE445" s="37" t="str">
        <f>IF($A445="","",COUNTIFS(Připomínky!$A$4:$A$503,$A445,Připomínky!$J$4:$J$503,"Nevyřešeno"))</f>
        <v/>
      </c>
      <c r="AF445" s="37" t="str">
        <f>IF($A445="","",COUNTIFS(Publikace!$A$4:$A$503,$A445))</f>
        <v/>
      </c>
      <c r="AG445" s="38" t="str">
        <f>IF($A445="","",IF(AF445=0,"",_xlfn.MINIFS(Publikace!$E$4:$E$503,Publikace!$A$4:$A$503,$A445)))</f>
        <v/>
      </c>
      <c r="AH445" s="37" t="str">
        <f t="shared" si="6"/>
        <v/>
      </c>
      <c r="AI445" s="39" t="str">
        <f ca="1">IF($A445="","",TRIM(IF(AND($U445&lt;&gt;"",$U445&lt;TODAY(),$W445&lt;&gt;"Schváleno",$W445&lt;&gt;"Odloženo",$W445&lt;&gt;"Zrušeno"),"Po termínu odevzdání. ","")&amp;IF(AND($W445="Schváleno",OR($X445="",$Y445="")),"Schváleno bez jména / data. ","")&amp;IF(OR($G445="",$H445="",$I445="",$F445=""),"Chybí zařazení (kategorie, typ, profil nebo měsíc). ","")&amp;IF(AND(OR($I445="Honza",$I445="Radek"),OR($J445="",$J445="Nevztahuje se")),"Doplnit charakter (osobní / pracovní). ","")&amp;IF(AND($W445="Schváleno",$AE445&gt;0),"Schváleno, ale má otevřené připomínky. ","")&amp;IF(AND($AA445="Publikováno",$AF445=0),"Publikováno bez záznamu v listu Publikace. ","")&amp;IF(AND($C445&lt;&gt;"",$D445=""),"Chybí číslo dílu série. ","")&amp;IF(AND($E445&lt;&gt;"",$W445&lt;&gt;"Schváleno",$W445&lt;&gt;"Odloženo",$W445&lt;&gt;"Zrušeno",IFERROR(VLOOKUP($E445,Nastavení!$A$30:$G$53,3,FALSE()),0)&gt;0,IFERROR(VLOOKUP($E445,Nastavení!$A$30:$G$53,3,FALSE()),0)&lt;TODAY()),"Neschváleno po termínu cyklu. ","")))</f>
        <v/>
      </c>
    </row>
    <row r="446" spans="1:35" x14ac:dyDescent="0.2">
      <c r="A446" s="35"/>
      <c r="B446" s="11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11"/>
      <c r="N446" s="11"/>
      <c r="O446" s="11"/>
      <c r="P446" s="11"/>
      <c r="Q446" s="11"/>
      <c r="R446" s="11"/>
      <c r="S446" s="11"/>
      <c r="T446" s="35"/>
      <c r="U446" s="36"/>
      <c r="V446" s="11"/>
      <c r="W446" s="35"/>
      <c r="X446" s="35"/>
      <c r="Y446" s="36"/>
      <c r="Z446" s="11"/>
      <c r="AA446" s="35"/>
      <c r="AB446" s="36"/>
      <c r="AC446" s="35"/>
      <c r="AD446" s="35"/>
      <c r="AE446" s="37" t="str">
        <f>IF($A446="","",COUNTIFS(Připomínky!$A$4:$A$503,$A446,Připomínky!$J$4:$J$503,"Nevyřešeno"))</f>
        <v/>
      </c>
      <c r="AF446" s="37" t="str">
        <f>IF($A446="","",COUNTIFS(Publikace!$A$4:$A$503,$A446))</f>
        <v/>
      </c>
      <c r="AG446" s="38" t="str">
        <f>IF($A446="","",IF(AF446=0,"",_xlfn.MINIFS(Publikace!$E$4:$E$503,Publikace!$A$4:$A$503,$A446)))</f>
        <v/>
      </c>
      <c r="AH446" s="37" t="str">
        <f t="shared" si="6"/>
        <v/>
      </c>
      <c r="AI446" s="39" t="str">
        <f ca="1">IF($A446="","",TRIM(IF(AND($U446&lt;&gt;"",$U446&lt;TODAY(),$W446&lt;&gt;"Schváleno",$W446&lt;&gt;"Odloženo",$W446&lt;&gt;"Zrušeno"),"Po termínu odevzdání. ","")&amp;IF(AND($W446="Schváleno",OR($X446="",$Y446="")),"Schváleno bez jména / data. ","")&amp;IF(OR($G446="",$H446="",$I446="",$F446=""),"Chybí zařazení (kategorie, typ, profil nebo měsíc). ","")&amp;IF(AND(OR($I446="Honza",$I446="Radek"),OR($J446="",$J446="Nevztahuje se")),"Doplnit charakter (osobní / pracovní). ","")&amp;IF(AND($W446="Schváleno",$AE446&gt;0),"Schváleno, ale má otevřené připomínky. ","")&amp;IF(AND($AA446="Publikováno",$AF446=0),"Publikováno bez záznamu v listu Publikace. ","")&amp;IF(AND($C446&lt;&gt;"",$D446=""),"Chybí číslo dílu série. ","")&amp;IF(AND($E446&lt;&gt;"",$W446&lt;&gt;"Schváleno",$W446&lt;&gt;"Odloženo",$W446&lt;&gt;"Zrušeno",IFERROR(VLOOKUP($E446,Nastavení!$A$30:$G$53,3,FALSE()),0)&gt;0,IFERROR(VLOOKUP($E446,Nastavení!$A$30:$G$53,3,FALSE()),0)&lt;TODAY()),"Neschváleno po termínu cyklu. ","")))</f>
        <v/>
      </c>
    </row>
    <row r="447" spans="1:35" x14ac:dyDescent="0.2">
      <c r="A447" s="35"/>
      <c r="B447" s="11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11"/>
      <c r="N447" s="11"/>
      <c r="O447" s="11"/>
      <c r="P447" s="11"/>
      <c r="Q447" s="11"/>
      <c r="R447" s="11"/>
      <c r="S447" s="11"/>
      <c r="T447" s="35"/>
      <c r="U447" s="36"/>
      <c r="V447" s="11"/>
      <c r="W447" s="35"/>
      <c r="X447" s="35"/>
      <c r="Y447" s="36"/>
      <c r="Z447" s="11"/>
      <c r="AA447" s="35"/>
      <c r="AB447" s="36"/>
      <c r="AC447" s="35"/>
      <c r="AD447" s="35"/>
      <c r="AE447" s="37" t="str">
        <f>IF($A447="","",COUNTIFS(Připomínky!$A$4:$A$503,$A447,Připomínky!$J$4:$J$503,"Nevyřešeno"))</f>
        <v/>
      </c>
      <c r="AF447" s="37" t="str">
        <f>IF($A447="","",COUNTIFS(Publikace!$A$4:$A$503,$A447))</f>
        <v/>
      </c>
      <c r="AG447" s="38" t="str">
        <f>IF($A447="","",IF(AF447=0,"",_xlfn.MINIFS(Publikace!$E$4:$E$503,Publikace!$A$4:$A$503,$A447)))</f>
        <v/>
      </c>
      <c r="AH447" s="37" t="str">
        <f t="shared" si="6"/>
        <v/>
      </c>
      <c r="AI447" s="39" t="str">
        <f ca="1">IF($A447="","",TRIM(IF(AND($U447&lt;&gt;"",$U447&lt;TODAY(),$W447&lt;&gt;"Schváleno",$W447&lt;&gt;"Odloženo",$W447&lt;&gt;"Zrušeno"),"Po termínu odevzdání. ","")&amp;IF(AND($W447="Schváleno",OR($X447="",$Y447="")),"Schváleno bez jména / data. ","")&amp;IF(OR($G447="",$H447="",$I447="",$F447=""),"Chybí zařazení (kategorie, typ, profil nebo měsíc). ","")&amp;IF(AND(OR($I447="Honza",$I447="Radek"),OR($J447="",$J447="Nevztahuje se")),"Doplnit charakter (osobní / pracovní). ","")&amp;IF(AND($W447="Schváleno",$AE447&gt;0),"Schváleno, ale má otevřené připomínky. ","")&amp;IF(AND($AA447="Publikováno",$AF447=0),"Publikováno bez záznamu v listu Publikace. ","")&amp;IF(AND($C447&lt;&gt;"",$D447=""),"Chybí číslo dílu série. ","")&amp;IF(AND($E447&lt;&gt;"",$W447&lt;&gt;"Schváleno",$W447&lt;&gt;"Odloženo",$W447&lt;&gt;"Zrušeno",IFERROR(VLOOKUP($E447,Nastavení!$A$30:$G$53,3,FALSE()),0)&gt;0,IFERROR(VLOOKUP($E447,Nastavení!$A$30:$G$53,3,FALSE()),0)&lt;TODAY()),"Neschváleno po termínu cyklu. ","")))</f>
        <v/>
      </c>
    </row>
    <row r="448" spans="1:35" x14ac:dyDescent="0.2">
      <c r="A448" s="35"/>
      <c r="B448" s="11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11"/>
      <c r="N448" s="11"/>
      <c r="O448" s="11"/>
      <c r="P448" s="11"/>
      <c r="Q448" s="11"/>
      <c r="R448" s="11"/>
      <c r="S448" s="11"/>
      <c r="T448" s="35"/>
      <c r="U448" s="36"/>
      <c r="V448" s="11"/>
      <c r="W448" s="35"/>
      <c r="X448" s="35"/>
      <c r="Y448" s="36"/>
      <c r="Z448" s="11"/>
      <c r="AA448" s="35"/>
      <c r="AB448" s="36"/>
      <c r="AC448" s="35"/>
      <c r="AD448" s="35"/>
      <c r="AE448" s="37" t="str">
        <f>IF($A448="","",COUNTIFS(Připomínky!$A$4:$A$503,$A448,Připomínky!$J$4:$J$503,"Nevyřešeno"))</f>
        <v/>
      </c>
      <c r="AF448" s="37" t="str">
        <f>IF($A448="","",COUNTIFS(Publikace!$A$4:$A$503,$A448))</f>
        <v/>
      </c>
      <c r="AG448" s="38" t="str">
        <f>IF($A448="","",IF(AF448=0,"",_xlfn.MINIFS(Publikace!$E$4:$E$503,Publikace!$A$4:$A$503,$A448)))</f>
        <v/>
      </c>
      <c r="AH448" s="37" t="str">
        <f t="shared" si="6"/>
        <v/>
      </c>
      <c r="AI448" s="39" t="str">
        <f ca="1">IF($A448="","",TRIM(IF(AND($U448&lt;&gt;"",$U448&lt;TODAY(),$W448&lt;&gt;"Schváleno",$W448&lt;&gt;"Odloženo",$W448&lt;&gt;"Zrušeno"),"Po termínu odevzdání. ","")&amp;IF(AND($W448="Schváleno",OR($X448="",$Y448="")),"Schváleno bez jména / data. ","")&amp;IF(OR($G448="",$H448="",$I448="",$F448=""),"Chybí zařazení (kategorie, typ, profil nebo měsíc). ","")&amp;IF(AND(OR($I448="Honza",$I448="Radek"),OR($J448="",$J448="Nevztahuje se")),"Doplnit charakter (osobní / pracovní). ","")&amp;IF(AND($W448="Schváleno",$AE448&gt;0),"Schváleno, ale má otevřené připomínky. ","")&amp;IF(AND($AA448="Publikováno",$AF448=0),"Publikováno bez záznamu v listu Publikace. ","")&amp;IF(AND($C448&lt;&gt;"",$D448=""),"Chybí číslo dílu série. ","")&amp;IF(AND($E448&lt;&gt;"",$W448&lt;&gt;"Schváleno",$W448&lt;&gt;"Odloženo",$W448&lt;&gt;"Zrušeno",IFERROR(VLOOKUP($E448,Nastavení!$A$30:$G$53,3,FALSE()),0)&gt;0,IFERROR(VLOOKUP($E448,Nastavení!$A$30:$G$53,3,FALSE()),0)&lt;TODAY()),"Neschváleno po termínu cyklu. ","")))</f>
        <v/>
      </c>
    </row>
    <row r="449" spans="1:35" x14ac:dyDescent="0.2">
      <c r="A449" s="35"/>
      <c r="B449" s="11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11"/>
      <c r="N449" s="11"/>
      <c r="O449" s="11"/>
      <c r="P449" s="11"/>
      <c r="Q449" s="11"/>
      <c r="R449" s="11"/>
      <c r="S449" s="11"/>
      <c r="T449" s="35"/>
      <c r="U449" s="36"/>
      <c r="V449" s="11"/>
      <c r="W449" s="35"/>
      <c r="X449" s="35"/>
      <c r="Y449" s="36"/>
      <c r="Z449" s="11"/>
      <c r="AA449" s="35"/>
      <c r="AB449" s="36"/>
      <c r="AC449" s="35"/>
      <c r="AD449" s="35"/>
      <c r="AE449" s="37" t="str">
        <f>IF($A449="","",COUNTIFS(Připomínky!$A$4:$A$503,$A449,Připomínky!$J$4:$J$503,"Nevyřešeno"))</f>
        <v/>
      </c>
      <c r="AF449" s="37" t="str">
        <f>IF($A449="","",COUNTIFS(Publikace!$A$4:$A$503,$A449))</f>
        <v/>
      </c>
      <c r="AG449" s="38" t="str">
        <f>IF($A449="","",IF(AF449=0,"",_xlfn.MINIFS(Publikace!$E$4:$E$503,Publikace!$A$4:$A$503,$A449)))</f>
        <v/>
      </c>
      <c r="AH449" s="37" t="str">
        <f t="shared" si="6"/>
        <v/>
      </c>
      <c r="AI449" s="39" t="str">
        <f ca="1">IF($A449="","",TRIM(IF(AND($U449&lt;&gt;"",$U449&lt;TODAY(),$W449&lt;&gt;"Schváleno",$W449&lt;&gt;"Odloženo",$W449&lt;&gt;"Zrušeno"),"Po termínu odevzdání. ","")&amp;IF(AND($W449="Schváleno",OR($X449="",$Y449="")),"Schváleno bez jména / data. ","")&amp;IF(OR($G449="",$H449="",$I449="",$F449=""),"Chybí zařazení (kategorie, typ, profil nebo měsíc). ","")&amp;IF(AND(OR($I449="Honza",$I449="Radek"),OR($J449="",$J449="Nevztahuje se")),"Doplnit charakter (osobní / pracovní). ","")&amp;IF(AND($W449="Schváleno",$AE449&gt;0),"Schváleno, ale má otevřené připomínky. ","")&amp;IF(AND($AA449="Publikováno",$AF449=0),"Publikováno bez záznamu v listu Publikace. ","")&amp;IF(AND($C449&lt;&gt;"",$D449=""),"Chybí číslo dílu série. ","")&amp;IF(AND($E449&lt;&gt;"",$W449&lt;&gt;"Schváleno",$W449&lt;&gt;"Odloženo",$W449&lt;&gt;"Zrušeno",IFERROR(VLOOKUP($E449,Nastavení!$A$30:$G$53,3,FALSE()),0)&gt;0,IFERROR(VLOOKUP($E449,Nastavení!$A$30:$G$53,3,FALSE()),0)&lt;TODAY()),"Neschváleno po termínu cyklu. ","")))</f>
        <v/>
      </c>
    </row>
    <row r="450" spans="1:35" x14ac:dyDescent="0.2">
      <c r="A450" s="35"/>
      <c r="B450" s="11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11"/>
      <c r="N450" s="11"/>
      <c r="O450" s="11"/>
      <c r="P450" s="11"/>
      <c r="Q450" s="11"/>
      <c r="R450" s="11"/>
      <c r="S450" s="11"/>
      <c r="T450" s="35"/>
      <c r="U450" s="36"/>
      <c r="V450" s="11"/>
      <c r="W450" s="35"/>
      <c r="X450" s="35"/>
      <c r="Y450" s="36"/>
      <c r="Z450" s="11"/>
      <c r="AA450" s="35"/>
      <c r="AB450" s="36"/>
      <c r="AC450" s="35"/>
      <c r="AD450" s="35"/>
      <c r="AE450" s="37" t="str">
        <f>IF($A450="","",COUNTIFS(Připomínky!$A$4:$A$503,$A450,Připomínky!$J$4:$J$503,"Nevyřešeno"))</f>
        <v/>
      </c>
      <c r="AF450" s="37" t="str">
        <f>IF($A450="","",COUNTIFS(Publikace!$A$4:$A$503,$A450))</f>
        <v/>
      </c>
      <c r="AG450" s="38" t="str">
        <f>IF($A450="","",IF(AF450=0,"",_xlfn.MINIFS(Publikace!$E$4:$E$503,Publikace!$A$4:$A$503,$A450)))</f>
        <v/>
      </c>
      <c r="AH450" s="37" t="str">
        <f t="shared" si="6"/>
        <v/>
      </c>
      <c r="AI450" s="39" t="str">
        <f ca="1">IF($A450="","",TRIM(IF(AND($U450&lt;&gt;"",$U450&lt;TODAY(),$W450&lt;&gt;"Schváleno",$W450&lt;&gt;"Odloženo",$W450&lt;&gt;"Zrušeno"),"Po termínu odevzdání. ","")&amp;IF(AND($W450="Schváleno",OR($X450="",$Y450="")),"Schváleno bez jména / data. ","")&amp;IF(OR($G450="",$H450="",$I450="",$F450=""),"Chybí zařazení (kategorie, typ, profil nebo měsíc). ","")&amp;IF(AND(OR($I450="Honza",$I450="Radek"),OR($J450="",$J450="Nevztahuje se")),"Doplnit charakter (osobní / pracovní). ","")&amp;IF(AND($W450="Schváleno",$AE450&gt;0),"Schváleno, ale má otevřené připomínky. ","")&amp;IF(AND($AA450="Publikováno",$AF450=0),"Publikováno bez záznamu v listu Publikace. ","")&amp;IF(AND($C450&lt;&gt;"",$D450=""),"Chybí číslo dílu série. ","")&amp;IF(AND($E450&lt;&gt;"",$W450&lt;&gt;"Schváleno",$W450&lt;&gt;"Odloženo",$W450&lt;&gt;"Zrušeno",IFERROR(VLOOKUP($E450,Nastavení!$A$30:$G$53,3,FALSE()),0)&gt;0,IFERROR(VLOOKUP($E450,Nastavení!$A$30:$G$53,3,FALSE()),0)&lt;TODAY()),"Neschváleno po termínu cyklu. ","")))</f>
        <v/>
      </c>
    </row>
    <row r="451" spans="1:35" x14ac:dyDescent="0.2">
      <c r="A451" s="35"/>
      <c r="B451" s="11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11"/>
      <c r="N451" s="11"/>
      <c r="O451" s="11"/>
      <c r="P451" s="11"/>
      <c r="Q451" s="11"/>
      <c r="R451" s="11"/>
      <c r="S451" s="11"/>
      <c r="T451" s="35"/>
      <c r="U451" s="36"/>
      <c r="V451" s="11"/>
      <c r="W451" s="35"/>
      <c r="X451" s="35"/>
      <c r="Y451" s="36"/>
      <c r="Z451" s="11"/>
      <c r="AA451" s="35"/>
      <c r="AB451" s="36"/>
      <c r="AC451" s="35"/>
      <c r="AD451" s="35"/>
      <c r="AE451" s="37" t="str">
        <f>IF($A451="","",COUNTIFS(Připomínky!$A$4:$A$503,$A451,Připomínky!$J$4:$J$503,"Nevyřešeno"))</f>
        <v/>
      </c>
      <c r="AF451" s="37" t="str">
        <f>IF($A451="","",COUNTIFS(Publikace!$A$4:$A$503,$A451))</f>
        <v/>
      </c>
      <c r="AG451" s="38" t="str">
        <f>IF($A451="","",IF(AF451=0,"",_xlfn.MINIFS(Publikace!$E$4:$E$503,Publikace!$A$4:$A$503,$A451)))</f>
        <v/>
      </c>
      <c r="AH451" s="37" t="str">
        <f t="shared" si="6"/>
        <v/>
      </c>
      <c r="AI451" s="39" t="str">
        <f ca="1">IF($A451="","",TRIM(IF(AND($U451&lt;&gt;"",$U451&lt;TODAY(),$W451&lt;&gt;"Schváleno",$W451&lt;&gt;"Odloženo",$W451&lt;&gt;"Zrušeno"),"Po termínu odevzdání. ","")&amp;IF(AND($W451="Schváleno",OR($X451="",$Y451="")),"Schváleno bez jména / data. ","")&amp;IF(OR($G451="",$H451="",$I451="",$F451=""),"Chybí zařazení (kategorie, typ, profil nebo měsíc). ","")&amp;IF(AND(OR($I451="Honza",$I451="Radek"),OR($J451="",$J451="Nevztahuje se")),"Doplnit charakter (osobní / pracovní). ","")&amp;IF(AND($W451="Schváleno",$AE451&gt;0),"Schváleno, ale má otevřené připomínky. ","")&amp;IF(AND($AA451="Publikováno",$AF451=0),"Publikováno bez záznamu v listu Publikace. ","")&amp;IF(AND($C451&lt;&gt;"",$D451=""),"Chybí číslo dílu série. ","")&amp;IF(AND($E451&lt;&gt;"",$W451&lt;&gt;"Schváleno",$W451&lt;&gt;"Odloženo",$W451&lt;&gt;"Zrušeno",IFERROR(VLOOKUP($E451,Nastavení!$A$30:$G$53,3,FALSE()),0)&gt;0,IFERROR(VLOOKUP($E451,Nastavení!$A$30:$G$53,3,FALSE()),0)&lt;TODAY()),"Neschváleno po termínu cyklu. ","")))</f>
        <v/>
      </c>
    </row>
    <row r="452" spans="1:35" x14ac:dyDescent="0.2">
      <c r="A452" s="35"/>
      <c r="B452" s="11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11"/>
      <c r="N452" s="11"/>
      <c r="O452" s="11"/>
      <c r="P452" s="11"/>
      <c r="Q452" s="11"/>
      <c r="R452" s="11"/>
      <c r="S452" s="11"/>
      <c r="T452" s="35"/>
      <c r="U452" s="36"/>
      <c r="V452" s="11"/>
      <c r="W452" s="35"/>
      <c r="X452" s="35"/>
      <c r="Y452" s="36"/>
      <c r="Z452" s="11"/>
      <c r="AA452" s="35"/>
      <c r="AB452" s="36"/>
      <c r="AC452" s="35"/>
      <c r="AD452" s="35"/>
      <c r="AE452" s="37" t="str">
        <f>IF($A452="","",COUNTIFS(Připomínky!$A$4:$A$503,$A452,Připomínky!$J$4:$J$503,"Nevyřešeno"))</f>
        <v/>
      </c>
      <c r="AF452" s="37" t="str">
        <f>IF($A452="","",COUNTIFS(Publikace!$A$4:$A$503,$A452))</f>
        <v/>
      </c>
      <c r="AG452" s="38" t="str">
        <f>IF($A452="","",IF(AF452=0,"",_xlfn.MINIFS(Publikace!$E$4:$E$503,Publikace!$A$4:$A$503,$A452)))</f>
        <v/>
      </c>
      <c r="AH452" s="37" t="str">
        <f t="shared" ref="AH452:AH515" si="7">IF(AG452="","",YEAR(AG452)&amp;"-"&amp;TEXT(MONTH(AG452),"00"))</f>
        <v/>
      </c>
      <c r="AI452" s="39" t="str">
        <f ca="1">IF($A452="","",TRIM(IF(AND($U452&lt;&gt;"",$U452&lt;TODAY(),$W452&lt;&gt;"Schváleno",$W452&lt;&gt;"Odloženo",$W452&lt;&gt;"Zrušeno"),"Po termínu odevzdání. ","")&amp;IF(AND($W452="Schváleno",OR($X452="",$Y452="")),"Schváleno bez jména / data. ","")&amp;IF(OR($G452="",$H452="",$I452="",$F452=""),"Chybí zařazení (kategorie, typ, profil nebo měsíc). ","")&amp;IF(AND(OR($I452="Honza",$I452="Radek"),OR($J452="",$J452="Nevztahuje se")),"Doplnit charakter (osobní / pracovní). ","")&amp;IF(AND($W452="Schváleno",$AE452&gt;0),"Schváleno, ale má otevřené připomínky. ","")&amp;IF(AND($AA452="Publikováno",$AF452=0),"Publikováno bez záznamu v listu Publikace. ","")&amp;IF(AND($C452&lt;&gt;"",$D452=""),"Chybí číslo dílu série. ","")&amp;IF(AND($E452&lt;&gt;"",$W452&lt;&gt;"Schváleno",$W452&lt;&gt;"Odloženo",$W452&lt;&gt;"Zrušeno",IFERROR(VLOOKUP($E452,Nastavení!$A$30:$G$53,3,FALSE()),0)&gt;0,IFERROR(VLOOKUP($E452,Nastavení!$A$30:$G$53,3,FALSE()),0)&lt;TODAY()),"Neschváleno po termínu cyklu. ","")))</f>
        <v/>
      </c>
    </row>
    <row r="453" spans="1:35" x14ac:dyDescent="0.2">
      <c r="A453" s="35"/>
      <c r="B453" s="11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11"/>
      <c r="N453" s="11"/>
      <c r="O453" s="11"/>
      <c r="P453" s="11"/>
      <c r="Q453" s="11"/>
      <c r="R453" s="11"/>
      <c r="S453" s="11"/>
      <c r="T453" s="35"/>
      <c r="U453" s="36"/>
      <c r="V453" s="11"/>
      <c r="W453" s="35"/>
      <c r="X453" s="35"/>
      <c r="Y453" s="36"/>
      <c r="Z453" s="11"/>
      <c r="AA453" s="35"/>
      <c r="AB453" s="36"/>
      <c r="AC453" s="35"/>
      <c r="AD453" s="35"/>
      <c r="AE453" s="37" t="str">
        <f>IF($A453="","",COUNTIFS(Připomínky!$A$4:$A$503,$A453,Připomínky!$J$4:$J$503,"Nevyřešeno"))</f>
        <v/>
      </c>
      <c r="AF453" s="37" t="str">
        <f>IF($A453="","",COUNTIFS(Publikace!$A$4:$A$503,$A453))</f>
        <v/>
      </c>
      <c r="AG453" s="38" t="str">
        <f>IF($A453="","",IF(AF453=0,"",_xlfn.MINIFS(Publikace!$E$4:$E$503,Publikace!$A$4:$A$503,$A453)))</f>
        <v/>
      </c>
      <c r="AH453" s="37" t="str">
        <f t="shared" si="7"/>
        <v/>
      </c>
      <c r="AI453" s="39" t="str">
        <f ca="1">IF($A453="","",TRIM(IF(AND($U453&lt;&gt;"",$U453&lt;TODAY(),$W453&lt;&gt;"Schváleno",$W453&lt;&gt;"Odloženo",$W453&lt;&gt;"Zrušeno"),"Po termínu odevzdání. ","")&amp;IF(AND($W453="Schváleno",OR($X453="",$Y453="")),"Schváleno bez jména / data. ","")&amp;IF(OR($G453="",$H453="",$I453="",$F453=""),"Chybí zařazení (kategorie, typ, profil nebo měsíc). ","")&amp;IF(AND(OR($I453="Honza",$I453="Radek"),OR($J453="",$J453="Nevztahuje se")),"Doplnit charakter (osobní / pracovní). ","")&amp;IF(AND($W453="Schváleno",$AE453&gt;0),"Schváleno, ale má otevřené připomínky. ","")&amp;IF(AND($AA453="Publikováno",$AF453=0),"Publikováno bez záznamu v listu Publikace. ","")&amp;IF(AND($C453&lt;&gt;"",$D453=""),"Chybí číslo dílu série. ","")&amp;IF(AND($E453&lt;&gt;"",$W453&lt;&gt;"Schváleno",$W453&lt;&gt;"Odloženo",$W453&lt;&gt;"Zrušeno",IFERROR(VLOOKUP($E453,Nastavení!$A$30:$G$53,3,FALSE()),0)&gt;0,IFERROR(VLOOKUP($E453,Nastavení!$A$30:$G$53,3,FALSE()),0)&lt;TODAY()),"Neschváleno po termínu cyklu. ","")))</f>
        <v/>
      </c>
    </row>
    <row r="454" spans="1:35" x14ac:dyDescent="0.2">
      <c r="A454" s="35"/>
      <c r="B454" s="11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11"/>
      <c r="N454" s="11"/>
      <c r="O454" s="11"/>
      <c r="P454" s="11"/>
      <c r="Q454" s="11"/>
      <c r="R454" s="11"/>
      <c r="S454" s="11"/>
      <c r="T454" s="35"/>
      <c r="U454" s="36"/>
      <c r="V454" s="11"/>
      <c r="W454" s="35"/>
      <c r="X454" s="35"/>
      <c r="Y454" s="36"/>
      <c r="Z454" s="11"/>
      <c r="AA454" s="35"/>
      <c r="AB454" s="36"/>
      <c r="AC454" s="35"/>
      <c r="AD454" s="35"/>
      <c r="AE454" s="37" t="str">
        <f>IF($A454="","",COUNTIFS(Připomínky!$A$4:$A$503,$A454,Připomínky!$J$4:$J$503,"Nevyřešeno"))</f>
        <v/>
      </c>
      <c r="AF454" s="37" t="str">
        <f>IF($A454="","",COUNTIFS(Publikace!$A$4:$A$503,$A454))</f>
        <v/>
      </c>
      <c r="AG454" s="38" t="str">
        <f>IF($A454="","",IF(AF454=0,"",_xlfn.MINIFS(Publikace!$E$4:$E$503,Publikace!$A$4:$A$503,$A454)))</f>
        <v/>
      </c>
      <c r="AH454" s="37" t="str">
        <f t="shared" si="7"/>
        <v/>
      </c>
      <c r="AI454" s="39" t="str">
        <f ca="1">IF($A454="","",TRIM(IF(AND($U454&lt;&gt;"",$U454&lt;TODAY(),$W454&lt;&gt;"Schváleno",$W454&lt;&gt;"Odloženo",$W454&lt;&gt;"Zrušeno"),"Po termínu odevzdání. ","")&amp;IF(AND($W454="Schváleno",OR($X454="",$Y454="")),"Schváleno bez jména / data. ","")&amp;IF(OR($G454="",$H454="",$I454="",$F454=""),"Chybí zařazení (kategorie, typ, profil nebo měsíc). ","")&amp;IF(AND(OR($I454="Honza",$I454="Radek"),OR($J454="",$J454="Nevztahuje se")),"Doplnit charakter (osobní / pracovní). ","")&amp;IF(AND($W454="Schváleno",$AE454&gt;0),"Schváleno, ale má otevřené připomínky. ","")&amp;IF(AND($AA454="Publikováno",$AF454=0),"Publikováno bez záznamu v listu Publikace. ","")&amp;IF(AND($C454&lt;&gt;"",$D454=""),"Chybí číslo dílu série. ","")&amp;IF(AND($E454&lt;&gt;"",$W454&lt;&gt;"Schváleno",$W454&lt;&gt;"Odloženo",$W454&lt;&gt;"Zrušeno",IFERROR(VLOOKUP($E454,Nastavení!$A$30:$G$53,3,FALSE()),0)&gt;0,IFERROR(VLOOKUP($E454,Nastavení!$A$30:$G$53,3,FALSE()),0)&lt;TODAY()),"Neschváleno po termínu cyklu. ","")))</f>
        <v/>
      </c>
    </row>
    <row r="455" spans="1:35" x14ac:dyDescent="0.2">
      <c r="A455" s="35"/>
      <c r="B455" s="11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11"/>
      <c r="N455" s="11"/>
      <c r="O455" s="11"/>
      <c r="P455" s="11"/>
      <c r="Q455" s="11"/>
      <c r="R455" s="11"/>
      <c r="S455" s="11"/>
      <c r="T455" s="35"/>
      <c r="U455" s="36"/>
      <c r="V455" s="11"/>
      <c r="W455" s="35"/>
      <c r="X455" s="35"/>
      <c r="Y455" s="36"/>
      <c r="Z455" s="11"/>
      <c r="AA455" s="35"/>
      <c r="AB455" s="36"/>
      <c r="AC455" s="35"/>
      <c r="AD455" s="35"/>
      <c r="AE455" s="37" t="str">
        <f>IF($A455="","",COUNTIFS(Připomínky!$A$4:$A$503,$A455,Připomínky!$J$4:$J$503,"Nevyřešeno"))</f>
        <v/>
      </c>
      <c r="AF455" s="37" t="str">
        <f>IF($A455="","",COUNTIFS(Publikace!$A$4:$A$503,$A455))</f>
        <v/>
      </c>
      <c r="AG455" s="38" t="str">
        <f>IF($A455="","",IF(AF455=0,"",_xlfn.MINIFS(Publikace!$E$4:$E$503,Publikace!$A$4:$A$503,$A455)))</f>
        <v/>
      </c>
      <c r="AH455" s="37" t="str">
        <f t="shared" si="7"/>
        <v/>
      </c>
      <c r="AI455" s="39" t="str">
        <f ca="1">IF($A455="","",TRIM(IF(AND($U455&lt;&gt;"",$U455&lt;TODAY(),$W455&lt;&gt;"Schváleno",$W455&lt;&gt;"Odloženo",$W455&lt;&gt;"Zrušeno"),"Po termínu odevzdání. ","")&amp;IF(AND($W455="Schváleno",OR($X455="",$Y455="")),"Schváleno bez jména / data. ","")&amp;IF(OR($G455="",$H455="",$I455="",$F455=""),"Chybí zařazení (kategorie, typ, profil nebo měsíc). ","")&amp;IF(AND(OR($I455="Honza",$I455="Radek"),OR($J455="",$J455="Nevztahuje se")),"Doplnit charakter (osobní / pracovní). ","")&amp;IF(AND($W455="Schváleno",$AE455&gt;0),"Schváleno, ale má otevřené připomínky. ","")&amp;IF(AND($AA455="Publikováno",$AF455=0),"Publikováno bez záznamu v listu Publikace. ","")&amp;IF(AND($C455&lt;&gt;"",$D455=""),"Chybí číslo dílu série. ","")&amp;IF(AND($E455&lt;&gt;"",$W455&lt;&gt;"Schváleno",$W455&lt;&gt;"Odloženo",$W455&lt;&gt;"Zrušeno",IFERROR(VLOOKUP($E455,Nastavení!$A$30:$G$53,3,FALSE()),0)&gt;0,IFERROR(VLOOKUP($E455,Nastavení!$A$30:$G$53,3,FALSE()),0)&lt;TODAY()),"Neschváleno po termínu cyklu. ","")))</f>
        <v/>
      </c>
    </row>
    <row r="456" spans="1:35" x14ac:dyDescent="0.2">
      <c r="A456" s="35"/>
      <c r="B456" s="11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11"/>
      <c r="N456" s="11"/>
      <c r="O456" s="11"/>
      <c r="P456" s="11"/>
      <c r="Q456" s="11"/>
      <c r="R456" s="11"/>
      <c r="S456" s="11"/>
      <c r="T456" s="35"/>
      <c r="U456" s="36"/>
      <c r="V456" s="11"/>
      <c r="W456" s="35"/>
      <c r="X456" s="35"/>
      <c r="Y456" s="36"/>
      <c r="Z456" s="11"/>
      <c r="AA456" s="35"/>
      <c r="AB456" s="36"/>
      <c r="AC456" s="35"/>
      <c r="AD456" s="35"/>
      <c r="AE456" s="37" t="str">
        <f>IF($A456="","",COUNTIFS(Připomínky!$A$4:$A$503,$A456,Připomínky!$J$4:$J$503,"Nevyřešeno"))</f>
        <v/>
      </c>
      <c r="AF456" s="37" t="str">
        <f>IF($A456="","",COUNTIFS(Publikace!$A$4:$A$503,$A456))</f>
        <v/>
      </c>
      <c r="AG456" s="38" t="str">
        <f>IF($A456="","",IF(AF456=0,"",_xlfn.MINIFS(Publikace!$E$4:$E$503,Publikace!$A$4:$A$503,$A456)))</f>
        <v/>
      </c>
      <c r="AH456" s="37" t="str">
        <f t="shared" si="7"/>
        <v/>
      </c>
      <c r="AI456" s="39" t="str">
        <f ca="1">IF($A456="","",TRIM(IF(AND($U456&lt;&gt;"",$U456&lt;TODAY(),$W456&lt;&gt;"Schváleno",$W456&lt;&gt;"Odloženo",$W456&lt;&gt;"Zrušeno"),"Po termínu odevzdání. ","")&amp;IF(AND($W456="Schváleno",OR($X456="",$Y456="")),"Schváleno bez jména / data. ","")&amp;IF(OR($G456="",$H456="",$I456="",$F456=""),"Chybí zařazení (kategorie, typ, profil nebo měsíc). ","")&amp;IF(AND(OR($I456="Honza",$I456="Radek"),OR($J456="",$J456="Nevztahuje se")),"Doplnit charakter (osobní / pracovní). ","")&amp;IF(AND($W456="Schváleno",$AE456&gt;0),"Schváleno, ale má otevřené připomínky. ","")&amp;IF(AND($AA456="Publikováno",$AF456=0),"Publikováno bez záznamu v listu Publikace. ","")&amp;IF(AND($C456&lt;&gt;"",$D456=""),"Chybí číslo dílu série. ","")&amp;IF(AND($E456&lt;&gt;"",$W456&lt;&gt;"Schváleno",$W456&lt;&gt;"Odloženo",$W456&lt;&gt;"Zrušeno",IFERROR(VLOOKUP($E456,Nastavení!$A$30:$G$53,3,FALSE()),0)&gt;0,IFERROR(VLOOKUP($E456,Nastavení!$A$30:$G$53,3,FALSE()),0)&lt;TODAY()),"Neschváleno po termínu cyklu. ","")))</f>
        <v/>
      </c>
    </row>
    <row r="457" spans="1:35" x14ac:dyDescent="0.2">
      <c r="A457" s="35"/>
      <c r="B457" s="11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11"/>
      <c r="N457" s="11"/>
      <c r="O457" s="11"/>
      <c r="P457" s="11"/>
      <c r="Q457" s="11"/>
      <c r="R457" s="11"/>
      <c r="S457" s="11"/>
      <c r="T457" s="35"/>
      <c r="U457" s="36"/>
      <c r="V457" s="11"/>
      <c r="W457" s="35"/>
      <c r="X457" s="35"/>
      <c r="Y457" s="36"/>
      <c r="Z457" s="11"/>
      <c r="AA457" s="35"/>
      <c r="AB457" s="36"/>
      <c r="AC457" s="35"/>
      <c r="AD457" s="35"/>
      <c r="AE457" s="37" t="str">
        <f>IF($A457="","",COUNTIFS(Připomínky!$A$4:$A$503,$A457,Připomínky!$J$4:$J$503,"Nevyřešeno"))</f>
        <v/>
      </c>
      <c r="AF457" s="37" t="str">
        <f>IF($A457="","",COUNTIFS(Publikace!$A$4:$A$503,$A457))</f>
        <v/>
      </c>
      <c r="AG457" s="38" t="str">
        <f>IF($A457="","",IF(AF457=0,"",_xlfn.MINIFS(Publikace!$E$4:$E$503,Publikace!$A$4:$A$503,$A457)))</f>
        <v/>
      </c>
      <c r="AH457" s="37" t="str">
        <f t="shared" si="7"/>
        <v/>
      </c>
      <c r="AI457" s="39" t="str">
        <f ca="1">IF($A457="","",TRIM(IF(AND($U457&lt;&gt;"",$U457&lt;TODAY(),$W457&lt;&gt;"Schváleno",$W457&lt;&gt;"Odloženo",$W457&lt;&gt;"Zrušeno"),"Po termínu odevzdání. ","")&amp;IF(AND($W457="Schváleno",OR($X457="",$Y457="")),"Schváleno bez jména / data. ","")&amp;IF(OR($G457="",$H457="",$I457="",$F457=""),"Chybí zařazení (kategorie, typ, profil nebo měsíc). ","")&amp;IF(AND(OR($I457="Honza",$I457="Radek"),OR($J457="",$J457="Nevztahuje se")),"Doplnit charakter (osobní / pracovní). ","")&amp;IF(AND($W457="Schváleno",$AE457&gt;0),"Schváleno, ale má otevřené připomínky. ","")&amp;IF(AND($AA457="Publikováno",$AF457=0),"Publikováno bez záznamu v listu Publikace. ","")&amp;IF(AND($C457&lt;&gt;"",$D457=""),"Chybí číslo dílu série. ","")&amp;IF(AND($E457&lt;&gt;"",$W457&lt;&gt;"Schváleno",$W457&lt;&gt;"Odloženo",$W457&lt;&gt;"Zrušeno",IFERROR(VLOOKUP($E457,Nastavení!$A$30:$G$53,3,FALSE()),0)&gt;0,IFERROR(VLOOKUP($E457,Nastavení!$A$30:$G$53,3,FALSE()),0)&lt;TODAY()),"Neschváleno po termínu cyklu. ","")))</f>
        <v/>
      </c>
    </row>
    <row r="458" spans="1:35" x14ac:dyDescent="0.2">
      <c r="A458" s="35"/>
      <c r="B458" s="11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11"/>
      <c r="N458" s="11"/>
      <c r="O458" s="11"/>
      <c r="P458" s="11"/>
      <c r="Q458" s="11"/>
      <c r="R458" s="11"/>
      <c r="S458" s="11"/>
      <c r="T458" s="35"/>
      <c r="U458" s="36"/>
      <c r="V458" s="11"/>
      <c r="W458" s="35"/>
      <c r="X458" s="35"/>
      <c r="Y458" s="36"/>
      <c r="Z458" s="11"/>
      <c r="AA458" s="35"/>
      <c r="AB458" s="36"/>
      <c r="AC458" s="35"/>
      <c r="AD458" s="35"/>
      <c r="AE458" s="37" t="str">
        <f>IF($A458="","",COUNTIFS(Připomínky!$A$4:$A$503,$A458,Připomínky!$J$4:$J$503,"Nevyřešeno"))</f>
        <v/>
      </c>
      <c r="AF458" s="37" t="str">
        <f>IF($A458="","",COUNTIFS(Publikace!$A$4:$A$503,$A458))</f>
        <v/>
      </c>
      <c r="AG458" s="38" t="str">
        <f>IF($A458="","",IF(AF458=0,"",_xlfn.MINIFS(Publikace!$E$4:$E$503,Publikace!$A$4:$A$503,$A458)))</f>
        <v/>
      </c>
      <c r="AH458" s="37" t="str">
        <f t="shared" si="7"/>
        <v/>
      </c>
      <c r="AI458" s="39" t="str">
        <f ca="1">IF($A458="","",TRIM(IF(AND($U458&lt;&gt;"",$U458&lt;TODAY(),$W458&lt;&gt;"Schváleno",$W458&lt;&gt;"Odloženo",$W458&lt;&gt;"Zrušeno"),"Po termínu odevzdání. ","")&amp;IF(AND($W458="Schváleno",OR($X458="",$Y458="")),"Schváleno bez jména / data. ","")&amp;IF(OR($G458="",$H458="",$I458="",$F458=""),"Chybí zařazení (kategorie, typ, profil nebo měsíc). ","")&amp;IF(AND(OR($I458="Honza",$I458="Radek"),OR($J458="",$J458="Nevztahuje se")),"Doplnit charakter (osobní / pracovní). ","")&amp;IF(AND($W458="Schváleno",$AE458&gt;0),"Schváleno, ale má otevřené připomínky. ","")&amp;IF(AND($AA458="Publikováno",$AF458=0),"Publikováno bez záznamu v listu Publikace. ","")&amp;IF(AND($C458&lt;&gt;"",$D458=""),"Chybí číslo dílu série. ","")&amp;IF(AND($E458&lt;&gt;"",$W458&lt;&gt;"Schváleno",$W458&lt;&gt;"Odloženo",$W458&lt;&gt;"Zrušeno",IFERROR(VLOOKUP($E458,Nastavení!$A$30:$G$53,3,FALSE()),0)&gt;0,IFERROR(VLOOKUP($E458,Nastavení!$A$30:$G$53,3,FALSE()),0)&lt;TODAY()),"Neschváleno po termínu cyklu. ","")))</f>
        <v/>
      </c>
    </row>
    <row r="459" spans="1:35" x14ac:dyDescent="0.2">
      <c r="A459" s="35"/>
      <c r="B459" s="11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11"/>
      <c r="N459" s="11"/>
      <c r="O459" s="11"/>
      <c r="P459" s="11"/>
      <c r="Q459" s="11"/>
      <c r="R459" s="11"/>
      <c r="S459" s="11"/>
      <c r="T459" s="35"/>
      <c r="U459" s="36"/>
      <c r="V459" s="11"/>
      <c r="W459" s="35"/>
      <c r="X459" s="35"/>
      <c r="Y459" s="36"/>
      <c r="Z459" s="11"/>
      <c r="AA459" s="35"/>
      <c r="AB459" s="36"/>
      <c r="AC459" s="35"/>
      <c r="AD459" s="35"/>
      <c r="AE459" s="37" t="str">
        <f>IF($A459="","",COUNTIFS(Připomínky!$A$4:$A$503,$A459,Připomínky!$J$4:$J$503,"Nevyřešeno"))</f>
        <v/>
      </c>
      <c r="AF459" s="37" t="str">
        <f>IF($A459="","",COUNTIFS(Publikace!$A$4:$A$503,$A459))</f>
        <v/>
      </c>
      <c r="AG459" s="38" t="str">
        <f>IF($A459="","",IF(AF459=0,"",_xlfn.MINIFS(Publikace!$E$4:$E$503,Publikace!$A$4:$A$503,$A459)))</f>
        <v/>
      </c>
      <c r="AH459" s="37" t="str">
        <f t="shared" si="7"/>
        <v/>
      </c>
      <c r="AI459" s="39" t="str">
        <f ca="1">IF($A459="","",TRIM(IF(AND($U459&lt;&gt;"",$U459&lt;TODAY(),$W459&lt;&gt;"Schváleno",$W459&lt;&gt;"Odloženo",$W459&lt;&gt;"Zrušeno"),"Po termínu odevzdání. ","")&amp;IF(AND($W459="Schváleno",OR($X459="",$Y459="")),"Schváleno bez jména / data. ","")&amp;IF(OR($G459="",$H459="",$I459="",$F459=""),"Chybí zařazení (kategorie, typ, profil nebo měsíc). ","")&amp;IF(AND(OR($I459="Honza",$I459="Radek"),OR($J459="",$J459="Nevztahuje se")),"Doplnit charakter (osobní / pracovní). ","")&amp;IF(AND($W459="Schváleno",$AE459&gt;0),"Schváleno, ale má otevřené připomínky. ","")&amp;IF(AND($AA459="Publikováno",$AF459=0),"Publikováno bez záznamu v listu Publikace. ","")&amp;IF(AND($C459&lt;&gt;"",$D459=""),"Chybí číslo dílu série. ","")&amp;IF(AND($E459&lt;&gt;"",$W459&lt;&gt;"Schváleno",$W459&lt;&gt;"Odloženo",$W459&lt;&gt;"Zrušeno",IFERROR(VLOOKUP($E459,Nastavení!$A$30:$G$53,3,FALSE()),0)&gt;0,IFERROR(VLOOKUP($E459,Nastavení!$A$30:$G$53,3,FALSE()),0)&lt;TODAY()),"Neschváleno po termínu cyklu. ","")))</f>
        <v/>
      </c>
    </row>
    <row r="460" spans="1:35" x14ac:dyDescent="0.2">
      <c r="A460" s="35"/>
      <c r="B460" s="11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11"/>
      <c r="N460" s="11"/>
      <c r="O460" s="11"/>
      <c r="P460" s="11"/>
      <c r="Q460" s="11"/>
      <c r="R460" s="11"/>
      <c r="S460" s="11"/>
      <c r="T460" s="35"/>
      <c r="U460" s="36"/>
      <c r="V460" s="11"/>
      <c r="W460" s="35"/>
      <c r="X460" s="35"/>
      <c r="Y460" s="36"/>
      <c r="Z460" s="11"/>
      <c r="AA460" s="35"/>
      <c r="AB460" s="36"/>
      <c r="AC460" s="35"/>
      <c r="AD460" s="35"/>
      <c r="AE460" s="37" t="str">
        <f>IF($A460="","",COUNTIFS(Připomínky!$A$4:$A$503,$A460,Připomínky!$J$4:$J$503,"Nevyřešeno"))</f>
        <v/>
      </c>
      <c r="AF460" s="37" t="str">
        <f>IF($A460="","",COUNTIFS(Publikace!$A$4:$A$503,$A460))</f>
        <v/>
      </c>
      <c r="AG460" s="38" t="str">
        <f>IF($A460="","",IF(AF460=0,"",_xlfn.MINIFS(Publikace!$E$4:$E$503,Publikace!$A$4:$A$503,$A460)))</f>
        <v/>
      </c>
      <c r="AH460" s="37" t="str">
        <f t="shared" si="7"/>
        <v/>
      </c>
      <c r="AI460" s="39" t="str">
        <f ca="1">IF($A460="","",TRIM(IF(AND($U460&lt;&gt;"",$U460&lt;TODAY(),$W460&lt;&gt;"Schváleno",$W460&lt;&gt;"Odloženo",$W460&lt;&gt;"Zrušeno"),"Po termínu odevzdání. ","")&amp;IF(AND($W460="Schváleno",OR($X460="",$Y460="")),"Schváleno bez jména / data. ","")&amp;IF(OR($G460="",$H460="",$I460="",$F460=""),"Chybí zařazení (kategorie, typ, profil nebo měsíc). ","")&amp;IF(AND(OR($I460="Honza",$I460="Radek"),OR($J460="",$J460="Nevztahuje se")),"Doplnit charakter (osobní / pracovní). ","")&amp;IF(AND($W460="Schváleno",$AE460&gt;0),"Schváleno, ale má otevřené připomínky. ","")&amp;IF(AND($AA460="Publikováno",$AF460=0),"Publikováno bez záznamu v listu Publikace. ","")&amp;IF(AND($C460&lt;&gt;"",$D460=""),"Chybí číslo dílu série. ","")&amp;IF(AND($E460&lt;&gt;"",$W460&lt;&gt;"Schváleno",$W460&lt;&gt;"Odloženo",$W460&lt;&gt;"Zrušeno",IFERROR(VLOOKUP($E460,Nastavení!$A$30:$G$53,3,FALSE()),0)&gt;0,IFERROR(VLOOKUP($E460,Nastavení!$A$30:$G$53,3,FALSE()),0)&lt;TODAY()),"Neschváleno po termínu cyklu. ","")))</f>
        <v/>
      </c>
    </row>
    <row r="461" spans="1:35" x14ac:dyDescent="0.2">
      <c r="A461" s="35"/>
      <c r="B461" s="11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11"/>
      <c r="N461" s="11"/>
      <c r="O461" s="11"/>
      <c r="P461" s="11"/>
      <c r="Q461" s="11"/>
      <c r="R461" s="11"/>
      <c r="S461" s="11"/>
      <c r="T461" s="35"/>
      <c r="U461" s="36"/>
      <c r="V461" s="11"/>
      <c r="W461" s="35"/>
      <c r="X461" s="35"/>
      <c r="Y461" s="36"/>
      <c r="Z461" s="11"/>
      <c r="AA461" s="35"/>
      <c r="AB461" s="36"/>
      <c r="AC461" s="35"/>
      <c r="AD461" s="35"/>
      <c r="AE461" s="37" t="str">
        <f>IF($A461="","",COUNTIFS(Připomínky!$A$4:$A$503,$A461,Připomínky!$J$4:$J$503,"Nevyřešeno"))</f>
        <v/>
      </c>
      <c r="AF461" s="37" t="str">
        <f>IF($A461="","",COUNTIFS(Publikace!$A$4:$A$503,$A461))</f>
        <v/>
      </c>
      <c r="AG461" s="38" t="str">
        <f>IF($A461="","",IF(AF461=0,"",_xlfn.MINIFS(Publikace!$E$4:$E$503,Publikace!$A$4:$A$503,$A461)))</f>
        <v/>
      </c>
      <c r="AH461" s="37" t="str">
        <f t="shared" si="7"/>
        <v/>
      </c>
      <c r="AI461" s="39" t="str">
        <f ca="1">IF($A461="","",TRIM(IF(AND($U461&lt;&gt;"",$U461&lt;TODAY(),$W461&lt;&gt;"Schváleno",$W461&lt;&gt;"Odloženo",$W461&lt;&gt;"Zrušeno"),"Po termínu odevzdání. ","")&amp;IF(AND($W461="Schváleno",OR($X461="",$Y461="")),"Schváleno bez jména / data. ","")&amp;IF(OR($G461="",$H461="",$I461="",$F461=""),"Chybí zařazení (kategorie, typ, profil nebo měsíc). ","")&amp;IF(AND(OR($I461="Honza",$I461="Radek"),OR($J461="",$J461="Nevztahuje se")),"Doplnit charakter (osobní / pracovní). ","")&amp;IF(AND($W461="Schváleno",$AE461&gt;0),"Schváleno, ale má otevřené připomínky. ","")&amp;IF(AND($AA461="Publikováno",$AF461=0),"Publikováno bez záznamu v listu Publikace. ","")&amp;IF(AND($C461&lt;&gt;"",$D461=""),"Chybí číslo dílu série. ","")&amp;IF(AND($E461&lt;&gt;"",$W461&lt;&gt;"Schváleno",$W461&lt;&gt;"Odloženo",$W461&lt;&gt;"Zrušeno",IFERROR(VLOOKUP($E461,Nastavení!$A$30:$G$53,3,FALSE()),0)&gt;0,IFERROR(VLOOKUP($E461,Nastavení!$A$30:$G$53,3,FALSE()),0)&lt;TODAY()),"Neschváleno po termínu cyklu. ","")))</f>
        <v/>
      </c>
    </row>
    <row r="462" spans="1:35" x14ac:dyDescent="0.2">
      <c r="A462" s="35"/>
      <c r="B462" s="11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11"/>
      <c r="N462" s="11"/>
      <c r="O462" s="11"/>
      <c r="P462" s="11"/>
      <c r="Q462" s="11"/>
      <c r="R462" s="11"/>
      <c r="S462" s="11"/>
      <c r="T462" s="35"/>
      <c r="U462" s="36"/>
      <c r="V462" s="11"/>
      <c r="W462" s="35"/>
      <c r="X462" s="35"/>
      <c r="Y462" s="36"/>
      <c r="Z462" s="11"/>
      <c r="AA462" s="35"/>
      <c r="AB462" s="36"/>
      <c r="AC462" s="35"/>
      <c r="AD462" s="35"/>
      <c r="AE462" s="37" t="str">
        <f>IF($A462="","",COUNTIFS(Připomínky!$A$4:$A$503,$A462,Připomínky!$J$4:$J$503,"Nevyřešeno"))</f>
        <v/>
      </c>
      <c r="AF462" s="37" t="str">
        <f>IF($A462="","",COUNTIFS(Publikace!$A$4:$A$503,$A462))</f>
        <v/>
      </c>
      <c r="AG462" s="38" t="str">
        <f>IF($A462="","",IF(AF462=0,"",_xlfn.MINIFS(Publikace!$E$4:$E$503,Publikace!$A$4:$A$503,$A462)))</f>
        <v/>
      </c>
      <c r="AH462" s="37" t="str">
        <f t="shared" si="7"/>
        <v/>
      </c>
      <c r="AI462" s="39" t="str">
        <f ca="1">IF($A462="","",TRIM(IF(AND($U462&lt;&gt;"",$U462&lt;TODAY(),$W462&lt;&gt;"Schváleno",$W462&lt;&gt;"Odloženo",$W462&lt;&gt;"Zrušeno"),"Po termínu odevzdání. ","")&amp;IF(AND($W462="Schváleno",OR($X462="",$Y462="")),"Schváleno bez jména / data. ","")&amp;IF(OR($G462="",$H462="",$I462="",$F462=""),"Chybí zařazení (kategorie, typ, profil nebo měsíc). ","")&amp;IF(AND(OR($I462="Honza",$I462="Radek"),OR($J462="",$J462="Nevztahuje se")),"Doplnit charakter (osobní / pracovní). ","")&amp;IF(AND($W462="Schváleno",$AE462&gt;0),"Schváleno, ale má otevřené připomínky. ","")&amp;IF(AND($AA462="Publikováno",$AF462=0),"Publikováno bez záznamu v listu Publikace. ","")&amp;IF(AND($C462&lt;&gt;"",$D462=""),"Chybí číslo dílu série. ","")&amp;IF(AND($E462&lt;&gt;"",$W462&lt;&gt;"Schváleno",$W462&lt;&gt;"Odloženo",$W462&lt;&gt;"Zrušeno",IFERROR(VLOOKUP($E462,Nastavení!$A$30:$G$53,3,FALSE()),0)&gt;0,IFERROR(VLOOKUP($E462,Nastavení!$A$30:$G$53,3,FALSE()),0)&lt;TODAY()),"Neschváleno po termínu cyklu. ","")))</f>
        <v/>
      </c>
    </row>
    <row r="463" spans="1:35" x14ac:dyDescent="0.2">
      <c r="A463" s="35"/>
      <c r="B463" s="11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11"/>
      <c r="N463" s="11"/>
      <c r="O463" s="11"/>
      <c r="P463" s="11"/>
      <c r="Q463" s="11"/>
      <c r="R463" s="11"/>
      <c r="S463" s="11"/>
      <c r="T463" s="35"/>
      <c r="U463" s="36"/>
      <c r="V463" s="11"/>
      <c r="W463" s="35"/>
      <c r="X463" s="35"/>
      <c r="Y463" s="36"/>
      <c r="Z463" s="11"/>
      <c r="AA463" s="35"/>
      <c r="AB463" s="36"/>
      <c r="AC463" s="35"/>
      <c r="AD463" s="35"/>
      <c r="AE463" s="37" t="str">
        <f>IF($A463="","",COUNTIFS(Připomínky!$A$4:$A$503,$A463,Připomínky!$J$4:$J$503,"Nevyřešeno"))</f>
        <v/>
      </c>
      <c r="AF463" s="37" t="str">
        <f>IF($A463="","",COUNTIFS(Publikace!$A$4:$A$503,$A463))</f>
        <v/>
      </c>
      <c r="AG463" s="38" t="str">
        <f>IF($A463="","",IF(AF463=0,"",_xlfn.MINIFS(Publikace!$E$4:$E$503,Publikace!$A$4:$A$503,$A463)))</f>
        <v/>
      </c>
      <c r="AH463" s="37" t="str">
        <f t="shared" si="7"/>
        <v/>
      </c>
      <c r="AI463" s="39" t="str">
        <f ca="1">IF($A463="","",TRIM(IF(AND($U463&lt;&gt;"",$U463&lt;TODAY(),$W463&lt;&gt;"Schváleno",$W463&lt;&gt;"Odloženo",$W463&lt;&gt;"Zrušeno"),"Po termínu odevzdání. ","")&amp;IF(AND($W463="Schváleno",OR($X463="",$Y463="")),"Schváleno bez jména / data. ","")&amp;IF(OR($G463="",$H463="",$I463="",$F463=""),"Chybí zařazení (kategorie, typ, profil nebo měsíc). ","")&amp;IF(AND(OR($I463="Honza",$I463="Radek"),OR($J463="",$J463="Nevztahuje se")),"Doplnit charakter (osobní / pracovní). ","")&amp;IF(AND($W463="Schváleno",$AE463&gt;0),"Schváleno, ale má otevřené připomínky. ","")&amp;IF(AND($AA463="Publikováno",$AF463=0),"Publikováno bez záznamu v listu Publikace. ","")&amp;IF(AND($C463&lt;&gt;"",$D463=""),"Chybí číslo dílu série. ","")&amp;IF(AND($E463&lt;&gt;"",$W463&lt;&gt;"Schváleno",$W463&lt;&gt;"Odloženo",$W463&lt;&gt;"Zrušeno",IFERROR(VLOOKUP($E463,Nastavení!$A$30:$G$53,3,FALSE()),0)&gt;0,IFERROR(VLOOKUP($E463,Nastavení!$A$30:$G$53,3,FALSE()),0)&lt;TODAY()),"Neschváleno po termínu cyklu. ","")))</f>
        <v/>
      </c>
    </row>
    <row r="464" spans="1:35" x14ac:dyDescent="0.2">
      <c r="A464" s="35"/>
      <c r="B464" s="11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11"/>
      <c r="N464" s="11"/>
      <c r="O464" s="11"/>
      <c r="P464" s="11"/>
      <c r="Q464" s="11"/>
      <c r="R464" s="11"/>
      <c r="S464" s="11"/>
      <c r="T464" s="35"/>
      <c r="U464" s="36"/>
      <c r="V464" s="11"/>
      <c r="W464" s="35"/>
      <c r="X464" s="35"/>
      <c r="Y464" s="36"/>
      <c r="Z464" s="11"/>
      <c r="AA464" s="35"/>
      <c r="AB464" s="36"/>
      <c r="AC464" s="35"/>
      <c r="AD464" s="35"/>
      <c r="AE464" s="37" t="str">
        <f>IF($A464="","",COUNTIFS(Připomínky!$A$4:$A$503,$A464,Připomínky!$J$4:$J$503,"Nevyřešeno"))</f>
        <v/>
      </c>
      <c r="AF464" s="37" t="str">
        <f>IF($A464="","",COUNTIFS(Publikace!$A$4:$A$503,$A464))</f>
        <v/>
      </c>
      <c r="AG464" s="38" t="str">
        <f>IF($A464="","",IF(AF464=0,"",_xlfn.MINIFS(Publikace!$E$4:$E$503,Publikace!$A$4:$A$503,$A464)))</f>
        <v/>
      </c>
      <c r="AH464" s="37" t="str">
        <f t="shared" si="7"/>
        <v/>
      </c>
      <c r="AI464" s="39" t="str">
        <f ca="1">IF($A464="","",TRIM(IF(AND($U464&lt;&gt;"",$U464&lt;TODAY(),$W464&lt;&gt;"Schváleno",$W464&lt;&gt;"Odloženo",$W464&lt;&gt;"Zrušeno"),"Po termínu odevzdání. ","")&amp;IF(AND($W464="Schváleno",OR($X464="",$Y464="")),"Schváleno bez jména / data. ","")&amp;IF(OR($G464="",$H464="",$I464="",$F464=""),"Chybí zařazení (kategorie, typ, profil nebo měsíc). ","")&amp;IF(AND(OR($I464="Honza",$I464="Radek"),OR($J464="",$J464="Nevztahuje se")),"Doplnit charakter (osobní / pracovní). ","")&amp;IF(AND($W464="Schváleno",$AE464&gt;0),"Schváleno, ale má otevřené připomínky. ","")&amp;IF(AND($AA464="Publikováno",$AF464=0),"Publikováno bez záznamu v listu Publikace. ","")&amp;IF(AND($C464&lt;&gt;"",$D464=""),"Chybí číslo dílu série. ","")&amp;IF(AND($E464&lt;&gt;"",$W464&lt;&gt;"Schváleno",$W464&lt;&gt;"Odloženo",$W464&lt;&gt;"Zrušeno",IFERROR(VLOOKUP($E464,Nastavení!$A$30:$G$53,3,FALSE()),0)&gt;0,IFERROR(VLOOKUP($E464,Nastavení!$A$30:$G$53,3,FALSE()),0)&lt;TODAY()),"Neschváleno po termínu cyklu. ","")))</f>
        <v/>
      </c>
    </row>
    <row r="465" spans="1:35" x14ac:dyDescent="0.2">
      <c r="A465" s="35"/>
      <c r="B465" s="11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11"/>
      <c r="N465" s="11"/>
      <c r="O465" s="11"/>
      <c r="P465" s="11"/>
      <c r="Q465" s="11"/>
      <c r="R465" s="11"/>
      <c r="S465" s="11"/>
      <c r="T465" s="35"/>
      <c r="U465" s="36"/>
      <c r="V465" s="11"/>
      <c r="W465" s="35"/>
      <c r="X465" s="35"/>
      <c r="Y465" s="36"/>
      <c r="Z465" s="11"/>
      <c r="AA465" s="35"/>
      <c r="AB465" s="36"/>
      <c r="AC465" s="35"/>
      <c r="AD465" s="35"/>
      <c r="AE465" s="37" t="str">
        <f>IF($A465="","",COUNTIFS(Připomínky!$A$4:$A$503,$A465,Připomínky!$J$4:$J$503,"Nevyřešeno"))</f>
        <v/>
      </c>
      <c r="AF465" s="37" t="str">
        <f>IF($A465="","",COUNTIFS(Publikace!$A$4:$A$503,$A465))</f>
        <v/>
      </c>
      <c r="AG465" s="38" t="str">
        <f>IF($A465="","",IF(AF465=0,"",_xlfn.MINIFS(Publikace!$E$4:$E$503,Publikace!$A$4:$A$503,$A465)))</f>
        <v/>
      </c>
      <c r="AH465" s="37" t="str">
        <f t="shared" si="7"/>
        <v/>
      </c>
      <c r="AI465" s="39" t="str">
        <f ca="1">IF($A465="","",TRIM(IF(AND($U465&lt;&gt;"",$U465&lt;TODAY(),$W465&lt;&gt;"Schváleno",$W465&lt;&gt;"Odloženo",$W465&lt;&gt;"Zrušeno"),"Po termínu odevzdání. ","")&amp;IF(AND($W465="Schváleno",OR($X465="",$Y465="")),"Schváleno bez jména / data. ","")&amp;IF(OR($G465="",$H465="",$I465="",$F465=""),"Chybí zařazení (kategorie, typ, profil nebo měsíc). ","")&amp;IF(AND(OR($I465="Honza",$I465="Radek"),OR($J465="",$J465="Nevztahuje se")),"Doplnit charakter (osobní / pracovní). ","")&amp;IF(AND($W465="Schváleno",$AE465&gt;0),"Schváleno, ale má otevřené připomínky. ","")&amp;IF(AND($AA465="Publikováno",$AF465=0),"Publikováno bez záznamu v listu Publikace. ","")&amp;IF(AND($C465&lt;&gt;"",$D465=""),"Chybí číslo dílu série. ","")&amp;IF(AND($E465&lt;&gt;"",$W465&lt;&gt;"Schváleno",$W465&lt;&gt;"Odloženo",$W465&lt;&gt;"Zrušeno",IFERROR(VLOOKUP($E465,Nastavení!$A$30:$G$53,3,FALSE()),0)&gt;0,IFERROR(VLOOKUP($E465,Nastavení!$A$30:$G$53,3,FALSE()),0)&lt;TODAY()),"Neschváleno po termínu cyklu. ","")))</f>
        <v/>
      </c>
    </row>
    <row r="466" spans="1:35" x14ac:dyDescent="0.2">
      <c r="A466" s="35"/>
      <c r="B466" s="11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11"/>
      <c r="N466" s="11"/>
      <c r="O466" s="11"/>
      <c r="P466" s="11"/>
      <c r="Q466" s="11"/>
      <c r="R466" s="11"/>
      <c r="S466" s="11"/>
      <c r="T466" s="35"/>
      <c r="U466" s="36"/>
      <c r="V466" s="11"/>
      <c r="W466" s="35"/>
      <c r="X466" s="35"/>
      <c r="Y466" s="36"/>
      <c r="Z466" s="11"/>
      <c r="AA466" s="35"/>
      <c r="AB466" s="36"/>
      <c r="AC466" s="35"/>
      <c r="AD466" s="35"/>
      <c r="AE466" s="37" t="str">
        <f>IF($A466="","",COUNTIFS(Připomínky!$A$4:$A$503,$A466,Připomínky!$J$4:$J$503,"Nevyřešeno"))</f>
        <v/>
      </c>
      <c r="AF466" s="37" t="str">
        <f>IF($A466="","",COUNTIFS(Publikace!$A$4:$A$503,$A466))</f>
        <v/>
      </c>
      <c r="AG466" s="38" t="str">
        <f>IF($A466="","",IF(AF466=0,"",_xlfn.MINIFS(Publikace!$E$4:$E$503,Publikace!$A$4:$A$503,$A466)))</f>
        <v/>
      </c>
      <c r="AH466" s="37" t="str">
        <f t="shared" si="7"/>
        <v/>
      </c>
      <c r="AI466" s="39" t="str">
        <f ca="1">IF($A466="","",TRIM(IF(AND($U466&lt;&gt;"",$U466&lt;TODAY(),$W466&lt;&gt;"Schváleno",$W466&lt;&gt;"Odloženo",$W466&lt;&gt;"Zrušeno"),"Po termínu odevzdání. ","")&amp;IF(AND($W466="Schváleno",OR($X466="",$Y466="")),"Schváleno bez jména / data. ","")&amp;IF(OR($G466="",$H466="",$I466="",$F466=""),"Chybí zařazení (kategorie, typ, profil nebo měsíc). ","")&amp;IF(AND(OR($I466="Honza",$I466="Radek"),OR($J466="",$J466="Nevztahuje se")),"Doplnit charakter (osobní / pracovní). ","")&amp;IF(AND($W466="Schváleno",$AE466&gt;0),"Schváleno, ale má otevřené připomínky. ","")&amp;IF(AND($AA466="Publikováno",$AF466=0),"Publikováno bez záznamu v listu Publikace. ","")&amp;IF(AND($C466&lt;&gt;"",$D466=""),"Chybí číslo dílu série. ","")&amp;IF(AND($E466&lt;&gt;"",$W466&lt;&gt;"Schváleno",$W466&lt;&gt;"Odloženo",$W466&lt;&gt;"Zrušeno",IFERROR(VLOOKUP($E466,Nastavení!$A$30:$G$53,3,FALSE()),0)&gt;0,IFERROR(VLOOKUP($E466,Nastavení!$A$30:$G$53,3,FALSE()),0)&lt;TODAY()),"Neschváleno po termínu cyklu. ","")))</f>
        <v/>
      </c>
    </row>
    <row r="467" spans="1:35" x14ac:dyDescent="0.2">
      <c r="A467" s="35"/>
      <c r="B467" s="11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11"/>
      <c r="N467" s="11"/>
      <c r="O467" s="11"/>
      <c r="P467" s="11"/>
      <c r="Q467" s="11"/>
      <c r="R467" s="11"/>
      <c r="S467" s="11"/>
      <c r="T467" s="35"/>
      <c r="U467" s="36"/>
      <c r="V467" s="11"/>
      <c r="W467" s="35"/>
      <c r="X467" s="35"/>
      <c r="Y467" s="36"/>
      <c r="Z467" s="11"/>
      <c r="AA467" s="35"/>
      <c r="AB467" s="36"/>
      <c r="AC467" s="35"/>
      <c r="AD467" s="35"/>
      <c r="AE467" s="37" t="str">
        <f>IF($A467="","",COUNTIFS(Připomínky!$A$4:$A$503,$A467,Připomínky!$J$4:$J$503,"Nevyřešeno"))</f>
        <v/>
      </c>
      <c r="AF467" s="37" t="str">
        <f>IF($A467="","",COUNTIFS(Publikace!$A$4:$A$503,$A467))</f>
        <v/>
      </c>
      <c r="AG467" s="38" t="str">
        <f>IF($A467="","",IF(AF467=0,"",_xlfn.MINIFS(Publikace!$E$4:$E$503,Publikace!$A$4:$A$503,$A467)))</f>
        <v/>
      </c>
      <c r="AH467" s="37" t="str">
        <f t="shared" si="7"/>
        <v/>
      </c>
      <c r="AI467" s="39" t="str">
        <f ca="1">IF($A467="","",TRIM(IF(AND($U467&lt;&gt;"",$U467&lt;TODAY(),$W467&lt;&gt;"Schváleno",$W467&lt;&gt;"Odloženo",$W467&lt;&gt;"Zrušeno"),"Po termínu odevzdání. ","")&amp;IF(AND($W467="Schváleno",OR($X467="",$Y467="")),"Schváleno bez jména / data. ","")&amp;IF(OR($G467="",$H467="",$I467="",$F467=""),"Chybí zařazení (kategorie, typ, profil nebo měsíc). ","")&amp;IF(AND(OR($I467="Honza",$I467="Radek"),OR($J467="",$J467="Nevztahuje se")),"Doplnit charakter (osobní / pracovní). ","")&amp;IF(AND($W467="Schváleno",$AE467&gt;0),"Schváleno, ale má otevřené připomínky. ","")&amp;IF(AND($AA467="Publikováno",$AF467=0),"Publikováno bez záznamu v listu Publikace. ","")&amp;IF(AND($C467&lt;&gt;"",$D467=""),"Chybí číslo dílu série. ","")&amp;IF(AND($E467&lt;&gt;"",$W467&lt;&gt;"Schváleno",$W467&lt;&gt;"Odloženo",$W467&lt;&gt;"Zrušeno",IFERROR(VLOOKUP($E467,Nastavení!$A$30:$G$53,3,FALSE()),0)&gt;0,IFERROR(VLOOKUP($E467,Nastavení!$A$30:$G$53,3,FALSE()),0)&lt;TODAY()),"Neschváleno po termínu cyklu. ","")))</f>
        <v/>
      </c>
    </row>
    <row r="468" spans="1:35" x14ac:dyDescent="0.2">
      <c r="A468" s="35"/>
      <c r="B468" s="11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11"/>
      <c r="N468" s="11"/>
      <c r="O468" s="11"/>
      <c r="P468" s="11"/>
      <c r="Q468" s="11"/>
      <c r="R468" s="11"/>
      <c r="S468" s="11"/>
      <c r="T468" s="35"/>
      <c r="U468" s="36"/>
      <c r="V468" s="11"/>
      <c r="W468" s="35"/>
      <c r="X468" s="35"/>
      <c r="Y468" s="36"/>
      <c r="Z468" s="11"/>
      <c r="AA468" s="35"/>
      <c r="AB468" s="36"/>
      <c r="AC468" s="35"/>
      <c r="AD468" s="35"/>
      <c r="AE468" s="37" t="str">
        <f>IF($A468="","",COUNTIFS(Připomínky!$A$4:$A$503,$A468,Připomínky!$J$4:$J$503,"Nevyřešeno"))</f>
        <v/>
      </c>
      <c r="AF468" s="37" t="str">
        <f>IF($A468="","",COUNTIFS(Publikace!$A$4:$A$503,$A468))</f>
        <v/>
      </c>
      <c r="AG468" s="38" t="str">
        <f>IF($A468="","",IF(AF468=0,"",_xlfn.MINIFS(Publikace!$E$4:$E$503,Publikace!$A$4:$A$503,$A468)))</f>
        <v/>
      </c>
      <c r="AH468" s="37" t="str">
        <f t="shared" si="7"/>
        <v/>
      </c>
      <c r="AI468" s="39" t="str">
        <f ca="1">IF($A468="","",TRIM(IF(AND($U468&lt;&gt;"",$U468&lt;TODAY(),$W468&lt;&gt;"Schváleno",$W468&lt;&gt;"Odloženo",$W468&lt;&gt;"Zrušeno"),"Po termínu odevzdání. ","")&amp;IF(AND($W468="Schváleno",OR($X468="",$Y468="")),"Schváleno bez jména / data. ","")&amp;IF(OR($G468="",$H468="",$I468="",$F468=""),"Chybí zařazení (kategorie, typ, profil nebo měsíc). ","")&amp;IF(AND(OR($I468="Honza",$I468="Radek"),OR($J468="",$J468="Nevztahuje se")),"Doplnit charakter (osobní / pracovní). ","")&amp;IF(AND($W468="Schváleno",$AE468&gt;0),"Schváleno, ale má otevřené připomínky. ","")&amp;IF(AND($AA468="Publikováno",$AF468=0),"Publikováno bez záznamu v listu Publikace. ","")&amp;IF(AND($C468&lt;&gt;"",$D468=""),"Chybí číslo dílu série. ","")&amp;IF(AND($E468&lt;&gt;"",$W468&lt;&gt;"Schváleno",$W468&lt;&gt;"Odloženo",$W468&lt;&gt;"Zrušeno",IFERROR(VLOOKUP($E468,Nastavení!$A$30:$G$53,3,FALSE()),0)&gt;0,IFERROR(VLOOKUP($E468,Nastavení!$A$30:$G$53,3,FALSE()),0)&lt;TODAY()),"Neschváleno po termínu cyklu. ","")))</f>
        <v/>
      </c>
    </row>
    <row r="469" spans="1:35" x14ac:dyDescent="0.2">
      <c r="A469" s="35"/>
      <c r="B469" s="11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11"/>
      <c r="N469" s="11"/>
      <c r="O469" s="11"/>
      <c r="P469" s="11"/>
      <c r="Q469" s="11"/>
      <c r="R469" s="11"/>
      <c r="S469" s="11"/>
      <c r="T469" s="35"/>
      <c r="U469" s="36"/>
      <c r="V469" s="11"/>
      <c r="W469" s="35"/>
      <c r="X469" s="35"/>
      <c r="Y469" s="36"/>
      <c r="Z469" s="11"/>
      <c r="AA469" s="35"/>
      <c r="AB469" s="36"/>
      <c r="AC469" s="35"/>
      <c r="AD469" s="35"/>
      <c r="AE469" s="37" t="str">
        <f>IF($A469="","",COUNTIFS(Připomínky!$A$4:$A$503,$A469,Připomínky!$J$4:$J$503,"Nevyřešeno"))</f>
        <v/>
      </c>
      <c r="AF469" s="37" t="str">
        <f>IF($A469="","",COUNTIFS(Publikace!$A$4:$A$503,$A469))</f>
        <v/>
      </c>
      <c r="AG469" s="38" t="str">
        <f>IF($A469="","",IF(AF469=0,"",_xlfn.MINIFS(Publikace!$E$4:$E$503,Publikace!$A$4:$A$503,$A469)))</f>
        <v/>
      </c>
      <c r="AH469" s="37" t="str">
        <f t="shared" si="7"/>
        <v/>
      </c>
      <c r="AI469" s="39" t="str">
        <f ca="1">IF($A469="","",TRIM(IF(AND($U469&lt;&gt;"",$U469&lt;TODAY(),$W469&lt;&gt;"Schváleno",$W469&lt;&gt;"Odloženo",$W469&lt;&gt;"Zrušeno"),"Po termínu odevzdání. ","")&amp;IF(AND($W469="Schváleno",OR($X469="",$Y469="")),"Schváleno bez jména / data. ","")&amp;IF(OR($G469="",$H469="",$I469="",$F469=""),"Chybí zařazení (kategorie, typ, profil nebo měsíc). ","")&amp;IF(AND(OR($I469="Honza",$I469="Radek"),OR($J469="",$J469="Nevztahuje se")),"Doplnit charakter (osobní / pracovní). ","")&amp;IF(AND($W469="Schváleno",$AE469&gt;0),"Schváleno, ale má otevřené připomínky. ","")&amp;IF(AND($AA469="Publikováno",$AF469=0),"Publikováno bez záznamu v listu Publikace. ","")&amp;IF(AND($C469&lt;&gt;"",$D469=""),"Chybí číslo dílu série. ","")&amp;IF(AND($E469&lt;&gt;"",$W469&lt;&gt;"Schváleno",$W469&lt;&gt;"Odloženo",$W469&lt;&gt;"Zrušeno",IFERROR(VLOOKUP($E469,Nastavení!$A$30:$G$53,3,FALSE()),0)&gt;0,IFERROR(VLOOKUP($E469,Nastavení!$A$30:$G$53,3,FALSE()),0)&lt;TODAY()),"Neschváleno po termínu cyklu. ","")))</f>
        <v/>
      </c>
    </row>
    <row r="470" spans="1:35" x14ac:dyDescent="0.2">
      <c r="A470" s="35"/>
      <c r="B470" s="11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11"/>
      <c r="N470" s="11"/>
      <c r="O470" s="11"/>
      <c r="P470" s="11"/>
      <c r="Q470" s="11"/>
      <c r="R470" s="11"/>
      <c r="S470" s="11"/>
      <c r="T470" s="35"/>
      <c r="U470" s="36"/>
      <c r="V470" s="11"/>
      <c r="W470" s="35"/>
      <c r="X470" s="35"/>
      <c r="Y470" s="36"/>
      <c r="Z470" s="11"/>
      <c r="AA470" s="35"/>
      <c r="AB470" s="36"/>
      <c r="AC470" s="35"/>
      <c r="AD470" s="35"/>
      <c r="AE470" s="37" t="str">
        <f>IF($A470="","",COUNTIFS(Připomínky!$A$4:$A$503,$A470,Připomínky!$J$4:$J$503,"Nevyřešeno"))</f>
        <v/>
      </c>
      <c r="AF470" s="37" t="str">
        <f>IF($A470="","",COUNTIFS(Publikace!$A$4:$A$503,$A470))</f>
        <v/>
      </c>
      <c r="AG470" s="38" t="str">
        <f>IF($A470="","",IF(AF470=0,"",_xlfn.MINIFS(Publikace!$E$4:$E$503,Publikace!$A$4:$A$503,$A470)))</f>
        <v/>
      </c>
      <c r="AH470" s="37" t="str">
        <f t="shared" si="7"/>
        <v/>
      </c>
      <c r="AI470" s="39" t="str">
        <f ca="1">IF($A470="","",TRIM(IF(AND($U470&lt;&gt;"",$U470&lt;TODAY(),$W470&lt;&gt;"Schváleno",$W470&lt;&gt;"Odloženo",$W470&lt;&gt;"Zrušeno"),"Po termínu odevzdání. ","")&amp;IF(AND($W470="Schváleno",OR($X470="",$Y470="")),"Schváleno bez jména / data. ","")&amp;IF(OR($G470="",$H470="",$I470="",$F470=""),"Chybí zařazení (kategorie, typ, profil nebo měsíc). ","")&amp;IF(AND(OR($I470="Honza",$I470="Radek"),OR($J470="",$J470="Nevztahuje se")),"Doplnit charakter (osobní / pracovní). ","")&amp;IF(AND($W470="Schváleno",$AE470&gt;0),"Schváleno, ale má otevřené připomínky. ","")&amp;IF(AND($AA470="Publikováno",$AF470=0),"Publikováno bez záznamu v listu Publikace. ","")&amp;IF(AND($C470&lt;&gt;"",$D470=""),"Chybí číslo dílu série. ","")&amp;IF(AND($E470&lt;&gt;"",$W470&lt;&gt;"Schváleno",$W470&lt;&gt;"Odloženo",$W470&lt;&gt;"Zrušeno",IFERROR(VLOOKUP($E470,Nastavení!$A$30:$G$53,3,FALSE()),0)&gt;0,IFERROR(VLOOKUP($E470,Nastavení!$A$30:$G$53,3,FALSE()),0)&lt;TODAY()),"Neschváleno po termínu cyklu. ","")))</f>
        <v/>
      </c>
    </row>
    <row r="471" spans="1:35" x14ac:dyDescent="0.2">
      <c r="A471" s="35"/>
      <c r="B471" s="11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11"/>
      <c r="N471" s="11"/>
      <c r="O471" s="11"/>
      <c r="P471" s="11"/>
      <c r="Q471" s="11"/>
      <c r="R471" s="11"/>
      <c r="S471" s="11"/>
      <c r="T471" s="35"/>
      <c r="U471" s="36"/>
      <c r="V471" s="11"/>
      <c r="W471" s="35"/>
      <c r="X471" s="35"/>
      <c r="Y471" s="36"/>
      <c r="Z471" s="11"/>
      <c r="AA471" s="35"/>
      <c r="AB471" s="36"/>
      <c r="AC471" s="35"/>
      <c r="AD471" s="35"/>
      <c r="AE471" s="37" t="str">
        <f>IF($A471="","",COUNTIFS(Připomínky!$A$4:$A$503,$A471,Připomínky!$J$4:$J$503,"Nevyřešeno"))</f>
        <v/>
      </c>
      <c r="AF471" s="37" t="str">
        <f>IF($A471="","",COUNTIFS(Publikace!$A$4:$A$503,$A471))</f>
        <v/>
      </c>
      <c r="AG471" s="38" t="str">
        <f>IF($A471="","",IF(AF471=0,"",_xlfn.MINIFS(Publikace!$E$4:$E$503,Publikace!$A$4:$A$503,$A471)))</f>
        <v/>
      </c>
      <c r="AH471" s="37" t="str">
        <f t="shared" si="7"/>
        <v/>
      </c>
      <c r="AI471" s="39" t="str">
        <f ca="1">IF($A471="","",TRIM(IF(AND($U471&lt;&gt;"",$U471&lt;TODAY(),$W471&lt;&gt;"Schváleno",$W471&lt;&gt;"Odloženo",$W471&lt;&gt;"Zrušeno"),"Po termínu odevzdání. ","")&amp;IF(AND($W471="Schváleno",OR($X471="",$Y471="")),"Schváleno bez jména / data. ","")&amp;IF(OR($G471="",$H471="",$I471="",$F471=""),"Chybí zařazení (kategorie, typ, profil nebo měsíc). ","")&amp;IF(AND(OR($I471="Honza",$I471="Radek"),OR($J471="",$J471="Nevztahuje se")),"Doplnit charakter (osobní / pracovní). ","")&amp;IF(AND($W471="Schváleno",$AE471&gt;0),"Schváleno, ale má otevřené připomínky. ","")&amp;IF(AND($AA471="Publikováno",$AF471=0),"Publikováno bez záznamu v listu Publikace. ","")&amp;IF(AND($C471&lt;&gt;"",$D471=""),"Chybí číslo dílu série. ","")&amp;IF(AND($E471&lt;&gt;"",$W471&lt;&gt;"Schváleno",$W471&lt;&gt;"Odloženo",$W471&lt;&gt;"Zrušeno",IFERROR(VLOOKUP($E471,Nastavení!$A$30:$G$53,3,FALSE()),0)&gt;0,IFERROR(VLOOKUP($E471,Nastavení!$A$30:$G$53,3,FALSE()),0)&lt;TODAY()),"Neschváleno po termínu cyklu. ","")))</f>
        <v/>
      </c>
    </row>
    <row r="472" spans="1:35" x14ac:dyDescent="0.2">
      <c r="A472" s="35"/>
      <c r="B472" s="11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11"/>
      <c r="N472" s="11"/>
      <c r="O472" s="11"/>
      <c r="P472" s="11"/>
      <c r="Q472" s="11"/>
      <c r="R472" s="11"/>
      <c r="S472" s="11"/>
      <c r="T472" s="35"/>
      <c r="U472" s="36"/>
      <c r="V472" s="11"/>
      <c r="W472" s="35"/>
      <c r="X472" s="35"/>
      <c r="Y472" s="36"/>
      <c r="Z472" s="11"/>
      <c r="AA472" s="35"/>
      <c r="AB472" s="36"/>
      <c r="AC472" s="35"/>
      <c r="AD472" s="35"/>
      <c r="AE472" s="37" t="str">
        <f>IF($A472="","",COUNTIFS(Připomínky!$A$4:$A$503,$A472,Připomínky!$J$4:$J$503,"Nevyřešeno"))</f>
        <v/>
      </c>
      <c r="AF472" s="37" t="str">
        <f>IF($A472="","",COUNTIFS(Publikace!$A$4:$A$503,$A472))</f>
        <v/>
      </c>
      <c r="AG472" s="38" t="str">
        <f>IF($A472="","",IF(AF472=0,"",_xlfn.MINIFS(Publikace!$E$4:$E$503,Publikace!$A$4:$A$503,$A472)))</f>
        <v/>
      </c>
      <c r="AH472" s="37" t="str">
        <f t="shared" si="7"/>
        <v/>
      </c>
      <c r="AI472" s="39" t="str">
        <f ca="1">IF($A472="","",TRIM(IF(AND($U472&lt;&gt;"",$U472&lt;TODAY(),$W472&lt;&gt;"Schváleno",$W472&lt;&gt;"Odloženo",$W472&lt;&gt;"Zrušeno"),"Po termínu odevzdání. ","")&amp;IF(AND($W472="Schváleno",OR($X472="",$Y472="")),"Schváleno bez jména / data. ","")&amp;IF(OR($G472="",$H472="",$I472="",$F472=""),"Chybí zařazení (kategorie, typ, profil nebo měsíc). ","")&amp;IF(AND(OR($I472="Honza",$I472="Radek"),OR($J472="",$J472="Nevztahuje se")),"Doplnit charakter (osobní / pracovní). ","")&amp;IF(AND($W472="Schváleno",$AE472&gt;0),"Schváleno, ale má otevřené připomínky. ","")&amp;IF(AND($AA472="Publikováno",$AF472=0),"Publikováno bez záznamu v listu Publikace. ","")&amp;IF(AND($C472&lt;&gt;"",$D472=""),"Chybí číslo dílu série. ","")&amp;IF(AND($E472&lt;&gt;"",$W472&lt;&gt;"Schváleno",$W472&lt;&gt;"Odloženo",$W472&lt;&gt;"Zrušeno",IFERROR(VLOOKUP($E472,Nastavení!$A$30:$G$53,3,FALSE()),0)&gt;0,IFERROR(VLOOKUP($E472,Nastavení!$A$30:$G$53,3,FALSE()),0)&lt;TODAY()),"Neschváleno po termínu cyklu. ","")))</f>
        <v/>
      </c>
    </row>
    <row r="473" spans="1:35" x14ac:dyDescent="0.2">
      <c r="A473" s="35"/>
      <c r="B473" s="11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11"/>
      <c r="N473" s="11"/>
      <c r="O473" s="11"/>
      <c r="P473" s="11"/>
      <c r="Q473" s="11"/>
      <c r="R473" s="11"/>
      <c r="S473" s="11"/>
      <c r="T473" s="35"/>
      <c r="U473" s="36"/>
      <c r="V473" s="11"/>
      <c r="W473" s="35"/>
      <c r="X473" s="35"/>
      <c r="Y473" s="36"/>
      <c r="Z473" s="11"/>
      <c r="AA473" s="35"/>
      <c r="AB473" s="36"/>
      <c r="AC473" s="35"/>
      <c r="AD473" s="35"/>
      <c r="AE473" s="37" t="str">
        <f>IF($A473="","",COUNTIFS(Připomínky!$A$4:$A$503,$A473,Připomínky!$J$4:$J$503,"Nevyřešeno"))</f>
        <v/>
      </c>
      <c r="AF473" s="37" t="str">
        <f>IF($A473="","",COUNTIFS(Publikace!$A$4:$A$503,$A473))</f>
        <v/>
      </c>
      <c r="AG473" s="38" t="str">
        <f>IF($A473="","",IF(AF473=0,"",_xlfn.MINIFS(Publikace!$E$4:$E$503,Publikace!$A$4:$A$503,$A473)))</f>
        <v/>
      </c>
      <c r="AH473" s="37" t="str">
        <f t="shared" si="7"/>
        <v/>
      </c>
      <c r="AI473" s="39" t="str">
        <f ca="1">IF($A473="","",TRIM(IF(AND($U473&lt;&gt;"",$U473&lt;TODAY(),$W473&lt;&gt;"Schváleno",$W473&lt;&gt;"Odloženo",$W473&lt;&gt;"Zrušeno"),"Po termínu odevzdání. ","")&amp;IF(AND($W473="Schváleno",OR($X473="",$Y473="")),"Schváleno bez jména / data. ","")&amp;IF(OR($G473="",$H473="",$I473="",$F473=""),"Chybí zařazení (kategorie, typ, profil nebo měsíc). ","")&amp;IF(AND(OR($I473="Honza",$I473="Radek"),OR($J473="",$J473="Nevztahuje se")),"Doplnit charakter (osobní / pracovní). ","")&amp;IF(AND($W473="Schváleno",$AE473&gt;0),"Schváleno, ale má otevřené připomínky. ","")&amp;IF(AND($AA473="Publikováno",$AF473=0),"Publikováno bez záznamu v listu Publikace. ","")&amp;IF(AND($C473&lt;&gt;"",$D473=""),"Chybí číslo dílu série. ","")&amp;IF(AND($E473&lt;&gt;"",$W473&lt;&gt;"Schváleno",$W473&lt;&gt;"Odloženo",$W473&lt;&gt;"Zrušeno",IFERROR(VLOOKUP($E473,Nastavení!$A$30:$G$53,3,FALSE()),0)&gt;0,IFERROR(VLOOKUP($E473,Nastavení!$A$30:$G$53,3,FALSE()),0)&lt;TODAY()),"Neschváleno po termínu cyklu. ","")))</f>
        <v/>
      </c>
    </row>
    <row r="474" spans="1:35" x14ac:dyDescent="0.2">
      <c r="A474" s="35"/>
      <c r="B474" s="11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11"/>
      <c r="N474" s="11"/>
      <c r="O474" s="11"/>
      <c r="P474" s="11"/>
      <c r="Q474" s="11"/>
      <c r="R474" s="11"/>
      <c r="S474" s="11"/>
      <c r="T474" s="35"/>
      <c r="U474" s="36"/>
      <c r="V474" s="11"/>
      <c r="W474" s="35"/>
      <c r="X474" s="35"/>
      <c r="Y474" s="36"/>
      <c r="Z474" s="11"/>
      <c r="AA474" s="35"/>
      <c r="AB474" s="36"/>
      <c r="AC474" s="35"/>
      <c r="AD474" s="35"/>
      <c r="AE474" s="37" t="str">
        <f>IF($A474="","",COUNTIFS(Připomínky!$A$4:$A$503,$A474,Připomínky!$J$4:$J$503,"Nevyřešeno"))</f>
        <v/>
      </c>
      <c r="AF474" s="37" t="str">
        <f>IF($A474="","",COUNTIFS(Publikace!$A$4:$A$503,$A474))</f>
        <v/>
      </c>
      <c r="AG474" s="38" t="str">
        <f>IF($A474="","",IF(AF474=0,"",_xlfn.MINIFS(Publikace!$E$4:$E$503,Publikace!$A$4:$A$503,$A474)))</f>
        <v/>
      </c>
      <c r="AH474" s="37" t="str">
        <f t="shared" si="7"/>
        <v/>
      </c>
      <c r="AI474" s="39" t="str">
        <f ca="1">IF($A474="","",TRIM(IF(AND($U474&lt;&gt;"",$U474&lt;TODAY(),$W474&lt;&gt;"Schváleno",$W474&lt;&gt;"Odloženo",$W474&lt;&gt;"Zrušeno"),"Po termínu odevzdání. ","")&amp;IF(AND($W474="Schváleno",OR($X474="",$Y474="")),"Schváleno bez jména / data. ","")&amp;IF(OR($G474="",$H474="",$I474="",$F474=""),"Chybí zařazení (kategorie, typ, profil nebo měsíc). ","")&amp;IF(AND(OR($I474="Honza",$I474="Radek"),OR($J474="",$J474="Nevztahuje se")),"Doplnit charakter (osobní / pracovní). ","")&amp;IF(AND($W474="Schváleno",$AE474&gt;0),"Schváleno, ale má otevřené připomínky. ","")&amp;IF(AND($AA474="Publikováno",$AF474=0),"Publikováno bez záznamu v listu Publikace. ","")&amp;IF(AND($C474&lt;&gt;"",$D474=""),"Chybí číslo dílu série. ","")&amp;IF(AND($E474&lt;&gt;"",$W474&lt;&gt;"Schváleno",$W474&lt;&gt;"Odloženo",$W474&lt;&gt;"Zrušeno",IFERROR(VLOOKUP($E474,Nastavení!$A$30:$G$53,3,FALSE()),0)&gt;0,IFERROR(VLOOKUP($E474,Nastavení!$A$30:$G$53,3,FALSE()),0)&lt;TODAY()),"Neschváleno po termínu cyklu. ","")))</f>
        <v/>
      </c>
    </row>
    <row r="475" spans="1:35" x14ac:dyDescent="0.2">
      <c r="A475" s="35"/>
      <c r="B475" s="11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11"/>
      <c r="N475" s="11"/>
      <c r="O475" s="11"/>
      <c r="P475" s="11"/>
      <c r="Q475" s="11"/>
      <c r="R475" s="11"/>
      <c r="S475" s="11"/>
      <c r="T475" s="35"/>
      <c r="U475" s="36"/>
      <c r="V475" s="11"/>
      <c r="W475" s="35"/>
      <c r="X475" s="35"/>
      <c r="Y475" s="36"/>
      <c r="Z475" s="11"/>
      <c r="AA475" s="35"/>
      <c r="AB475" s="36"/>
      <c r="AC475" s="35"/>
      <c r="AD475" s="35"/>
      <c r="AE475" s="37" t="str">
        <f>IF($A475="","",COUNTIFS(Připomínky!$A$4:$A$503,$A475,Připomínky!$J$4:$J$503,"Nevyřešeno"))</f>
        <v/>
      </c>
      <c r="AF475" s="37" t="str">
        <f>IF($A475="","",COUNTIFS(Publikace!$A$4:$A$503,$A475))</f>
        <v/>
      </c>
      <c r="AG475" s="38" t="str">
        <f>IF($A475="","",IF(AF475=0,"",_xlfn.MINIFS(Publikace!$E$4:$E$503,Publikace!$A$4:$A$503,$A475)))</f>
        <v/>
      </c>
      <c r="AH475" s="37" t="str">
        <f t="shared" si="7"/>
        <v/>
      </c>
      <c r="AI475" s="39" t="str">
        <f ca="1">IF($A475="","",TRIM(IF(AND($U475&lt;&gt;"",$U475&lt;TODAY(),$W475&lt;&gt;"Schváleno",$W475&lt;&gt;"Odloženo",$W475&lt;&gt;"Zrušeno"),"Po termínu odevzdání. ","")&amp;IF(AND($W475="Schváleno",OR($X475="",$Y475="")),"Schváleno bez jména / data. ","")&amp;IF(OR($G475="",$H475="",$I475="",$F475=""),"Chybí zařazení (kategorie, typ, profil nebo měsíc). ","")&amp;IF(AND(OR($I475="Honza",$I475="Radek"),OR($J475="",$J475="Nevztahuje se")),"Doplnit charakter (osobní / pracovní). ","")&amp;IF(AND($W475="Schváleno",$AE475&gt;0),"Schváleno, ale má otevřené připomínky. ","")&amp;IF(AND($AA475="Publikováno",$AF475=0),"Publikováno bez záznamu v listu Publikace. ","")&amp;IF(AND($C475&lt;&gt;"",$D475=""),"Chybí číslo dílu série. ","")&amp;IF(AND($E475&lt;&gt;"",$W475&lt;&gt;"Schváleno",$W475&lt;&gt;"Odloženo",$W475&lt;&gt;"Zrušeno",IFERROR(VLOOKUP($E475,Nastavení!$A$30:$G$53,3,FALSE()),0)&gt;0,IFERROR(VLOOKUP($E475,Nastavení!$A$30:$G$53,3,FALSE()),0)&lt;TODAY()),"Neschváleno po termínu cyklu. ","")))</f>
        <v/>
      </c>
    </row>
    <row r="476" spans="1:35" x14ac:dyDescent="0.2">
      <c r="A476" s="35"/>
      <c r="B476" s="11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11"/>
      <c r="N476" s="11"/>
      <c r="O476" s="11"/>
      <c r="P476" s="11"/>
      <c r="Q476" s="11"/>
      <c r="R476" s="11"/>
      <c r="S476" s="11"/>
      <c r="T476" s="35"/>
      <c r="U476" s="36"/>
      <c r="V476" s="11"/>
      <c r="W476" s="35"/>
      <c r="X476" s="35"/>
      <c r="Y476" s="36"/>
      <c r="Z476" s="11"/>
      <c r="AA476" s="35"/>
      <c r="AB476" s="36"/>
      <c r="AC476" s="35"/>
      <c r="AD476" s="35"/>
      <c r="AE476" s="37" t="str">
        <f>IF($A476="","",COUNTIFS(Připomínky!$A$4:$A$503,$A476,Připomínky!$J$4:$J$503,"Nevyřešeno"))</f>
        <v/>
      </c>
      <c r="AF476" s="37" t="str">
        <f>IF($A476="","",COUNTIFS(Publikace!$A$4:$A$503,$A476))</f>
        <v/>
      </c>
      <c r="AG476" s="38" t="str">
        <f>IF($A476="","",IF(AF476=0,"",_xlfn.MINIFS(Publikace!$E$4:$E$503,Publikace!$A$4:$A$503,$A476)))</f>
        <v/>
      </c>
      <c r="AH476" s="37" t="str">
        <f t="shared" si="7"/>
        <v/>
      </c>
      <c r="AI476" s="39" t="str">
        <f ca="1">IF($A476="","",TRIM(IF(AND($U476&lt;&gt;"",$U476&lt;TODAY(),$W476&lt;&gt;"Schváleno",$W476&lt;&gt;"Odloženo",$W476&lt;&gt;"Zrušeno"),"Po termínu odevzdání. ","")&amp;IF(AND($W476="Schváleno",OR($X476="",$Y476="")),"Schváleno bez jména / data. ","")&amp;IF(OR($G476="",$H476="",$I476="",$F476=""),"Chybí zařazení (kategorie, typ, profil nebo měsíc). ","")&amp;IF(AND(OR($I476="Honza",$I476="Radek"),OR($J476="",$J476="Nevztahuje se")),"Doplnit charakter (osobní / pracovní). ","")&amp;IF(AND($W476="Schváleno",$AE476&gt;0),"Schváleno, ale má otevřené připomínky. ","")&amp;IF(AND($AA476="Publikováno",$AF476=0),"Publikováno bez záznamu v listu Publikace. ","")&amp;IF(AND($C476&lt;&gt;"",$D476=""),"Chybí číslo dílu série. ","")&amp;IF(AND($E476&lt;&gt;"",$W476&lt;&gt;"Schváleno",$W476&lt;&gt;"Odloženo",$W476&lt;&gt;"Zrušeno",IFERROR(VLOOKUP($E476,Nastavení!$A$30:$G$53,3,FALSE()),0)&gt;0,IFERROR(VLOOKUP($E476,Nastavení!$A$30:$G$53,3,FALSE()),0)&lt;TODAY()),"Neschváleno po termínu cyklu. ","")))</f>
        <v/>
      </c>
    </row>
    <row r="477" spans="1:35" x14ac:dyDescent="0.2">
      <c r="A477" s="35"/>
      <c r="B477" s="11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11"/>
      <c r="N477" s="11"/>
      <c r="O477" s="11"/>
      <c r="P477" s="11"/>
      <c r="Q477" s="11"/>
      <c r="R477" s="11"/>
      <c r="S477" s="11"/>
      <c r="T477" s="35"/>
      <c r="U477" s="36"/>
      <c r="V477" s="11"/>
      <c r="W477" s="35"/>
      <c r="X477" s="35"/>
      <c r="Y477" s="36"/>
      <c r="Z477" s="11"/>
      <c r="AA477" s="35"/>
      <c r="AB477" s="36"/>
      <c r="AC477" s="35"/>
      <c r="AD477" s="35"/>
      <c r="AE477" s="37" t="str">
        <f>IF($A477="","",COUNTIFS(Připomínky!$A$4:$A$503,$A477,Připomínky!$J$4:$J$503,"Nevyřešeno"))</f>
        <v/>
      </c>
      <c r="AF477" s="37" t="str">
        <f>IF($A477="","",COUNTIFS(Publikace!$A$4:$A$503,$A477))</f>
        <v/>
      </c>
      <c r="AG477" s="38" t="str">
        <f>IF($A477="","",IF(AF477=0,"",_xlfn.MINIFS(Publikace!$E$4:$E$503,Publikace!$A$4:$A$503,$A477)))</f>
        <v/>
      </c>
      <c r="AH477" s="37" t="str">
        <f t="shared" si="7"/>
        <v/>
      </c>
      <c r="AI477" s="39" t="str">
        <f ca="1">IF($A477="","",TRIM(IF(AND($U477&lt;&gt;"",$U477&lt;TODAY(),$W477&lt;&gt;"Schváleno",$W477&lt;&gt;"Odloženo",$W477&lt;&gt;"Zrušeno"),"Po termínu odevzdání. ","")&amp;IF(AND($W477="Schváleno",OR($X477="",$Y477="")),"Schváleno bez jména / data. ","")&amp;IF(OR($G477="",$H477="",$I477="",$F477=""),"Chybí zařazení (kategorie, typ, profil nebo měsíc). ","")&amp;IF(AND(OR($I477="Honza",$I477="Radek"),OR($J477="",$J477="Nevztahuje se")),"Doplnit charakter (osobní / pracovní). ","")&amp;IF(AND($W477="Schváleno",$AE477&gt;0),"Schváleno, ale má otevřené připomínky. ","")&amp;IF(AND($AA477="Publikováno",$AF477=0),"Publikováno bez záznamu v listu Publikace. ","")&amp;IF(AND($C477&lt;&gt;"",$D477=""),"Chybí číslo dílu série. ","")&amp;IF(AND($E477&lt;&gt;"",$W477&lt;&gt;"Schváleno",$W477&lt;&gt;"Odloženo",$W477&lt;&gt;"Zrušeno",IFERROR(VLOOKUP($E477,Nastavení!$A$30:$G$53,3,FALSE()),0)&gt;0,IFERROR(VLOOKUP($E477,Nastavení!$A$30:$G$53,3,FALSE()),0)&lt;TODAY()),"Neschváleno po termínu cyklu. ","")))</f>
        <v/>
      </c>
    </row>
    <row r="478" spans="1:35" x14ac:dyDescent="0.2">
      <c r="A478" s="35"/>
      <c r="B478" s="11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11"/>
      <c r="N478" s="11"/>
      <c r="O478" s="11"/>
      <c r="P478" s="11"/>
      <c r="Q478" s="11"/>
      <c r="R478" s="11"/>
      <c r="S478" s="11"/>
      <c r="T478" s="35"/>
      <c r="U478" s="36"/>
      <c r="V478" s="11"/>
      <c r="W478" s="35"/>
      <c r="X478" s="35"/>
      <c r="Y478" s="36"/>
      <c r="Z478" s="11"/>
      <c r="AA478" s="35"/>
      <c r="AB478" s="36"/>
      <c r="AC478" s="35"/>
      <c r="AD478" s="35"/>
      <c r="AE478" s="37" t="str">
        <f>IF($A478="","",COUNTIFS(Připomínky!$A$4:$A$503,$A478,Připomínky!$J$4:$J$503,"Nevyřešeno"))</f>
        <v/>
      </c>
      <c r="AF478" s="37" t="str">
        <f>IF($A478="","",COUNTIFS(Publikace!$A$4:$A$503,$A478))</f>
        <v/>
      </c>
      <c r="AG478" s="38" t="str">
        <f>IF($A478="","",IF(AF478=0,"",_xlfn.MINIFS(Publikace!$E$4:$E$503,Publikace!$A$4:$A$503,$A478)))</f>
        <v/>
      </c>
      <c r="AH478" s="37" t="str">
        <f t="shared" si="7"/>
        <v/>
      </c>
      <c r="AI478" s="39" t="str">
        <f ca="1">IF($A478="","",TRIM(IF(AND($U478&lt;&gt;"",$U478&lt;TODAY(),$W478&lt;&gt;"Schváleno",$W478&lt;&gt;"Odloženo",$W478&lt;&gt;"Zrušeno"),"Po termínu odevzdání. ","")&amp;IF(AND($W478="Schváleno",OR($X478="",$Y478="")),"Schváleno bez jména / data. ","")&amp;IF(OR($G478="",$H478="",$I478="",$F478=""),"Chybí zařazení (kategorie, typ, profil nebo měsíc). ","")&amp;IF(AND(OR($I478="Honza",$I478="Radek"),OR($J478="",$J478="Nevztahuje se")),"Doplnit charakter (osobní / pracovní). ","")&amp;IF(AND($W478="Schváleno",$AE478&gt;0),"Schváleno, ale má otevřené připomínky. ","")&amp;IF(AND($AA478="Publikováno",$AF478=0),"Publikováno bez záznamu v listu Publikace. ","")&amp;IF(AND($C478&lt;&gt;"",$D478=""),"Chybí číslo dílu série. ","")&amp;IF(AND($E478&lt;&gt;"",$W478&lt;&gt;"Schváleno",$W478&lt;&gt;"Odloženo",$W478&lt;&gt;"Zrušeno",IFERROR(VLOOKUP($E478,Nastavení!$A$30:$G$53,3,FALSE()),0)&gt;0,IFERROR(VLOOKUP($E478,Nastavení!$A$30:$G$53,3,FALSE()),0)&lt;TODAY()),"Neschváleno po termínu cyklu. ","")))</f>
        <v/>
      </c>
    </row>
    <row r="479" spans="1:35" x14ac:dyDescent="0.2">
      <c r="A479" s="35"/>
      <c r="B479" s="11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11"/>
      <c r="N479" s="11"/>
      <c r="O479" s="11"/>
      <c r="P479" s="11"/>
      <c r="Q479" s="11"/>
      <c r="R479" s="11"/>
      <c r="S479" s="11"/>
      <c r="T479" s="35"/>
      <c r="U479" s="36"/>
      <c r="V479" s="11"/>
      <c r="W479" s="35"/>
      <c r="X479" s="35"/>
      <c r="Y479" s="36"/>
      <c r="Z479" s="11"/>
      <c r="AA479" s="35"/>
      <c r="AB479" s="36"/>
      <c r="AC479" s="35"/>
      <c r="AD479" s="35"/>
      <c r="AE479" s="37" t="str">
        <f>IF($A479="","",COUNTIFS(Připomínky!$A$4:$A$503,$A479,Připomínky!$J$4:$J$503,"Nevyřešeno"))</f>
        <v/>
      </c>
      <c r="AF479" s="37" t="str">
        <f>IF($A479="","",COUNTIFS(Publikace!$A$4:$A$503,$A479))</f>
        <v/>
      </c>
      <c r="AG479" s="38" t="str">
        <f>IF($A479="","",IF(AF479=0,"",_xlfn.MINIFS(Publikace!$E$4:$E$503,Publikace!$A$4:$A$503,$A479)))</f>
        <v/>
      </c>
      <c r="AH479" s="37" t="str">
        <f t="shared" si="7"/>
        <v/>
      </c>
      <c r="AI479" s="39" t="str">
        <f ca="1">IF($A479="","",TRIM(IF(AND($U479&lt;&gt;"",$U479&lt;TODAY(),$W479&lt;&gt;"Schváleno",$W479&lt;&gt;"Odloženo",$W479&lt;&gt;"Zrušeno"),"Po termínu odevzdání. ","")&amp;IF(AND($W479="Schváleno",OR($X479="",$Y479="")),"Schváleno bez jména / data. ","")&amp;IF(OR($G479="",$H479="",$I479="",$F479=""),"Chybí zařazení (kategorie, typ, profil nebo měsíc). ","")&amp;IF(AND(OR($I479="Honza",$I479="Radek"),OR($J479="",$J479="Nevztahuje se")),"Doplnit charakter (osobní / pracovní). ","")&amp;IF(AND($W479="Schváleno",$AE479&gt;0),"Schváleno, ale má otevřené připomínky. ","")&amp;IF(AND($AA479="Publikováno",$AF479=0),"Publikováno bez záznamu v listu Publikace. ","")&amp;IF(AND($C479&lt;&gt;"",$D479=""),"Chybí číslo dílu série. ","")&amp;IF(AND($E479&lt;&gt;"",$W479&lt;&gt;"Schváleno",$W479&lt;&gt;"Odloženo",$W479&lt;&gt;"Zrušeno",IFERROR(VLOOKUP($E479,Nastavení!$A$30:$G$53,3,FALSE()),0)&gt;0,IFERROR(VLOOKUP($E479,Nastavení!$A$30:$G$53,3,FALSE()),0)&lt;TODAY()),"Neschváleno po termínu cyklu. ","")))</f>
        <v/>
      </c>
    </row>
    <row r="480" spans="1:35" x14ac:dyDescent="0.2">
      <c r="A480" s="35"/>
      <c r="B480" s="11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11"/>
      <c r="N480" s="11"/>
      <c r="O480" s="11"/>
      <c r="P480" s="11"/>
      <c r="Q480" s="11"/>
      <c r="R480" s="11"/>
      <c r="S480" s="11"/>
      <c r="T480" s="35"/>
      <c r="U480" s="36"/>
      <c r="V480" s="11"/>
      <c r="W480" s="35"/>
      <c r="X480" s="35"/>
      <c r="Y480" s="36"/>
      <c r="Z480" s="11"/>
      <c r="AA480" s="35"/>
      <c r="AB480" s="36"/>
      <c r="AC480" s="35"/>
      <c r="AD480" s="35"/>
      <c r="AE480" s="37" t="str">
        <f>IF($A480="","",COUNTIFS(Připomínky!$A$4:$A$503,$A480,Připomínky!$J$4:$J$503,"Nevyřešeno"))</f>
        <v/>
      </c>
      <c r="AF480" s="37" t="str">
        <f>IF($A480="","",COUNTIFS(Publikace!$A$4:$A$503,$A480))</f>
        <v/>
      </c>
      <c r="AG480" s="38" t="str">
        <f>IF($A480="","",IF(AF480=0,"",_xlfn.MINIFS(Publikace!$E$4:$E$503,Publikace!$A$4:$A$503,$A480)))</f>
        <v/>
      </c>
      <c r="AH480" s="37" t="str">
        <f t="shared" si="7"/>
        <v/>
      </c>
      <c r="AI480" s="39" t="str">
        <f ca="1">IF($A480="","",TRIM(IF(AND($U480&lt;&gt;"",$U480&lt;TODAY(),$W480&lt;&gt;"Schváleno",$W480&lt;&gt;"Odloženo",$W480&lt;&gt;"Zrušeno"),"Po termínu odevzdání. ","")&amp;IF(AND($W480="Schváleno",OR($X480="",$Y480="")),"Schváleno bez jména / data. ","")&amp;IF(OR($G480="",$H480="",$I480="",$F480=""),"Chybí zařazení (kategorie, typ, profil nebo měsíc). ","")&amp;IF(AND(OR($I480="Honza",$I480="Radek"),OR($J480="",$J480="Nevztahuje se")),"Doplnit charakter (osobní / pracovní). ","")&amp;IF(AND($W480="Schváleno",$AE480&gt;0),"Schváleno, ale má otevřené připomínky. ","")&amp;IF(AND($AA480="Publikováno",$AF480=0),"Publikováno bez záznamu v listu Publikace. ","")&amp;IF(AND($C480&lt;&gt;"",$D480=""),"Chybí číslo dílu série. ","")&amp;IF(AND($E480&lt;&gt;"",$W480&lt;&gt;"Schváleno",$W480&lt;&gt;"Odloženo",$W480&lt;&gt;"Zrušeno",IFERROR(VLOOKUP($E480,Nastavení!$A$30:$G$53,3,FALSE()),0)&gt;0,IFERROR(VLOOKUP($E480,Nastavení!$A$30:$G$53,3,FALSE()),0)&lt;TODAY()),"Neschváleno po termínu cyklu. ","")))</f>
        <v/>
      </c>
    </row>
    <row r="481" spans="1:35" x14ac:dyDescent="0.2">
      <c r="A481" s="35"/>
      <c r="B481" s="11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11"/>
      <c r="N481" s="11"/>
      <c r="O481" s="11"/>
      <c r="P481" s="11"/>
      <c r="Q481" s="11"/>
      <c r="R481" s="11"/>
      <c r="S481" s="11"/>
      <c r="T481" s="35"/>
      <c r="U481" s="36"/>
      <c r="V481" s="11"/>
      <c r="W481" s="35"/>
      <c r="X481" s="35"/>
      <c r="Y481" s="36"/>
      <c r="Z481" s="11"/>
      <c r="AA481" s="35"/>
      <c r="AB481" s="36"/>
      <c r="AC481" s="35"/>
      <c r="AD481" s="35"/>
      <c r="AE481" s="37" t="str">
        <f>IF($A481="","",COUNTIFS(Připomínky!$A$4:$A$503,$A481,Připomínky!$J$4:$J$503,"Nevyřešeno"))</f>
        <v/>
      </c>
      <c r="AF481" s="37" t="str">
        <f>IF($A481="","",COUNTIFS(Publikace!$A$4:$A$503,$A481))</f>
        <v/>
      </c>
      <c r="AG481" s="38" t="str">
        <f>IF($A481="","",IF(AF481=0,"",_xlfn.MINIFS(Publikace!$E$4:$E$503,Publikace!$A$4:$A$503,$A481)))</f>
        <v/>
      </c>
      <c r="AH481" s="37" t="str">
        <f t="shared" si="7"/>
        <v/>
      </c>
      <c r="AI481" s="39" t="str">
        <f ca="1">IF($A481="","",TRIM(IF(AND($U481&lt;&gt;"",$U481&lt;TODAY(),$W481&lt;&gt;"Schváleno",$W481&lt;&gt;"Odloženo",$W481&lt;&gt;"Zrušeno"),"Po termínu odevzdání. ","")&amp;IF(AND($W481="Schváleno",OR($X481="",$Y481="")),"Schváleno bez jména / data. ","")&amp;IF(OR($G481="",$H481="",$I481="",$F481=""),"Chybí zařazení (kategorie, typ, profil nebo měsíc). ","")&amp;IF(AND(OR($I481="Honza",$I481="Radek"),OR($J481="",$J481="Nevztahuje se")),"Doplnit charakter (osobní / pracovní). ","")&amp;IF(AND($W481="Schváleno",$AE481&gt;0),"Schváleno, ale má otevřené připomínky. ","")&amp;IF(AND($AA481="Publikováno",$AF481=0),"Publikováno bez záznamu v listu Publikace. ","")&amp;IF(AND($C481&lt;&gt;"",$D481=""),"Chybí číslo dílu série. ","")&amp;IF(AND($E481&lt;&gt;"",$W481&lt;&gt;"Schváleno",$W481&lt;&gt;"Odloženo",$W481&lt;&gt;"Zrušeno",IFERROR(VLOOKUP($E481,Nastavení!$A$30:$G$53,3,FALSE()),0)&gt;0,IFERROR(VLOOKUP($E481,Nastavení!$A$30:$G$53,3,FALSE()),0)&lt;TODAY()),"Neschváleno po termínu cyklu. ","")))</f>
        <v/>
      </c>
    </row>
    <row r="482" spans="1:35" x14ac:dyDescent="0.2">
      <c r="A482" s="35"/>
      <c r="B482" s="11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11"/>
      <c r="N482" s="11"/>
      <c r="O482" s="11"/>
      <c r="P482" s="11"/>
      <c r="Q482" s="11"/>
      <c r="R482" s="11"/>
      <c r="S482" s="11"/>
      <c r="T482" s="35"/>
      <c r="U482" s="36"/>
      <c r="V482" s="11"/>
      <c r="W482" s="35"/>
      <c r="X482" s="35"/>
      <c r="Y482" s="36"/>
      <c r="Z482" s="11"/>
      <c r="AA482" s="35"/>
      <c r="AB482" s="36"/>
      <c r="AC482" s="35"/>
      <c r="AD482" s="35"/>
      <c r="AE482" s="37" t="str">
        <f>IF($A482="","",COUNTIFS(Připomínky!$A$4:$A$503,$A482,Připomínky!$J$4:$J$503,"Nevyřešeno"))</f>
        <v/>
      </c>
      <c r="AF482" s="37" t="str">
        <f>IF($A482="","",COUNTIFS(Publikace!$A$4:$A$503,$A482))</f>
        <v/>
      </c>
      <c r="AG482" s="38" t="str">
        <f>IF($A482="","",IF(AF482=0,"",_xlfn.MINIFS(Publikace!$E$4:$E$503,Publikace!$A$4:$A$503,$A482)))</f>
        <v/>
      </c>
      <c r="AH482" s="37" t="str">
        <f t="shared" si="7"/>
        <v/>
      </c>
      <c r="AI482" s="39" t="str">
        <f ca="1">IF($A482="","",TRIM(IF(AND($U482&lt;&gt;"",$U482&lt;TODAY(),$W482&lt;&gt;"Schváleno",$W482&lt;&gt;"Odloženo",$W482&lt;&gt;"Zrušeno"),"Po termínu odevzdání. ","")&amp;IF(AND($W482="Schváleno",OR($X482="",$Y482="")),"Schváleno bez jména / data. ","")&amp;IF(OR($G482="",$H482="",$I482="",$F482=""),"Chybí zařazení (kategorie, typ, profil nebo měsíc). ","")&amp;IF(AND(OR($I482="Honza",$I482="Radek"),OR($J482="",$J482="Nevztahuje se")),"Doplnit charakter (osobní / pracovní). ","")&amp;IF(AND($W482="Schváleno",$AE482&gt;0),"Schváleno, ale má otevřené připomínky. ","")&amp;IF(AND($AA482="Publikováno",$AF482=0),"Publikováno bez záznamu v listu Publikace. ","")&amp;IF(AND($C482&lt;&gt;"",$D482=""),"Chybí číslo dílu série. ","")&amp;IF(AND($E482&lt;&gt;"",$W482&lt;&gt;"Schváleno",$W482&lt;&gt;"Odloženo",$W482&lt;&gt;"Zrušeno",IFERROR(VLOOKUP($E482,Nastavení!$A$30:$G$53,3,FALSE()),0)&gt;0,IFERROR(VLOOKUP($E482,Nastavení!$A$30:$G$53,3,FALSE()),0)&lt;TODAY()),"Neschváleno po termínu cyklu. ","")))</f>
        <v/>
      </c>
    </row>
    <row r="483" spans="1:35" x14ac:dyDescent="0.2">
      <c r="A483" s="35"/>
      <c r="B483" s="11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11"/>
      <c r="N483" s="11"/>
      <c r="O483" s="11"/>
      <c r="P483" s="11"/>
      <c r="Q483" s="11"/>
      <c r="R483" s="11"/>
      <c r="S483" s="11"/>
      <c r="T483" s="35"/>
      <c r="U483" s="36"/>
      <c r="V483" s="11"/>
      <c r="W483" s="35"/>
      <c r="X483" s="35"/>
      <c r="Y483" s="36"/>
      <c r="Z483" s="11"/>
      <c r="AA483" s="35"/>
      <c r="AB483" s="36"/>
      <c r="AC483" s="35"/>
      <c r="AD483" s="35"/>
      <c r="AE483" s="37" t="str">
        <f>IF($A483="","",COUNTIFS(Připomínky!$A$4:$A$503,$A483,Připomínky!$J$4:$J$503,"Nevyřešeno"))</f>
        <v/>
      </c>
      <c r="AF483" s="37" t="str">
        <f>IF($A483="","",COUNTIFS(Publikace!$A$4:$A$503,$A483))</f>
        <v/>
      </c>
      <c r="AG483" s="38" t="str">
        <f>IF($A483="","",IF(AF483=0,"",_xlfn.MINIFS(Publikace!$E$4:$E$503,Publikace!$A$4:$A$503,$A483)))</f>
        <v/>
      </c>
      <c r="AH483" s="37" t="str">
        <f t="shared" si="7"/>
        <v/>
      </c>
      <c r="AI483" s="39" t="str">
        <f ca="1">IF($A483="","",TRIM(IF(AND($U483&lt;&gt;"",$U483&lt;TODAY(),$W483&lt;&gt;"Schváleno",$W483&lt;&gt;"Odloženo",$W483&lt;&gt;"Zrušeno"),"Po termínu odevzdání. ","")&amp;IF(AND($W483="Schváleno",OR($X483="",$Y483="")),"Schváleno bez jména / data. ","")&amp;IF(OR($G483="",$H483="",$I483="",$F483=""),"Chybí zařazení (kategorie, typ, profil nebo měsíc). ","")&amp;IF(AND(OR($I483="Honza",$I483="Radek"),OR($J483="",$J483="Nevztahuje se")),"Doplnit charakter (osobní / pracovní). ","")&amp;IF(AND($W483="Schváleno",$AE483&gt;0),"Schváleno, ale má otevřené připomínky. ","")&amp;IF(AND($AA483="Publikováno",$AF483=0),"Publikováno bez záznamu v listu Publikace. ","")&amp;IF(AND($C483&lt;&gt;"",$D483=""),"Chybí číslo dílu série. ","")&amp;IF(AND($E483&lt;&gt;"",$W483&lt;&gt;"Schváleno",$W483&lt;&gt;"Odloženo",$W483&lt;&gt;"Zrušeno",IFERROR(VLOOKUP($E483,Nastavení!$A$30:$G$53,3,FALSE()),0)&gt;0,IFERROR(VLOOKUP($E483,Nastavení!$A$30:$G$53,3,FALSE()),0)&lt;TODAY()),"Neschváleno po termínu cyklu. ","")))</f>
        <v/>
      </c>
    </row>
    <row r="484" spans="1:35" x14ac:dyDescent="0.2">
      <c r="A484" s="35"/>
      <c r="B484" s="11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11"/>
      <c r="N484" s="11"/>
      <c r="O484" s="11"/>
      <c r="P484" s="11"/>
      <c r="Q484" s="11"/>
      <c r="R484" s="11"/>
      <c r="S484" s="11"/>
      <c r="T484" s="35"/>
      <c r="U484" s="36"/>
      <c r="V484" s="11"/>
      <c r="W484" s="35"/>
      <c r="X484" s="35"/>
      <c r="Y484" s="36"/>
      <c r="Z484" s="11"/>
      <c r="AA484" s="35"/>
      <c r="AB484" s="36"/>
      <c r="AC484" s="35"/>
      <c r="AD484" s="35"/>
      <c r="AE484" s="37" t="str">
        <f>IF($A484="","",COUNTIFS(Připomínky!$A$4:$A$503,$A484,Připomínky!$J$4:$J$503,"Nevyřešeno"))</f>
        <v/>
      </c>
      <c r="AF484" s="37" t="str">
        <f>IF($A484="","",COUNTIFS(Publikace!$A$4:$A$503,$A484))</f>
        <v/>
      </c>
      <c r="AG484" s="38" t="str">
        <f>IF($A484="","",IF(AF484=0,"",_xlfn.MINIFS(Publikace!$E$4:$E$503,Publikace!$A$4:$A$503,$A484)))</f>
        <v/>
      </c>
      <c r="AH484" s="37" t="str">
        <f t="shared" si="7"/>
        <v/>
      </c>
      <c r="AI484" s="39" t="str">
        <f ca="1">IF($A484="","",TRIM(IF(AND($U484&lt;&gt;"",$U484&lt;TODAY(),$W484&lt;&gt;"Schváleno",$W484&lt;&gt;"Odloženo",$W484&lt;&gt;"Zrušeno"),"Po termínu odevzdání. ","")&amp;IF(AND($W484="Schváleno",OR($X484="",$Y484="")),"Schváleno bez jména / data. ","")&amp;IF(OR($G484="",$H484="",$I484="",$F484=""),"Chybí zařazení (kategorie, typ, profil nebo měsíc). ","")&amp;IF(AND(OR($I484="Honza",$I484="Radek"),OR($J484="",$J484="Nevztahuje se")),"Doplnit charakter (osobní / pracovní). ","")&amp;IF(AND($W484="Schváleno",$AE484&gt;0),"Schváleno, ale má otevřené připomínky. ","")&amp;IF(AND($AA484="Publikováno",$AF484=0),"Publikováno bez záznamu v listu Publikace. ","")&amp;IF(AND($C484&lt;&gt;"",$D484=""),"Chybí číslo dílu série. ","")&amp;IF(AND($E484&lt;&gt;"",$W484&lt;&gt;"Schváleno",$W484&lt;&gt;"Odloženo",$W484&lt;&gt;"Zrušeno",IFERROR(VLOOKUP($E484,Nastavení!$A$30:$G$53,3,FALSE()),0)&gt;0,IFERROR(VLOOKUP($E484,Nastavení!$A$30:$G$53,3,FALSE()),0)&lt;TODAY()),"Neschváleno po termínu cyklu. ","")))</f>
        <v/>
      </c>
    </row>
    <row r="485" spans="1:35" x14ac:dyDescent="0.2">
      <c r="A485" s="35"/>
      <c r="B485" s="11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11"/>
      <c r="N485" s="11"/>
      <c r="O485" s="11"/>
      <c r="P485" s="11"/>
      <c r="Q485" s="11"/>
      <c r="R485" s="11"/>
      <c r="S485" s="11"/>
      <c r="T485" s="35"/>
      <c r="U485" s="36"/>
      <c r="V485" s="11"/>
      <c r="W485" s="35"/>
      <c r="X485" s="35"/>
      <c r="Y485" s="36"/>
      <c r="Z485" s="11"/>
      <c r="AA485" s="35"/>
      <c r="AB485" s="36"/>
      <c r="AC485" s="35"/>
      <c r="AD485" s="35"/>
      <c r="AE485" s="37" t="str">
        <f>IF($A485="","",COUNTIFS(Připomínky!$A$4:$A$503,$A485,Připomínky!$J$4:$J$503,"Nevyřešeno"))</f>
        <v/>
      </c>
      <c r="AF485" s="37" t="str">
        <f>IF($A485="","",COUNTIFS(Publikace!$A$4:$A$503,$A485))</f>
        <v/>
      </c>
      <c r="AG485" s="38" t="str">
        <f>IF($A485="","",IF(AF485=0,"",_xlfn.MINIFS(Publikace!$E$4:$E$503,Publikace!$A$4:$A$503,$A485)))</f>
        <v/>
      </c>
      <c r="AH485" s="37" t="str">
        <f t="shared" si="7"/>
        <v/>
      </c>
      <c r="AI485" s="39" t="str">
        <f ca="1">IF($A485="","",TRIM(IF(AND($U485&lt;&gt;"",$U485&lt;TODAY(),$W485&lt;&gt;"Schváleno",$W485&lt;&gt;"Odloženo",$W485&lt;&gt;"Zrušeno"),"Po termínu odevzdání. ","")&amp;IF(AND($W485="Schváleno",OR($X485="",$Y485="")),"Schváleno bez jména / data. ","")&amp;IF(OR($G485="",$H485="",$I485="",$F485=""),"Chybí zařazení (kategorie, typ, profil nebo měsíc). ","")&amp;IF(AND(OR($I485="Honza",$I485="Radek"),OR($J485="",$J485="Nevztahuje se")),"Doplnit charakter (osobní / pracovní). ","")&amp;IF(AND($W485="Schváleno",$AE485&gt;0),"Schváleno, ale má otevřené připomínky. ","")&amp;IF(AND($AA485="Publikováno",$AF485=0),"Publikováno bez záznamu v listu Publikace. ","")&amp;IF(AND($C485&lt;&gt;"",$D485=""),"Chybí číslo dílu série. ","")&amp;IF(AND($E485&lt;&gt;"",$W485&lt;&gt;"Schváleno",$W485&lt;&gt;"Odloženo",$W485&lt;&gt;"Zrušeno",IFERROR(VLOOKUP($E485,Nastavení!$A$30:$G$53,3,FALSE()),0)&gt;0,IFERROR(VLOOKUP($E485,Nastavení!$A$30:$G$53,3,FALSE()),0)&lt;TODAY()),"Neschváleno po termínu cyklu. ","")))</f>
        <v/>
      </c>
    </row>
    <row r="486" spans="1:35" x14ac:dyDescent="0.2">
      <c r="A486" s="35"/>
      <c r="B486" s="11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11"/>
      <c r="N486" s="11"/>
      <c r="O486" s="11"/>
      <c r="P486" s="11"/>
      <c r="Q486" s="11"/>
      <c r="R486" s="11"/>
      <c r="S486" s="11"/>
      <c r="T486" s="35"/>
      <c r="U486" s="36"/>
      <c r="V486" s="11"/>
      <c r="W486" s="35"/>
      <c r="X486" s="35"/>
      <c r="Y486" s="36"/>
      <c r="Z486" s="11"/>
      <c r="AA486" s="35"/>
      <c r="AB486" s="36"/>
      <c r="AC486" s="35"/>
      <c r="AD486" s="35"/>
      <c r="AE486" s="37" t="str">
        <f>IF($A486="","",COUNTIFS(Připomínky!$A$4:$A$503,$A486,Připomínky!$J$4:$J$503,"Nevyřešeno"))</f>
        <v/>
      </c>
      <c r="AF486" s="37" t="str">
        <f>IF($A486="","",COUNTIFS(Publikace!$A$4:$A$503,$A486))</f>
        <v/>
      </c>
      <c r="AG486" s="38" t="str">
        <f>IF($A486="","",IF(AF486=0,"",_xlfn.MINIFS(Publikace!$E$4:$E$503,Publikace!$A$4:$A$503,$A486)))</f>
        <v/>
      </c>
      <c r="AH486" s="37" t="str">
        <f t="shared" si="7"/>
        <v/>
      </c>
      <c r="AI486" s="39" t="str">
        <f ca="1">IF($A486="","",TRIM(IF(AND($U486&lt;&gt;"",$U486&lt;TODAY(),$W486&lt;&gt;"Schváleno",$W486&lt;&gt;"Odloženo",$W486&lt;&gt;"Zrušeno"),"Po termínu odevzdání. ","")&amp;IF(AND($W486="Schváleno",OR($X486="",$Y486="")),"Schváleno bez jména / data. ","")&amp;IF(OR($G486="",$H486="",$I486="",$F486=""),"Chybí zařazení (kategorie, typ, profil nebo měsíc). ","")&amp;IF(AND(OR($I486="Honza",$I486="Radek"),OR($J486="",$J486="Nevztahuje se")),"Doplnit charakter (osobní / pracovní). ","")&amp;IF(AND($W486="Schváleno",$AE486&gt;0),"Schváleno, ale má otevřené připomínky. ","")&amp;IF(AND($AA486="Publikováno",$AF486=0),"Publikováno bez záznamu v listu Publikace. ","")&amp;IF(AND($C486&lt;&gt;"",$D486=""),"Chybí číslo dílu série. ","")&amp;IF(AND($E486&lt;&gt;"",$W486&lt;&gt;"Schváleno",$W486&lt;&gt;"Odloženo",$W486&lt;&gt;"Zrušeno",IFERROR(VLOOKUP($E486,Nastavení!$A$30:$G$53,3,FALSE()),0)&gt;0,IFERROR(VLOOKUP($E486,Nastavení!$A$30:$G$53,3,FALSE()),0)&lt;TODAY()),"Neschváleno po termínu cyklu. ","")))</f>
        <v/>
      </c>
    </row>
    <row r="487" spans="1:35" x14ac:dyDescent="0.2">
      <c r="A487" s="35"/>
      <c r="B487" s="11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11"/>
      <c r="N487" s="11"/>
      <c r="O487" s="11"/>
      <c r="P487" s="11"/>
      <c r="Q487" s="11"/>
      <c r="R487" s="11"/>
      <c r="S487" s="11"/>
      <c r="T487" s="35"/>
      <c r="U487" s="36"/>
      <c r="V487" s="11"/>
      <c r="W487" s="35"/>
      <c r="X487" s="35"/>
      <c r="Y487" s="36"/>
      <c r="Z487" s="11"/>
      <c r="AA487" s="35"/>
      <c r="AB487" s="36"/>
      <c r="AC487" s="35"/>
      <c r="AD487" s="35"/>
      <c r="AE487" s="37" t="str">
        <f>IF($A487="","",COUNTIFS(Připomínky!$A$4:$A$503,$A487,Připomínky!$J$4:$J$503,"Nevyřešeno"))</f>
        <v/>
      </c>
      <c r="AF487" s="37" t="str">
        <f>IF($A487="","",COUNTIFS(Publikace!$A$4:$A$503,$A487))</f>
        <v/>
      </c>
      <c r="AG487" s="38" t="str">
        <f>IF($A487="","",IF(AF487=0,"",_xlfn.MINIFS(Publikace!$E$4:$E$503,Publikace!$A$4:$A$503,$A487)))</f>
        <v/>
      </c>
      <c r="AH487" s="37" t="str">
        <f t="shared" si="7"/>
        <v/>
      </c>
      <c r="AI487" s="39" t="str">
        <f ca="1">IF($A487="","",TRIM(IF(AND($U487&lt;&gt;"",$U487&lt;TODAY(),$W487&lt;&gt;"Schváleno",$W487&lt;&gt;"Odloženo",$W487&lt;&gt;"Zrušeno"),"Po termínu odevzdání. ","")&amp;IF(AND($W487="Schváleno",OR($X487="",$Y487="")),"Schváleno bez jména / data. ","")&amp;IF(OR($G487="",$H487="",$I487="",$F487=""),"Chybí zařazení (kategorie, typ, profil nebo měsíc). ","")&amp;IF(AND(OR($I487="Honza",$I487="Radek"),OR($J487="",$J487="Nevztahuje se")),"Doplnit charakter (osobní / pracovní). ","")&amp;IF(AND($W487="Schváleno",$AE487&gt;0),"Schváleno, ale má otevřené připomínky. ","")&amp;IF(AND($AA487="Publikováno",$AF487=0),"Publikováno bez záznamu v listu Publikace. ","")&amp;IF(AND($C487&lt;&gt;"",$D487=""),"Chybí číslo dílu série. ","")&amp;IF(AND($E487&lt;&gt;"",$W487&lt;&gt;"Schváleno",$W487&lt;&gt;"Odloženo",$W487&lt;&gt;"Zrušeno",IFERROR(VLOOKUP($E487,Nastavení!$A$30:$G$53,3,FALSE()),0)&gt;0,IFERROR(VLOOKUP($E487,Nastavení!$A$30:$G$53,3,FALSE()),0)&lt;TODAY()),"Neschváleno po termínu cyklu. ","")))</f>
        <v/>
      </c>
    </row>
    <row r="488" spans="1:35" x14ac:dyDescent="0.2">
      <c r="A488" s="35"/>
      <c r="B488" s="11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11"/>
      <c r="N488" s="11"/>
      <c r="O488" s="11"/>
      <c r="P488" s="11"/>
      <c r="Q488" s="11"/>
      <c r="R488" s="11"/>
      <c r="S488" s="11"/>
      <c r="T488" s="35"/>
      <c r="U488" s="36"/>
      <c r="V488" s="11"/>
      <c r="W488" s="35"/>
      <c r="X488" s="35"/>
      <c r="Y488" s="36"/>
      <c r="Z488" s="11"/>
      <c r="AA488" s="35"/>
      <c r="AB488" s="36"/>
      <c r="AC488" s="35"/>
      <c r="AD488" s="35"/>
      <c r="AE488" s="37" t="str">
        <f>IF($A488="","",COUNTIFS(Připomínky!$A$4:$A$503,$A488,Připomínky!$J$4:$J$503,"Nevyřešeno"))</f>
        <v/>
      </c>
      <c r="AF488" s="37" t="str">
        <f>IF($A488="","",COUNTIFS(Publikace!$A$4:$A$503,$A488))</f>
        <v/>
      </c>
      <c r="AG488" s="38" t="str">
        <f>IF($A488="","",IF(AF488=0,"",_xlfn.MINIFS(Publikace!$E$4:$E$503,Publikace!$A$4:$A$503,$A488)))</f>
        <v/>
      </c>
      <c r="AH488" s="37" t="str">
        <f t="shared" si="7"/>
        <v/>
      </c>
      <c r="AI488" s="39" t="str">
        <f ca="1">IF($A488="","",TRIM(IF(AND($U488&lt;&gt;"",$U488&lt;TODAY(),$W488&lt;&gt;"Schváleno",$W488&lt;&gt;"Odloženo",$W488&lt;&gt;"Zrušeno"),"Po termínu odevzdání. ","")&amp;IF(AND($W488="Schváleno",OR($X488="",$Y488="")),"Schváleno bez jména / data. ","")&amp;IF(OR($G488="",$H488="",$I488="",$F488=""),"Chybí zařazení (kategorie, typ, profil nebo měsíc). ","")&amp;IF(AND(OR($I488="Honza",$I488="Radek"),OR($J488="",$J488="Nevztahuje se")),"Doplnit charakter (osobní / pracovní). ","")&amp;IF(AND($W488="Schváleno",$AE488&gt;0),"Schváleno, ale má otevřené připomínky. ","")&amp;IF(AND($AA488="Publikováno",$AF488=0),"Publikováno bez záznamu v listu Publikace. ","")&amp;IF(AND($C488&lt;&gt;"",$D488=""),"Chybí číslo dílu série. ","")&amp;IF(AND($E488&lt;&gt;"",$W488&lt;&gt;"Schváleno",$W488&lt;&gt;"Odloženo",$W488&lt;&gt;"Zrušeno",IFERROR(VLOOKUP($E488,Nastavení!$A$30:$G$53,3,FALSE()),0)&gt;0,IFERROR(VLOOKUP($E488,Nastavení!$A$30:$G$53,3,FALSE()),0)&lt;TODAY()),"Neschváleno po termínu cyklu. ","")))</f>
        <v/>
      </c>
    </row>
    <row r="489" spans="1:35" x14ac:dyDescent="0.2">
      <c r="A489" s="35"/>
      <c r="B489" s="11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11"/>
      <c r="N489" s="11"/>
      <c r="O489" s="11"/>
      <c r="P489" s="11"/>
      <c r="Q489" s="11"/>
      <c r="R489" s="11"/>
      <c r="S489" s="11"/>
      <c r="T489" s="35"/>
      <c r="U489" s="36"/>
      <c r="V489" s="11"/>
      <c r="W489" s="35"/>
      <c r="X489" s="35"/>
      <c r="Y489" s="36"/>
      <c r="Z489" s="11"/>
      <c r="AA489" s="35"/>
      <c r="AB489" s="36"/>
      <c r="AC489" s="35"/>
      <c r="AD489" s="35"/>
      <c r="AE489" s="37" t="str">
        <f>IF($A489="","",COUNTIFS(Připomínky!$A$4:$A$503,$A489,Připomínky!$J$4:$J$503,"Nevyřešeno"))</f>
        <v/>
      </c>
      <c r="AF489" s="37" t="str">
        <f>IF($A489="","",COUNTIFS(Publikace!$A$4:$A$503,$A489))</f>
        <v/>
      </c>
      <c r="AG489" s="38" t="str">
        <f>IF($A489="","",IF(AF489=0,"",_xlfn.MINIFS(Publikace!$E$4:$E$503,Publikace!$A$4:$A$503,$A489)))</f>
        <v/>
      </c>
      <c r="AH489" s="37" t="str">
        <f t="shared" si="7"/>
        <v/>
      </c>
      <c r="AI489" s="39" t="str">
        <f ca="1">IF($A489="","",TRIM(IF(AND($U489&lt;&gt;"",$U489&lt;TODAY(),$W489&lt;&gt;"Schváleno",$W489&lt;&gt;"Odloženo",$W489&lt;&gt;"Zrušeno"),"Po termínu odevzdání. ","")&amp;IF(AND($W489="Schváleno",OR($X489="",$Y489="")),"Schváleno bez jména / data. ","")&amp;IF(OR($G489="",$H489="",$I489="",$F489=""),"Chybí zařazení (kategorie, typ, profil nebo měsíc). ","")&amp;IF(AND(OR($I489="Honza",$I489="Radek"),OR($J489="",$J489="Nevztahuje se")),"Doplnit charakter (osobní / pracovní). ","")&amp;IF(AND($W489="Schváleno",$AE489&gt;0),"Schváleno, ale má otevřené připomínky. ","")&amp;IF(AND($AA489="Publikováno",$AF489=0),"Publikováno bez záznamu v listu Publikace. ","")&amp;IF(AND($C489&lt;&gt;"",$D489=""),"Chybí číslo dílu série. ","")&amp;IF(AND($E489&lt;&gt;"",$W489&lt;&gt;"Schváleno",$W489&lt;&gt;"Odloženo",$W489&lt;&gt;"Zrušeno",IFERROR(VLOOKUP($E489,Nastavení!$A$30:$G$53,3,FALSE()),0)&gt;0,IFERROR(VLOOKUP($E489,Nastavení!$A$30:$G$53,3,FALSE()),0)&lt;TODAY()),"Neschváleno po termínu cyklu. ","")))</f>
        <v/>
      </c>
    </row>
    <row r="490" spans="1:35" x14ac:dyDescent="0.2">
      <c r="A490" s="35"/>
      <c r="B490" s="11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11"/>
      <c r="N490" s="11"/>
      <c r="O490" s="11"/>
      <c r="P490" s="11"/>
      <c r="Q490" s="11"/>
      <c r="R490" s="11"/>
      <c r="S490" s="11"/>
      <c r="T490" s="35"/>
      <c r="U490" s="36"/>
      <c r="V490" s="11"/>
      <c r="W490" s="35"/>
      <c r="X490" s="35"/>
      <c r="Y490" s="36"/>
      <c r="Z490" s="11"/>
      <c r="AA490" s="35"/>
      <c r="AB490" s="36"/>
      <c r="AC490" s="35"/>
      <c r="AD490" s="35"/>
      <c r="AE490" s="37" t="str">
        <f>IF($A490="","",COUNTIFS(Připomínky!$A$4:$A$503,$A490,Připomínky!$J$4:$J$503,"Nevyřešeno"))</f>
        <v/>
      </c>
      <c r="AF490" s="37" t="str">
        <f>IF($A490="","",COUNTIFS(Publikace!$A$4:$A$503,$A490))</f>
        <v/>
      </c>
      <c r="AG490" s="38" t="str">
        <f>IF($A490="","",IF(AF490=0,"",_xlfn.MINIFS(Publikace!$E$4:$E$503,Publikace!$A$4:$A$503,$A490)))</f>
        <v/>
      </c>
      <c r="AH490" s="37" t="str">
        <f t="shared" si="7"/>
        <v/>
      </c>
      <c r="AI490" s="39" t="str">
        <f ca="1">IF($A490="","",TRIM(IF(AND($U490&lt;&gt;"",$U490&lt;TODAY(),$W490&lt;&gt;"Schváleno",$W490&lt;&gt;"Odloženo",$W490&lt;&gt;"Zrušeno"),"Po termínu odevzdání. ","")&amp;IF(AND($W490="Schváleno",OR($X490="",$Y490="")),"Schváleno bez jména / data. ","")&amp;IF(OR($G490="",$H490="",$I490="",$F490=""),"Chybí zařazení (kategorie, typ, profil nebo měsíc). ","")&amp;IF(AND(OR($I490="Honza",$I490="Radek"),OR($J490="",$J490="Nevztahuje se")),"Doplnit charakter (osobní / pracovní). ","")&amp;IF(AND($W490="Schváleno",$AE490&gt;0),"Schváleno, ale má otevřené připomínky. ","")&amp;IF(AND($AA490="Publikováno",$AF490=0),"Publikováno bez záznamu v listu Publikace. ","")&amp;IF(AND($C490&lt;&gt;"",$D490=""),"Chybí číslo dílu série. ","")&amp;IF(AND($E490&lt;&gt;"",$W490&lt;&gt;"Schváleno",$W490&lt;&gt;"Odloženo",$W490&lt;&gt;"Zrušeno",IFERROR(VLOOKUP($E490,Nastavení!$A$30:$G$53,3,FALSE()),0)&gt;0,IFERROR(VLOOKUP($E490,Nastavení!$A$30:$G$53,3,FALSE()),0)&lt;TODAY()),"Neschváleno po termínu cyklu. ","")))</f>
        <v/>
      </c>
    </row>
    <row r="491" spans="1:35" x14ac:dyDescent="0.2">
      <c r="A491" s="35"/>
      <c r="B491" s="11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11"/>
      <c r="N491" s="11"/>
      <c r="O491" s="11"/>
      <c r="P491" s="11"/>
      <c r="Q491" s="11"/>
      <c r="R491" s="11"/>
      <c r="S491" s="11"/>
      <c r="T491" s="35"/>
      <c r="U491" s="36"/>
      <c r="V491" s="11"/>
      <c r="W491" s="35"/>
      <c r="X491" s="35"/>
      <c r="Y491" s="36"/>
      <c r="Z491" s="11"/>
      <c r="AA491" s="35"/>
      <c r="AB491" s="36"/>
      <c r="AC491" s="35"/>
      <c r="AD491" s="35"/>
      <c r="AE491" s="37" t="str">
        <f>IF($A491="","",COUNTIFS(Připomínky!$A$4:$A$503,$A491,Připomínky!$J$4:$J$503,"Nevyřešeno"))</f>
        <v/>
      </c>
      <c r="AF491" s="37" t="str">
        <f>IF($A491="","",COUNTIFS(Publikace!$A$4:$A$503,$A491))</f>
        <v/>
      </c>
      <c r="AG491" s="38" t="str">
        <f>IF($A491="","",IF(AF491=0,"",_xlfn.MINIFS(Publikace!$E$4:$E$503,Publikace!$A$4:$A$503,$A491)))</f>
        <v/>
      </c>
      <c r="AH491" s="37" t="str">
        <f t="shared" si="7"/>
        <v/>
      </c>
      <c r="AI491" s="39" t="str">
        <f ca="1">IF($A491="","",TRIM(IF(AND($U491&lt;&gt;"",$U491&lt;TODAY(),$W491&lt;&gt;"Schváleno",$W491&lt;&gt;"Odloženo",$W491&lt;&gt;"Zrušeno"),"Po termínu odevzdání. ","")&amp;IF(AND($W491="Schváleno",OR($X491="",$Y491="")),"Schváleno bez jména / data. ","")&amp;IF(OR($G491="",$H491="",$I491="",$F491=""),"Chybí zařazení (kategorie, typ, profil nebo měsíc). ","")&amp;IF(AND(OR($I491="Honza",$I491="Radek"),OR($J491="",$J491="Nevztahuje se")),"Doplnit charakter (osobní / pracovní). ","")&amp;IF(AND($W491="Schváleno",$AE491&gt;0),"Schváleno, ale má otevřené připomínky. ","")&amp;IF(AND($AA491="Publikováno",$AF491=0),"Publikováno bez záznamu v listu Publikace. ","")&amp;IF(AND($C491&lt;&gt;"",$D491=""),"Chybí číslo dílu série. ","")&amp;IF(AND($E491&lt;&gt;"",$W491&lt;&gt;"Schváleno",$W491&lt;&gt;"Odloženo",$W491&lt;&gt;"Zrušeno",IFERROR(VLOOKUP($E491,Nastavení!$A$30:$G$53,3,FALSE()),0)&gt;0,IFERROR(VLOOKUP($E491,Nastavení!$A$30:$G$53,3,FALSE()),0)&lt;TODAY()),"Neschváleno po termínu cyklu. ","")))</f>
        <v/>
      </c>
    </row>
    <row r="492" spans="1:35" x14ac:dyDescent="0.2">
      <c r="A492" s="35"/>
      <c r="B492" s="11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11"/>
      <c r="N492" s="11"/>
      <c r="O492" s="11"/>
      <c r="P492" s="11"/>
      <c r="Q492" s="11"/>
      <c r="R492" s="11"/>
      <c r="S492" s="11"/>
      <c r="T492" s="35"/>
      <c r="U492" s="36"/>
      <c r="V492" s="11"/>
      <c r="W492" s="35"/>
      <c r="X492" s="35"/>
      <c r="Y492" s="36"/>
      <c r="Z492" s="11"/>
      <c r="AA492" s="35"/>
      <c r="AB492" s="36"/>
      <c r="AC492" s="35"/>
      <c r="AD492" s="35"/>
      <c r="AE492" s="37" t="str">
        <f>IF($A492="","",COUNTIFS(Připomínky!$A$4:$A$503,$A492,Připomínky!$J$4:$J$503,"Nevyřešeno"))</f>
        <v/>
      </c>
      <c r="AF492" s="37" t="str">
        <f>IF($A492="","",COUNTIFS(Publikace!$A$4:$A$503,$A492))</f>
        <v/>
      </c>
      <c r="AG492" s="38" t="str">
        <f>IF($A492="","",IF(AF492=0,"",_xlfn.MINIFS(Publikace!$E$4:$E$503,Publikace!$A$4:$A$503,$A492)))</f>
        <v/>
      </c>
      <c r="AH492" s="37" t="str">
        <f t="shared" si="7"/>
        <v/>
      </c>
      <c r="AI492" s="39" t="str">
        <f ca="1">IF($A492="","",TRIM(IF(AND($U492&lt;&gt;"",$U492&lt;TODAY(),$W492&lt;&gt;"Schváleno",$W492&lt;&gt;"Odloženo",$W492&lt;&gt;"Zrušeno"),"Po termínu odevzdání. ","")&amp;IF(AND($W492="Schváleno",OR($X492="",$Y492="")),"Schváleno bez jména / data. ","")&amp;IF(OR($G492="",$H492="",$I492="",$F492=""),"Chybí zařazení (kategorie, typ, profil nebo měsíc). ","")&amp;IF(AND(OR($I492="Honza",$I492="Radek"),OR($J492="",$J492="Nevztahuje se")),"Doplnit charakter (osobní / pracovní). ","")&amp;IF(AND($W492="Schváleno",$AE492&gt;0),"Schváleno, ale má otevřené připomínky. ","")&amp;IF(AND($AA492="Publikováno",$AF492=0),"Publikováno bez záznamu v listu Publikace. ","")&amp;IF(AND($C492&lt;&gt;"",$D492=""),"Chybí číslo dílu série. ","")&amp;IF(AND($E492&lt;&gt;"",$W492&lt;&gt;"Schváleno",$W492&lt;&gt;"Odloženo",$W492&lt;&gt;"Zrušeno",IFERROR(VLOOKUP($E492,Nastavení!$A$30:$G$53,3,FALSE()),0)&gt;0,IFERROR(VLOOKUP($E492,Nastavení!$A$30:$G$53,3,FALSE()),0)&lt;TODAY()),"Neschváleno po termínu cyklu. ","")))</f>
        <v/>
      </c>
    </row>
    <row r="493" spans="1:35" x14ac:dyDescent="0.2">
      <c r="A493" s="35"/>
      <c r="B493" s="11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11"/>
      <c r="N493" s="11"/>
      <c r="O493" s="11"/>
      <c r="P493" s="11"/>
      <c r="Q493" s="11"/>
      <c r="R493" s="11"/>
      <c r="S493" s="11"/>
      <c r="T493" s="35"/>
      <c r="U493" s="36"/>
      <c r="V493" s="11"/>
      <c r="W493" s="35"/>
      <c r="X493" s="35"/>
      <c r="Y493" s="36"/>
      <c r="Z493" s="11"/>
      <c r="AA493" s="35"/>
      <c r="AB493" s="36"/>
      <c r="AC493" s="35"/>
      <c r="AD493" s="35"/>
      <c r="AE493" s="37" t="str">
        <f>IF($A493="","",COUNTIFS(Připomínky!$A$4:$A$503,$A493,Připomínky!$J$4:$J$503,"Nevyřešeno"))</f>
        <v/>
      </c>
      <c r="AF493" s="37" t="str">
        <f>IF($A493="","",COUNTIFS(Publikace!$A$4:$A$503,$A493))</f>
        <v/>
      </c>
      <c r="AG493" s="38" t="str">
        <f>IF($A493="","",IF(AF493=0,"",_xlfn.MINIFS(Publikace!$E$4:$E$503,Publikace!$A$4:$A$503,$A493)))</f>
        <v/>
      </c>
      <c r="AH493" s="37" t="str">
        <f t="shared" si="7"/>
        <v/>
      </c>
      <c r="AI493" s="39" t="str">
        <f ca="1">IF($A493="","",TRIM(IF(AND($U493&lt;&gt;"",$U493&lt;TODAY(),$W493&lt;&gt;"Schváleno",$W493&lt;&gt;"Odloženo",$W493&lt;&gt;"Zrušeno"),"Po termínu odevzdání. ","")&amp;IF(AND($W493="Schváleno",OR($X493="",$Y493="")),"Schváleno bez jména / data. ","")&amp;IF(OR($G493="",$H493="",$I493="",$F493=""),"Chybí zařazení (kategorie, typ, profil nebo měsíc). ","")&amp;IF(AND(OR($I493="Honza",$I493="Radek"),OR($J493="",$J493="Nevztahuje se")),"Doplnit charakter (osobní / pracovní). ","")&amp;IF(AND($W493="Schváleno",$AE493&gt;0),"Schváleno, ale má otevřené připomínky. ","")&amp;IF(AND($AA493="Publikováno",$AF493=0),"Publikováno bez záznamu v listu Publikace. ","")&amp;IF(AND($C493&lt;&gt;"",$D493=""),"Chybí číslo dílu série. ","")&amp;IF(AND($E493&lt;&gt;"",$W493&lt;&gt;"Schváleno",$W493&lt;&gt;"Odloženo",$W493&lt;&gt;"Zrušeno",IFERROR(VLOOKUP($E493,Nastavení!$A$30:$G$53,3,FALSE()),0)&gt;0,IFERROR(VLOOKUP($E493,Nastavení!$A$30:$G$53,3,FALSE()),0)&lt;TODAY()),"Neschváleno po termínu cyklu. ","")))</f>
        <v/>
      </c>
    </row>
    <row r="494" spans="1:35" x14ac:dyDescent="0.2">
      <c r="A494" s="35"/>
      <c r="B494" s="11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11"/>
      <c r="N494" s="11"/>
      <c r="O494" s="11"/>
      <c r="P494" s="11"/>
      <c r="Q494" s="11"/>
      <c r="R494" s="11"/>
      <c r="S494" s="11"/>
      <c r="T494" s="35"/>
      <c r="U494" s="36"/>
      <c r="V494" s="11"/>
      <c r="W494" s="35"/>
      <c r="X494" s="35"/>
      <c r="Y494" s="36"/>
      <c r="Z494" s="11"/>
      <c r="AA494" s="35"/>
      <c r="AB494" s="36"/>
      <c r="AC494" s="35"/>
      <c r="AD494" s="35"/>
      <c r="AE494" s="37" t="str">
        <f>IF($A494="","",COUNTIFS(Připomínky!$A$4:$A$503,$A494,Připomínky!$J$4:$J$503,"Nevyřešeno"))</f>
        <v/>
      </c>
      <c r="AF494" s="37" t="str">
        <f>IF($A494="","",COUNTIFS(Publikace!$A$4:$A$503,$A494))</f>
        <v/>
      </c>
      <c r="AG494" s="38" t="str">
        <f>IF($A494="","",IF(AF494=0,"",_xlfn.MINIFS(Publikace!$E$4:$E$503,Publikace!$A$4:$A$503,$A494)))</f>
        <v/>
      </c>
      <c r="AH494" s="37" t="str">
        <f t="shared" si="7"/>
        <v/>
      </c>
      <c r="AI494" s="39" t="str">
        <f ca="1">IF($A494="","",TRIM(IF(AND($U494&lt;&gt;"",$U494&lt;TODAY(),$W494&lt;&gt;"Schváleno",$W494&lt;&gt;"Odloženo",$W494&lt;&gt;"Zrušeno"),"Po termínu odevzdání. ","")&amp;IF(AND($W494="Schváleno",OR($X494="",$Y494="")),"Schváleno bez jména / data. ","")&amp;IF(OR($G494="",$H494="",$I494="",$F494=""),"Chybí zařazení (kategorie, typ, profil nebo měsíc). ","")&amp;IF(AND(OR($I494="Honza",$I494="Radek"),OR($J494="",$J494="Nevztahuje se")),"Doplnit charakter (osobní / pracovní). ","")&amp;IF(AND($W494="Schváleno",$AE494&gt;0),"Schváleno, ale má otevřené připomínky. ","")&amp;IF(AND($AA494="Publikováno",$AF494=0),"Publikováno bez záznamu v listu Publikace. ","")&amp;IF(AND($C494&lt;&gt;"",$D494=""),"Chybí číslo dílu série. ","")&amp;IF(AND($E494&lt;&gt;"",$W494&lt;&gt;"Schváleno",$W494&lt;&gt;"Odloženo",$W494&lt;&gt;"Zrušeno",IFERROR(VLOOKUP($E494,Nastavení!$A$30:$G$53,3,FALSE()),0)&gt;0,IFERROR(VLOOKUP($E494,Nastavení!$A$30:$G$53,3,FALSE()),0)&lt;TODAY()),"Neschváleno po termínu cyklu. ","")))</f>
        <v/>
      </c>
    </row>
    <row r="495" spans="1:35" x14ac:dyDescent="0.2">
      <c r="A495" s="35"/>
      <c r="B495" s="11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11"/>
      <c r="N495" s="11"/>
      <c r="O495" s="11"/>
      <c r="P495" s="11"/>
      <c r="Q495" s="11"/>
      <c r="R495" s="11"/>
      <c r="S495" s="11"/>
      <c r="T495" s="35"/>
      <c r="U495" s="36"/>
      <c r="V495" s="11"/>
      <c r="W495" s="35"/>
      <c r="X495" s="35"/>
      <c r="Y495" s="36"/>
      <c r="Z495" s="11"/>
      <c r="AA495" s="35"/>
      <c r="AB495" s="36"/>
      <c r="AC495" s="35"/>
      <c r="AD495" s="35"/>
      <c r="AE495" s="37" t="str">
        <f>IF($A495="","",COUNTIFS(Připomínky!$A$4:$A$503,$A495,Připomínky!$J$4:$J$503,"Nevyřešeno"))</f>
        <v/>
      </c>
      <c r="AF495" s="37" t="str">
        <f>IF($A495="","",COUNTIFS(Publikace!$A$4:$A$503,$A495))</f>
        <v/>
      </c>
      <c r="AG495" s="38" t="str">
        <f>IF($A495="","",IF(AF495=0,"",_xlfn.MINIFS(Publikace!$E$4:$E$503,Publikace!$A$4:$A$503,$A495)))</f>
        <v/>
      </c>
      <c r="AH495" s="37" t="str">
        <f t="shared" si="7"/>
        <v/>
      </c>
      <c r="AI495" s="39" t="str">
        <f ca="1">IF($A495="","",TRIM(IF(AND($U495&lt;&gt;"",$U495&lt;TODAY(),$W495&lt;&gt;"Schváleno",$W495&lt;&gt;"Odloženo",$W495&lt;&gt;"Zrušeno"),"Po termínu odevzdání. ","")&amp;IF(AND($W495="Schváleno",OR($X495="",$Y495="")),"Schváleno bez jména / data. ","")&amp;IF(OR($G495="",$H495="",$I495="",$F495=""),"Chybí zařazení (kategorie, typ, profil nebo měsíc). ","")&amp;IF(AND(OR($I495="Honza",$I495="Radek"),OR($J495="",$J495="Nevztahuje se")),"Doplnit charakter (osobní / pracovní). ","")&amp;IF(AND($W495="Schváleno",$AE495&gt;0),"Schváleno, ale má otevřené připomínky. ","")&amp;IF(AND($AA495="Publikováno",$AF495=0),"Publikováno bez záznamu v listu Publikace. ","")&amp;IF(AND($C495&lt;&gt;"",$D495=""),"Chybí číslo dílu série. ","")&amp;IF(AND($E495&lt;&gt;"",$W495&lt;&gt;"Schváleno",$W495&lt;&gt;"Odloženo",$W495&lt;&gt;"Zrušeno",IFERROR(VLOOKUP($E495,Nastavení!$A$30:$G$53,3,FALSE()),0)&gt;0,IFERROR(VLOOKUP($E495,Nastavení!$A$30:$G$53,3,FALSE()),0)&lt;TODAY()),"Neschváleno po termínu cyklu. ","")))</f>
        <v/>
      </c>
    </row>
    <row r="496" spans="1:35" x14ac:dyDescent="0.2">
      <c r="A496" s="35"/>
      <c r="B496" s="11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11"/>
      <c r="N496" s="11"/>
      <c r="O496" s="11"/>
      <c r="P496" s="11"/>
      <c r="Q496" s="11"/>
      <c r="R496" s="11"/>
      <c r="S496" s="11"/>
      <c r="T496" s="35"/>
      <c r="U496" s="36"/>
      <c r="V496" s="11"/>
      <c r="W496" s="35"/>
      <c r="X496" s="35"/>
      <c r="Y496" s="36"/>
      <c r="Z496" s="11"/>
      <c r="AA496" s="35"/>
      <c r="AB496" s="36"/>
      <c r="AC496" s="35"/>
      <c r="AD496" s="35"/>
      <c r="AE496" s="37" t="str">
        <f>IF($A496="","",COUNTIFS(Připomínky!$A$4:$A$503,$A496,Připomínky!$J$4:$J$503,"Nevyřešeno"))</f>
        <v/>
      </c>
      <c r="AF496" s="37" t="str">
        <f>IF($A496="","",COUNTIFS(Publikace!$A$4:$A$503,$A496))</f>
        <v/>
      </c>
      <c r="AG496" s="38" t="str">
        <f>IF($A496="","",IF(AF496=0,"",_xlfn.MINIFS(Publikace!$E$4:$E$503,Publikace!$A$4:$A$503,$A496)))</f>
        <v/>
      </c>
      <c r="AH496" s="37" t="str">
        <f t="shared" si="7"/>
        <v/>
      </c>
      <c r="AI496" s="39" t="str">
        <f ca="1">IF($A496="","",TRIM(IF(AND($U496&lt;&gt;"",$U496&lt;TODAY(),$W496&lt;&gt;"Schváleno",$W496&lt;&gt;"Odloženo",$W496&lt;&gt;"Zrušeno"),"Po termínu odevzdání. ","")&amp;IF(AND($W496="Schváleno",OR($X496="",$Y496="")),"Schváleno bez jména / data. ","")&amp;IF(OR($G496="",$H496="",$I496="",$F496=""),"Chybí zařazení (kategorie, typ, profil nebo měsíc). ","")&amp;IF(AND(OR($I496="Honza",$I496="Radek"),OR($J496="",$J496="Nevztahuje se")),"Doplnit charakter (osobní / pracovní). ","")&amp;IF(AND($W496="Schváleno",$AE496&gt;0),"Schváleno, ale má otevřené připomínky. ","")&amp;IF(AND($AA496="Publikováno",$AF496=0),"Publikováno bez záznamu v listu Publikace. ","")&amp;IF(AND($C496&lt;&gt;"",$D496=""),"Chybí číslo dílu série. ","")&amp;IF(AND($E496&lt;&gt;"",$W496&lt;&gt;"Schváleno",$W496&lt;&gt;"Odloženo",$W496&lt;&gt;"Zrušeno",IFERROR(VLOOKUP($E496,Nastavení!$A$30:$G$53,3,FALSE()),0)&gt;0,IFERROR(VLOOKUP($E496,Nastavení!$A$30:$G$53,3,FALSE()),0)&lt;TODAY()),"Neschváleno po termínu cyklu. ","")))</f>
        <v/>
      </c>
    </row>
    <row r="497" spans="1:35" x14ac:dyDescent="0.2">
      <c r="A497" s="35"/>
      <c r="B497" s="11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11"/>
      <c r="N497" s="11"/>
      <c r="O497" s="11"/>
      <c r="P497" s="11"/>
      <c r="Q497" s="11"/>
      <c r="R497" s="11"/>
      <c r="S497" s="11"/>
      <c r="T497" s="35"/>
      <c r="U497" s="36"/>
      <c r="V497" s="11"/>
      <c r="W497" s="35"/>
      <c r="X497" s="35"/>
      <c r="Y497" s="36"/>
      <c r="Z497" s="11"/>
      <c r="AA497" s="35"/>
      <c r="AB497" s="36"/>
      <c r="AC497" s="35"/>
      <c r="AD497" s="35"/>
      <c r="AE497" s="37" t="str">
        <f>IF($A497="","",COUNTIFS(Připomínky!$A$4:$A$503,$A497,Připomínky!$J$4:$J$503,"Nevyřešeno"))</f>
        <v/>
      </c>
      <c r="AF497" s="37" t="str">
        <f>IF($A497="","",COUNTIFS(Publikace!$A$4:$A$503,$A497))</f>
        <v/>
      </c>
      <c r="AG497" s="38" t="str">
        <f>IF($A497="","",IF(AF497=0,"",_xlfn.MINIFS(Publikace!$E$4:$E$503,Publikace!$A$4:$A$503,$A497)))</f>
        <v/>
      </c>
      <c r="AH497" s="37" t="str">
        <f t="shared" si="7"/>
        <v/>
      </c>
      <c r="AI497" s="39" t="str">
        <f ca="1">IF($A497="","",TRIM(IF(AND($U497&lt;&gt;"",$U497&lt;TODAY(),$W497&lt;&gt;"Schváleno",$W497&lt;&gt;"Odloženo",$W497&lt;&gt;"Zrušeno"),"Po termínu odevzdání. ","")&amp;IF(AND($W497="Schváleno",OR($X497="",$Y497="")),"Schváleno bez jména / data. ","")&amp;IF(OR($G497="",$H497="",$I497="",$F497=""),"Chybí zařazení (kategorie, typ, profil nebo měsíc). ","")&amp;IF(AND(OR($I497="Honza",$I497="Radek"),OR($J497="",$J497="Nevztahuje se")),"Doplnit charakter (osobní / pracovní). ","")&amp;IF(AND($W497="Schváleno",$AE497&gt;0),"Schváleno, ale má otevřené připomínky. ","")&amp;IF(AND($AA497="Publikováno",$AF497=0),"Publikováno bez záznamu v listu Publikace. ","")&amp;IF(AND($C497&lt;&gt;"",$D497=""),"Chybí číslo dílu série. ","")&amp;IF(AND($E497&lt;&gt;"",$W497&lt;&gt;"Schváleno",$W497&lt;&gt;"Odloženo",$W497&lt;&gt;"Zrušeno",IFERROR(VLOOKUP($E497,Nastavení!$A$30:$G$53,3,FALSE()),0)&gt;0,IFERROR(VLOOKUP($E497,Nastavení!$A$30:$G$53,3,FALSE()),0)&lt;TODAY()),"Neschváleno po termínu cyklu. ","")))</f>
        <v/>
      </c>
    </row>
    <row r="498" spans="1:35" x14ac:dyDescent="0.2">
      <c r="A498" s="35"/>
      <c r="B498" s="11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11"/>
      <c r="N498" s="11"/>
      <c r="O498" s="11"/>
      <c r="P498" s="11"/>
      <c r="Q498" s="11"/>
      <c r="R498" s="11"/>
      <c r="S498" s="11"/>
      <c r="T498" s="35"/>
      <c r="U498" s="36"/>
      <c r="V498" s="11"/>
      <c r="W498" s="35"/>
      <c r="X498" s="35"/>
      <c r="Y498" s="36"/>
      <c r="Z498" s="11"/>
      <c r="AA498" s="35"/>
      <c r="AB498" s="36"/>
      <c r="AC498" s="35"/>
      <c r="AD498" s="35"/>
      <c r="AE498" s="37" t="str">
        <f>IF($A498="","",COUNTIFS(Připomínky!$A$4:$A$503,$A498,Připomínky!$J$4:$J$503,"Nevyřešeno"))</f>
        <v/>
      </c>
      <c r="AF498" s="37" t="str">
        <f>IF($A498="","",COUNTIFS(Publikace!$A$4:$A$503,$A498))</f>
        <v/>
      </c>
      <c r="AG498" s="38" t="str">
        <f>IF($A498="","",IF(AF498=0,"",_xlfn.MINIFS(Publikace!$E$4:$E$503,Publikace!$A$4:$A$503,$A498)))</f>
        <v/>
      </c>
      <c r="AH498" s="37" t="str">
        <f t="shared" si="7"/>
        <v/>
      </c>
      <c r="AI498" s="39" t="str">
        <f ca="1">IF($A498="","",TRIM(IF(AND($U498&lt;&gt;"",$U498&lt;TODAY(),$W498&lt;&gt;"Schváleno",$W498&lt;&gt;"Odloženo",$W498&lt;&gt;"Zrušeno"),"Po termínu odevzdání. ","")&amp;IF(AND($W498="Schváleno",OR($X498="",$Y498="")),"Schváleno bez jména / data. ","")&amp;IF(OR($G498="",$H498="",$I498="",$F498=""),"Chybí zařazení (kategorie, typ, profil nebo měsíc). ","")&amp;IF(AND(OR($I498="Honza",$I498="Radek"),OR($J498="",$J498="Nevztahuje se")),"Doplnit charakter (osobní / pracovní). ","")&amp;IF(AND($W498="Schváleno",$AE498&gt;0),"Schváleno, ale má otevřené připomínky. ","")&amp;IF(AND($AA498="Publikováno",$AF498=0),"Publikováno bez záznamu v listu Publikace. ","")&amp;IF(AND($C498&lt;&gt;"",$D498=""),"Chybí číslo dílu série. ","")&amp;IF(AND($E498&lt;&gt;"",$W498&lt;&gt;"Schváleno",$W498&lt;&gt;"Odloženo",$W498&lt;&gt;"Zrušeno",IFERROR(VLOOKUP($E498,Nastavení!$A$30:$G$53,3,FALSE()),0)&gt;0,IFERROR(VLOOKUP($E498,Nastavení!$A$30:$G$53,3,FALSE()),0)&lt;TODAY()),"Neschváleno po termínu cyklu. ","")))</f>
        <v/>
      </c>
    </row>
    <row r="499" spans="1:35" x14ac:dyDescent="0.2">
      <c r="A499" s="35"/>
      <c r="B499" s="11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11"/>
      <c r="N499" s="11"/>
      <c r="O499" s="11"/>
      <c r="P499" s="11"/>
      <c r="Q499" s="11"/>
      <c r="R499" s="11"/>
      <c r="S499" s="11"/>
      <c r="T499" s="35"/>
      <c r="U499" s="36"/>
      <c r="V499" s="11"/>
      <c r="W499" s="35"/>
      <c r="X499" s="35"/>
      <c r="Y499" s="36"/>
      <c r="Z499" s="11"/>
      <c r="AA499" s="35"/>
      <c r="AB499" s="36"/>
      <c r="AC499" s="35"/>
      <c r="AD499" s="35"/>
      <c r="AE499" s="37" t="str">
        <f>IF($A499="","",COUNTIFS(Připomínky!$A$4:$A$503,$A499,Připomínky!$J$4:$J$503,"Nevyřešeno"))</f>
        <v/>
      </c>
      <c r="AF499" s="37" t="str">
        <f>IF($A499="","",COUNTIFS(Publikace!$A$4:$A$503,$A499))</f>
        <v/>
      </c>
      <c r="AG499" s="38" t="str">
        <f>IF($A499="","",IF(AF499=0,"",_xlfn.MINIFS(Publikace!$E$4:$E$503,Publikace!$A$4:$A$503,$A499)))</f>
        <v/>
      </c>
      <c r="AH499" s="37" t="str">
        <f t="shared" si="7"/>
        <v/>
      </c>
      <c r="AI499" s="39" t="str">
        <f ca="1">IF($A499="","",TRIM(IF(AND($U499&lt;&gt;"",$U499&lt;TODAY(),$W499&lt;&gt;"Schváleno",$W499&lt;&gt;"Odloženo",$W499&lt;&gt;"Zrušeno"),"Po termínu odevzdání. ","")&amp;IF(AND($W499="Schváleno",OR($X499="",$Y499="")),"Schváleno bez jména / data. ","")&amp;IF(OR($G499="",$H499="",$I499="",$F499=""),"Chybí zařazení (kategorie, typ, profil nebo měsíc). ","")&amp;IF(AND(OR($I499="Honza",$I499="Radek"),OR($J499="",$J499="Nevztahuje se")),"Doplnit charakter (osobní / pracovní). ","")&amp;IF(AND($W499="Schváleno",$AE499&gt;0),"Schváleno, ale má otevřené připomínky. ","")&amp;IF(AND($AA499="Publikováno",$AF499=0),"Publikováno bez záznamu v listu Publikace. ","")&amp;IF(AND($C499&lt;&gt;"",$D499=""),"Chybí číslo dílu série. ","")&amp;IF(AND($E499&lt;&gt;"",$W499&lt;&gt;"Schváleno",$W499&lt;&gt;"Odloženo",$W499&lt;&gt;"Zrušeno",IFERROR(VLOOKUP($E499,Nastavení!$A$30:$G$53,3,FALSE()),0)&gt;0,IFERROR(VLOOKUP($E499,Nastavení!$A$30:$G$53,3,FALSE()),0)&lt;TODAY()),"Neschváleno po termínu cyklu. ","")))</f>
        <v/>
      </c>
    </row>
    <row r="500" spans="1:35" x14ac:dyDescent="0.2">
      <c r="A500" s="35"/>
      <c r="B500" s="11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11"/>
      <c r="N500" s="11"/>
      <c r="O500" s="11"/>
      <c r="P500" s="11"/>
      <c r="Q500" s="11"/>
      <c r="R500" s="11"/>
      <c r="S500" s="11"/>
      <c r="T500" s="35"/>
      <c r="U500" s="36"/>
      <c r="V500" s="11"/>
      <c r="W500" s="35"/>
      <c r="X500" s="35"/>
      <c r="Y500" s="36"/>
      <c r="Z500" s="11"/>
      <c r="AA500" s="35"/>
      <c r="AB500" s="36"/>
      <c r="AC500" s="35"/>
      <c r="AD500" s="35"/>
      <c r="AE500" s="37" t="str">
        <f>IF($A500="","",COUNTIFS(Připomínky!$A$4:$A$503,$A500,Připomínky!$J$4:$J$503,"Nevyřešeno"))</f>
        <v/>
      </c>
      <c r="AF500" s="37" t="str">
        <f>IF($A500="","",COUNTIFS(Publikace!$A$4:$A$503,$A500))</f>
        <v/>
      </c>
      <c r="AG500" s="38" t="str">
        <f>IF($A500="","",IF(AF500=0,"",_xlfn.MINIFS(Publikace!$E$4:$E$503,Publikace!$A$4:$A$503,$A500)))</f>
        <v/>
      </c>
      <c r="AH500" s="37" t="str">
        <f t="shared" si="7"/>
        <v/>
      </c>
      <c r="AI500" s="39" t="str">
        <f ca="1">IF($A500="","",TRIM(IF(AND($U500&lt;&gt;"",$U500&lt;TODAY(),$W500&lt;&gt;"Schváleno",$W500&lt;&gt;"Odloženo",$W500&lt;&gt;"Zrušeno"),"Po termínu odevzdání. ","")&amp;IF(AND($W500="Schváleno",OR($X500="",$Y500="")),"Schváleno bez jména / data. ","")&amp;IF(OR($G500="",$H500="",$I500="",$F500=""),"Chybí zařazení (kategorie, typ, profil nebo měsíc). ","")&amp;IF(AND(OR($I500="Honza",$I500="Radek"),OR($J500="",$J500="Nevztahuje se")),"Doplnit charakter (osobní / pracovní). ","")&amp;IF(AND($W500="Schváleno",$AE500&gt;0),"Schváleno, ale má otevřené připomínky. ","")&amp;IF(AND($AA500="Publikováno",$AF500=0),"Publikováno bez záznamu v listu Publikace. ","")&amp;IF(AND($C500&lt;&gt;"",$D500=""),"Chybí číslo dílu série. ","")&amp;IF(AND($E500&lt;&gt;"",$W500&lt;&gt;"Schváleno",$W500&lt;&gt;"Odloženo",$W500&lt;&gt;"Zrušeno",IFERROR(VLOOKUP($E500,Nastavení!$A$30:$G$53,3,FALSE()),0)&gt;0,IFERROR(VLOOKUP($E500,Nastavení!$A$30:$G$53,3,FALSE()),0)&lt;TODAY()),"Neschváleno po termínu cyklu. ","")))</f>
        <v/>
      </c>
    </row>
    <row r="501" spans="1:35" x14ac:dyDescent="0.2">
      <c r="A501" s="35"/>
      <c r="B501" s="11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11"/>
      <c r="N501" s="11"/>
      <c r="O501" s="11"/>
      <c r="P501" s="11"/>
      <c r="Q501" s="11"/>
      <c r="R501" s="11"/>
      <c r="S501" s="11"/>
      <c r="T501" s="35"/>
      <c r="U501" s="36"/>
      <c r="V501" s="11"/>
      <c r="W501" s="35"/>
      <c r="X501" s="35"/>
      <c r="Y501" s="36"/>
      <c r="Z501" s="11"/>
      <c r="AA501" s="35"/>
      <c r="AB501" s="36"/>
      <c r="AC501" s="35"/>
      <c r="AD501" s="35"/>
      <c r="AE501" s="37" t="str">
        <f>IF($A501="","",COUNTIFS(Připomínky!$A$4:$A$503,$A501,Připomínky!$J$4:$J$503,"Nevyřešeno"))</f>
        <v/>
      </c>
      <c r="AF501" s="37" t="str">
        <f>IF($A501="","",COUNTIFS(Publikace!$A$4:$A$503,$A501))</f>
        <v/>
      </c>
      <c r="AG501" s="38" t="str">
        <f>IF($A501="","",IF(AF501=0,"",_xlfn.MINIFS(Publikace!$E$4:$E$503,Publikace!$A$4:$A$503,$A501)))</f>
        <v/>
      </c>
      <c r="AH501" s="37" t="str">
        <f t="shared" si="7"/>
        <v/>
      </c>
      <c r="AI501" s="39" t="str">
        <f ca="1">IF($A501="","",TRIM(IF(AND($U501&lt;&gt;"",$U501&lt;TODAY(),$W501&lt;&gt;"Schváleno",$W501&lt;&gt;"Odloženo",$W501&lt;&gt;"Zrušeno"),"Po termínu odevzdání. ","")&amp;IF(AND($W501="Schváleno",OR($X501="",$Y501="")),"Schváleno bez jména / data. ","")&amp;IF(OR($G501="",$H501="",$I501="",$F501=""),"Chybí zařazení (kategorie, typ, profil nebo měsíc). ","")&amp;IF(AND(OR($I501="Honza",$I501="Radek"),OR($J501="",$J501="Nevztahuje se")),"Doplnit charakter (osobní / pracovní). ","")&amp;IF(AND($W501="Schváleno",$AE501&gt;0),"Schváleno, ale má otevřené připomínky. ","")&amp;IF(AND($AA501="Publikováno",$AF501=0),"Publikováno bez záznamu v listu Publikace. ","")&amp;IF(AND($C501&lt;&gt;"",$D501=""),"Chybí číslo dílu série. ","")&amp;IF(AND($E501&lt;&gt;"",$W501&lt;&gt;"Schváleno",$W501&lt;&gt;"Odloženo",$W501&lt;&gt;"Zrušeno",IFERROR(VLOOKUP($E501,Nastavení!$A$30:$G$53,3,FALSE()),0)&gt;0,IFERROR(VLOOKUP($E501,Nastavení!$A$30:$G$53,3,FALSE()),0)&lt;TODAY()),"Neschváleno po termínu cyklu. ","")))</f>
        <v/>
      </c>
    </row>
    <row r="502" spans="1:35" x14ac:dyDescent="0.2">
      <c r="A502" s="35"/>
      <c r="B502" s="11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11"/>
      <c r="N502" s="11"/>
      <c r="O502" s="11"/>
      <c r="P502" s="11"/>
      <c r="Q502" s="11"/>
      <c r="R502" s="11"/>
      <c r="S502" s="11"/>
      <c r="T502" s="35"/>
      <c r="U502" s="36"/>
      <c r="V502" s="11"/>
      <c r="W502" s="35"/>
      <c r="X502" s="35"/>
      <c r="Y502" s="36"/>
      <c r="Z502" s="11"/>
      <c r="AA502" s="35"/>
      <c r="AB502" s="36"/>
      <c r="AC502" s="35"/>
      <c r="AD502" s="35"/>
      <c r="AE502" s="37" t="str">
        <f>IF($A502="","",COUNTIFS(Připomínky!$A$4:$A$503,$A502,Připomínky!$J$4:$J$503,"Nevyřešeno"))</f>
        <v/>
      </c>
      <c r="AF502" s="37" t="str">
        <f>IF($A502="","",COUNTIFS(Publikace!$A$4:$A$503,$A502))</f>
        <v/>
      </c>
      <c r="AG502" s="38" t="str">
        <f>IF($A502="","",IF(AF502=0,"",_xlfn.MINIFS(Publikace!$E$4:$E$503,Publikace!$A$4:$A$503,$A502)))</f>
        <v/>
      </c>
      <c r="AH502" s="37" t="str">
        <f t="shared" si="7"/>
        <v/>
      </c>
      <c r="AI502" s="39" t="str">
        <f ca="1">IF($A502="","",TRIM(IF(AND($U502&lt;&gt;"",$U502&lt;TODAY(),$W502&lt;&gt;"Schváleno",$W502&lt;&gt;"Odloženo",$W502&lt;&gt;"Zrušeno"),"Po termínu odevzdání. ","")&amp;IF(AND($W502="Schváleno",OR($X502="",$Y502="")),"Schváleno bez jména / data. ","")&amp;IF(OR($G502="",$H502="",$I502="",$F502=""),"Chybí zařazení (kategorie, typ, profil nebo měsíc). ","")&amp;IF(AND(OR($I502="Honza",$I502="Radek"),OR($J502="",$J502="Nevztahuje se")),"Doplnit charakter (osobní / pracovní). ","")&amp;IF(AND($W502="Schváleno",$AE502&gt;0),"Schváleno, ale má otevřené připomínky. ","")&amp;IF(AND($AA502="Publikováno",$AF502=0),"Publikováno bez záznamu v listu Publikace. ","")&amp;IF(AND($C502&lt;&gt;"",$D502=""),"Chybí číslo dílu série. ","")&amp;IF(AND($E502&lt;&gt;"",$W502&lt;&gt;"Schváleno",$W502&lt;&gt;"Odloženo",$W502&lt;&gt;"Zrušeno",IFERROR(VLOOKUP($E502,Nastavení!$A$30:$G$53,3,FALSE()),0)&gt;0,IFERROR(VLOOKUP($E502,Nastavení!$A$30:$G$53,3,FALSE()),0)&lt;TODAY()),"Neschváleno po termínu cyklu. ","")))</f>
        <v/>
      </c>
    </row>
    <row r="503" spans="1:35" x14ac:dyDescent="0.2">
      <c r="A503" s="35"/>
      <c r="B503" s="11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11"/>
      <c r="N503" s="11"/>
      <c r="O503" s="11"/>
      <c r="P503" s="11"/>
      <c r="Q503" s="11"/>
      <c r="R503" s="11"/>
      <c r="S503" s="11"/>
      <c r="T503" s="35"/>
      <c r="U503" s="36"/>
      <c r="V503" s="11"/>
      <c r="W503" s="35"/>
      <c r="X503" s="35"/>
      <c r="Y503" s="36"/>
      <c r="Z503" s="11"/>
      <c r="AA503" s="35"/>
      <c r="AB503" s="36"/>
      <c r="AC503" s="35"/>
      <c r="AD503" s="35"/>
      <c r="AE503" s="37" t="str">
        <f>IF($A503="","",COUNTIFS(Připomínky!$A$4:$A$503,$A503,Připomínky!$J$4:$J$503,"Nevyřešeno"))</f>
        <v/>
      </c>
      <c r="AF503" s="37" t="str">
        <f>IF($A503="","",COUNTIFS(Publikace!$A$4:$A$503,$A503))</f>
        <v/>
      </c>
      <c r="AG503" s="38" t="str">
        <f>IF($A503="","",IF(AF503=0,"",_xlfn.MINIFS(Publikace!$E$4:$E$503,Publikace!$A$4:$A$503,$A503)))</f>
        <v/>
      </c>
      <c r="AH503" s="37" t="str">
        <f t="shared" si="7"/>
        <v/>
      </c>
      <c r="AI503" s="39" t="str">
        <f ca="1">IF($A503="","",TRIM(IF(AND($U503&lt;&gt;"",$U503&lt;TODAY(),$W503&lt;&gt;"Schváleno",$W503&lt;&gt;"Odloženo",$W503&lt;&gt;"Zrušeno"),"Po termínu odevzdání. ","")&amp;IF(AND($W503="Schváleno",OR($X503="",$Y503="")),"Schváleno bez jména / data. ","")&amp;IF(OR($G503="",$H503="",$I503="",$F503=""),"Chybí zařazení (kategorie, typ, profil nebo měsíc). ","")&amp;IF(AND(OR($I503="Honza",$I503="Radek"),OR($J503="",$J503="Nevztahuje se")),"Doplnit charakter (osobní / pracovní). ","")&amp;IF(AND($W503="Schváleno",$AE503&gt;0),"Schváleno, ale má otevřené připomínky. ","")&amp;IF(AND($AA503="Publikováno",$AF503=0),"Publikováno bez záznamu v listu Publikace. ","")&amp;IF(AND($C503&lt;&gt;"",$D503=""),"Chybí číslo dílu série. ","")&amp;IF(AND($E503&lt;&gt;"",$W503&lt;&gt;"Schváleno",$W503&lt;&gt;"Odloženo",$W503&lt;&gt;"Zrušeno",IFERROR(VLOOKUP($E503,Nastavení!$A$30:$G$53,3,FALSE()),0)&gt;0,IFERROR(VLOOKUP($E503,Nastavení!$A$30:$G$53,3,FALSE()),0)&lt;TODAY()),"Neschváleno po termínu cyklu. ","")))</f>
        <v/>
      </c>
    </row>
  </sheetData>
  <autoFilter ref="A3:AI503" xr:uid="{00000000-0009-0000-0000-000002000000}"/>
  <mergeCells count="4">
    <mergeCell ref="A2:V2"/>
    <mergeCell ref="W2:Z2"/>
    <mergeCell ref="AA2:AD2"/>
    <mergeCell ref="AE2:AI2"/>
  </mergeCells>
  <conditionalFormatting sqref="U4:U503">
    <cfRule type="expression" dxfId="25" priority="9">
      <formula>AND($U4&lt;&gt;"",$U4&lt;TODAY(),$W4&lt;&gt;"Schváleno",$W4&lt;&gt;"Odloženo",$W4&lt;&gt;"Zrušeno")</formula>
    </cfRule>
  </conditionalFormatting>
  <conditionalFormatting sqref="W4:W503">
    <cfRule type="expression" dxfId="24" priority="2">
      <formula>$W4="Schváleno"</formula>
    </cfRule>
    <cfRule type="expression" dxfId="23" priority="3">
      <formula>OR($W4="K připomínkám",$W4="K finálnímu schválení")</formula>
    </cfRule>
    <cfRule type="expression" dxfId="22" priority="4">
      <formula>OR($W4="K dopracování",$W4="Rozpracováno")</formula>
    </cfRule>
    <cfRule type="expression" dxfId="21" priority="5">
      <formula>OR($W4="Odloženo",$W4="Zrušeno")</formula>
    </cfRule>
  </conditionalFormatting>
  <conditionalFormatting sqref="AA4:AA503">
    <cfRule type="expression" dxfId="20" priority="6">
      <formula>$AA4="Publikováno"</formula>
    </cfRule>
    <cfRule type="expression" dxfId="19" priority="7">
      <formula>OR($AA4="Natočeno",$AA4="Ve střihu",$AA4="Sestříháno")</formula>
    </cfRule>
    <cfRule type="expression" dxfId="18" priority="8">
      <formula>$AA4="Nenatočeno"</formula>
    </cfRule>
  </conditionalFormatting>
  <conditionalFormatting sqref="AE4:AE503">
    <cfRule type="expression" dxfId="17" priority="11">
      <formula>AND($AE4&lt;&gt;"",$AE4&gt;0)</formula>
    </cfRule>
  </conditionalFormatting>
  <conditionalFormatting sqref="AI4:AI503">
    <cfRule type="expression" dxfId="16" priority="10">
      <formula>$AI4&lt;&gt;""</formula>
    </cfRule>
  </conditionalFormatting>
  <dataValidations count="1">
    <dataValidation type="date" operator="greaterThan" allowBlank="1" showErrorMessage="1" errorTitle="Neplatné datum" error="Zadejte datum ve formátu DD.MM.RRRR." sqref="U4:U503 Y4:Y503 AB4:AB503" xr:uid="{00000000-0002-0000-0200-000000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errorTitle="Neplatná hodnota" error="Vyberte hodnotu z rozbalovacího seznamu." xr:uid="{00000000-0002-0000-0200-000001000000}">
          <x14:formula1>
            <xm:f>Série!$A$4:$A$103</xm:f>
          </x14:formula1>
          <x14:formula2>
            <xm:f>0</xm:f>
          </x14:formula2>
          <xm:sqref>C4:C503</xm:sqref>
        </x14:dataValidation>
        <x14:dataValidation type="list" allowBlank="1" showErrorMessage="1" errorTitle="Neplatná hodnota" error="Vyberte hodnotu z rozbalovacího seznamu." xr:uid="{00000000-0002-0000-0200-000002000000}">
          <x14:formula1>
            <xm:f>Nastavení!$A$30:$A$53</xm:f>
          </x14:formula1>
          <x14:formula2>
            <xm:f>0</xm:f>
          </x14:formula2>
          <xm:sqref>E4:E503</xm:sqref>
        </x14:dataValidation>
        <x14:dataValidation type="list" allowBlank="1" showErrorMessage="1" errorTitle="Neplatná hodnota" error="Vyberte hodnotu z rozbalovacího seznamu." xr:uid="{00000000-0002-0000-0200-000003000000}">
          <x14:formula1>
            <xm:f>Nastavení!$U$4:$U$42</xm:f>
          </x14:formula1>
          <x14:formula2>
            <xm:f>0</xm:f>
          </x14:formula2>
          <xm:sqref>F4:F503</xm:sqref>
        </x14:dataValidation>
        <x14:dataValidation type="list" allowBlank="1" showErrorMessage="1" errorTitle="Neplatná hodnota" error="Vyberte hodnotu z rozbalovacího seznamu." xr:uid="{00000000-0002-0000-0200-000004000000}">
          <x14:formula1>
            <xm:f>Nastavení!$A$10:$A$13</xm:f>
          </x14:formula1>
          <x14:formula2>
            <xm:f>0</xm:f>
          </x14:formula2>
          <xm:sqref>G4:G503</xm:sqref>
        </x14:dataValidation>
        <x14:dataValidation type="list" allowBlank="1" showErrorMessage="1" errorTitle="Neplatná hodnota" error="Vyberte hodnotu z rozbalovacího seznamu." xr:uid="{00000000-0002-0000-0200-000005000000}">
          <x14:formula1>
            <xm:f>Nastavení!$L$4:$L$5</xm:f>
          </x14:formula1>
          <x14:formula2>
            <xm:f>0</xm:f>
          </x14:formula2>
          <xm:sqref>H4:H503</xm:sqref>
        </x14:dataValidation>
        <x14:dataValidation type="list" allowBlank="1" showErrorMessage="1" errorTitle="Neplatná hodnota" error="Vyberte hodnotu z rozbalovacího seznamu." xr:uid="{00000000-0002-0000-0200-000006000000}">
          <x14:formula1>
            <xm:f>Nastavení!$K$4:$K$11</xm:f>
          </x14:formula1>
          <x14:formula2>
            <xm:f>0</xm:f>
          </x14:formula2>
          <xm:sqref>I4:I503</xm:sqref>
        </x14:dataValidation>
        <x14:dataValidation type="list" allowBlank="1" showErrorMessage="1" errorTitle="Neplatná hodnota" error="Vyberte hodnotu z rozbalovacího seznamu." xr:uid="{00000000-0002-0000-0200-000007000000}">
          <x14:formula1>
            <xm:f>Nastavení!$M$4:$M$6</xm:f>
          </x14:formula1>
          <x14:formula2>
            <xm:f>0</xm:f>
          </x14:formula2>
          <xm:sqref>J4:J503</xm:sqref>
        </x14:dataValidation>
        <x14:dataValidation type="list" allowBlank="1" showErrorMessage="1" errorTitle="Neplatná hodnota" error="Vyberte hodnotu z rozbalovacího seznamu." xr:uid="{00000000-0002-0000-0200-000008000000}">
          <x14:formula1>
            <xm:f>Nastavení!$S$4:$S$6</xm:f>
          </x14:formula1>
          <x14:formula2>
            <xm:f>0</xm:f>
          </x14:formula2>
          <xm:sqref>K4:K503</xm:sqref>
        </x14:dataValidation>
        <x14:dataValidation type="list" allowBlank="1" showErrorMessage="1" errorTitle="Neplatná hodnota" error="Vyberte hodnotu z rozbalovacího seznamu." xr:uid="{00000000-0002-0000-0200-000009000000}">
          <x14:formula1>
            <xm:f>Nastavení!$I$4:$I$18</xm:f>
          </x14:formula1>
          <x14:formula2>
            <xm:f>0</xm:f>
          </x14:formula2>
          <xm:sqref>T4:T503</xm:sqref>
        </x14:dataValidation>
        <x14:dataValidation type="list" allowBlank="1" showErrorMessage="1" errorTitle="Neplatná hodnota" error="Vyberte hodnotu z rozbalovacího seznamu." xr:uid="{00000000-0002-0000-0200-00000A000000}">
          <x14:formula1>
            <xm:f>Nastavení!$N$4:$N$10</xm:f>
          </x14:formula1>
          <x14:formula2>
            <xm:f>0</xm:f>
          </x14:formula2>
          <xm:sqref>W4:W503</xm:sqref>
        </x14:dataValidation>
        <x14:dataValidation type="list" allowBlank="1" showErrorMessage="1" errorTitle="Neplatná hodnota" error="Vyberte hodnotu z rozbalovacího seznamu." xr:uid="{00000000-0002-0000-0200-00000B000000}">
          <x14:formula1>
            <xm:f>Nastavení!$J$4:$J$8</xm:f>
          </x14:formula1>
          <x14:formula2>
            <xm:f>0</xm:f>
          </x14:formula2>
          <xm:sqref>X4:X503</xm:sqref>
        </x14:dataValidation>
        <x14:dataValidation type="list" allowBlank="1" showErrorMessage="1" errorTitle="Neplatná hodnota" error="Vyberte hodnotu z rozbalovacího seznamu." xr:uid="{00000000-0002-0000-0200-00000C000000}">
          <x14:formula1>
            <xm:f>Nastavení!$O$4:$O$9</xm:f>
          </x14:formula1>
          <x14:formula2>
            <xm:f>0</xm:f>
          </x14:formula2>
          <xm:sqref>AA4:AA503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</sheetPr>
  <dimension ref="A1:J5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0" customWidth="1"/>
    <col min="2" max="2" width="32" customWidth="1"/>
    <col min="3" max="3" width="13" customWidth="1"/>
    <col min="4" max="4" width="14" customWidth="1"/>
    <col min="5" max="5" width="18" customWidth="1"/>
    <col min="6" max="6" width="55" customWidth="1"/>
    <col min="7" max="7" width="45" customWidth="1"/>
    <col min="8" max="8" width="14" customWidth="1"/>
    <col min="9" max="9" width="13" customWidth="1"/>
    <col min="10" max="10" width="16" customWidth="1"/>
  </cols>
  <sheetData>
    <row r="1" spans="1:10" ht="20" x14ac:dyDescent="0.2">
      <c r="A1" s="7" t="s">
        <v>245</v>
      </c>
    </row>
    <row r="2" spans="1:10" ht="15" customHeight="1" x14ac:dyDescent="0.2">
      <c r="A2" s="3" t="s">
        <v>246</v>
      </c>
      <c r="B2" s="3"/>
      <c r="C2" s="3"/>
      <c r="D2" s="3"/>
      <c r="E2" s="3"/>
      <c r="F2" s="3"/>
      <c r="G2" s="4" t="s">
        <v>247</v>
      </c>
      <c r="H2" s="4"/>
      <c r="I2" s="4"/>
      <c r="J2" s="4"/>
    </row>
    <row r="3" spans="1:10" ht="39.75" customHeight="1" x14ac:dyDescent="0.2">
      <c r="A3" s="32" t="s">
        <v>126</v>
      </c>
      <c r="B3" s="34" t="s">
        <v>248</v>
      </c>
      <c r="C3" s="32" t="s">
        <v>249</v>
      </c>
      <c r="D3" s="32" t="s">
        <v>250</v>
      </c>
      <c r="E3" s="32" t="s">
        <v>251</v>
      </c>
      <c r="F3" s="32" t="s">
        <v>252</v>
      </c>
      <c r="G3" s="31" t="s">
        <v>253</v>
      </c>
      <c r="H3" s="31" t="s">
        <v>254</v>
      </c>
      <c r="I3" s="31" t="s">
        <v>255</v>
      </c>
      <c r="J3" s="31" t="s">
        <v>256</v>
      </c>
    </row>
    <row r="4" spans="1:10" ht="28" x14ac:dyDescent="0.2">
      <c r="A4" s="35" t="s">
        <v>183</v>
      </c>
      <c r="B4" s="39" t="str">
        <f>IF(A4="","",IFERROR(VLOOKUP(A4,Scénáře!$A$4:$B$503,2,FALSE()),"ID nenalezeno"))</f>
        <v>UKÁZKA – Co udělá ČNB se sazbami a co to znamená pro hypotéky</v>
      </c>
      <c r="C4" s="36">
        <v>46330</v>
      </c>
      <c r="D4" s="35" t="s">
        <v>78</v>
      </c>
      <c r="E4" s="35" t="s">
        <v>257</v>
      </c>
      <c r="F4" s="11" t="s">
        <v>258</v>
      </c>
      <c r="G4" s="11"/>
      <c r="H4" s="35"/>
      <c r="I4" s="36"/>
      <c r="J4" s="35" t="s">
        <v>259</v>
      </c>
    </row>
    <row r="5" spans="1:10" ht="28" x14ac:dyDescent="0.2">
      <c r="A5" s="35" t="s">
        <v>201</v>
      </c>
      <c r="B5" s="39" t="str">
        <f>IF(A5="","",IFERROR(VLOOKUP(A5,Scénáře!$A$4:$B$503,2,FALSE()),"ID nenalezeno"))</f>
        <v>UKÁZKA – Investiční chyby: díl 2 – Všechno do jedné akcie</v>
      </c>
      <c r="C5" s="36">
        <v>46330</v>
      </c>
      <c r="D5" s="35" t="s">
        <v>78</v>
      </c>
      <c r="E5" s="35" t="s">
        <v>260</v>
      </c>
      <c r="F5" s="11" t="s">
        <v>261</v>
      </c>
      <c r="G5" s="11" t="s">
        <v>262</v>
      </c>
      <c r="H5" s="35" t="s">
        <v>172</v>
      </c>
      <c r="I5" s="36">
        <v>46332</v>
      </c>
      <c r="J5" s="35" t="s">
        <v>263</v>
      </c>
    </row>
    <row r="6" spans="1:10" ht="28" x14ac:dyDescent="0.2">
      <c r="A6" s="35" t="s">
        <v>216</v>
      </c>
      <c r="B6" s="39" t="str">
        <f>IF(A6="","",IFERROR(VLOOKUP(A6,Scénáře!$A$4:$B$503,2,FALSE()),"ID nenalezeno"))</f>
        <v>UKÁZKA – Víkend s rodinou na horách</v>
      </c>
      <c r="C6" s="36">
        <v>46317</v>
      </c>
      <c r="D6" s="35" t="s">
        <v>75</v>
      </c>
      <c r="E6" s="35" t="s">
        <v>264</v>
      </c>
      <c r="F6" s="11" t="s">
        <v>265</v>
      </c>
      <c r="G6" s="11"/>
      <c r="H6" s="35"/>
      <c r="I6" s="36"/>
      <c r="J6" s="35" t="s">
        <v>259</v>
      </c>
    </row>
    <row r="7" spans="1:10" ht="28" x14ac:dyDescent="0.2">
      <c r="A7" s="35" t="s">
        <v>158</v>
      </c>
      <c r="B7" s="39" t="str">
        <f>IF(A7="","",IFERROR(VLOOKUP(A7,Scénáře!$A$4:$B$503,2,FALSE()),"ID nenalezeno"))</f>
        <v>UKÁZKA – Proč jsme vzali asistentku bez praxe</v>
      </c>
      <c r="C7" s="36">
        <v>46301</v>
      </c>
      <c r="D7" s="35" t="s">
        <v>75</v>
      </c>
      <c r="E7" s="35" t="s">
        <v>266</v>
      </c>
      <c r="F7" s="11" t="s">
        <v>267</v>
      </c>
      <c r="G7" s="11"/>
      <c r="H7" s="35"/>
      <c r="I7" s="36"/>
      <c r="J7" s="35" t="s">
        <v>268</v>
      </c>
    </row>
    <row r="8" spans="1:10" x14ac:dyDescent="0.2">
      <c r="A8" s="35"/>
      <c r="B8" s="39" t="str">
        <f>IF(A8="","",IFERROR(VLOOKUP(A8,Scénáře!$A$4:$B$503,2,FALSE()),"ID nenalezeno"))</f>
        <v/>
      </c>
      <c r="C8" s="36"/>
      <c r="D8" s="35"/>
      <c r="E8" s="35"/>
      <c r="F8" s="11"/>
      <c r="G8" s="11"/>
      <c r="H8" s="35"/>
      <c r="I8" s="36"/>
      <c r="J8" s="35"/>
    </row>
    <row r="9" spans="1:10" x14ac:dyDescent="0.2">
      <c r="A9" s="35"/>
      <c r="B9" s="39" t="str">
        <f>IF(A9="","",IFERROR(VLOOKUP(A9,Scénáře!$A$4:$B$503,2,FALSE()),"ID nenalezeno"))</f>
        <v/>
      </c>
      <c r="C9" s="36"/>
      <c r="D9" s="35"/>
      <c r="E9" s="35"/>
      <c r="F9" s="11"/>
      <c r="G9" s="11"/>
      <c r="H9" s="35"/>
      <c r="I9" s="36"/>
      <c r="J9" s="35"/>
    </row>
    <row r="10" spans="1:10" x14ac:dyDescent="0.2">
      <c r="A10" s="35"/>
      <c r="B10" s="39" t="str">
        <f>IF(A10="","",IFERROR(VLOOKUP(A10,Scénáře!$A$4:$B$503,2,FALSE()),"ID nenalezeno"))</f>
        <v/>
      </c>
      <c r="C10" s="36"/>
      <c r="D10" s="35"/>
      <c r="E10" s="35"/>
      <c r="F10" s="11"/>
      <c r="G10" s="11"/>
      <c r="H10" s="35"/>
      <c r="I10" s="36"/>
      <c r="J10" s="35"/>
    </row>
    <row r="11" spans="1:10" x14ac:dyDescent="0.2">
      <c r="A11" s="35"/>
      <c r="B11" s="39" t="str">
        <f>IF(A11="","",IFERROR(VLOOKUP(A11,Scénáře!$A$4:$B$503,2,FALSE()),"ID nenalezeno"))</f>
        <v/>
      </c>
      <c r="C11" s="36"/>
      <c r="D11" s="35"/>
      <c r="E11" s="35"/>
      <c r="F11" s="11"/>
      <c r="G11" s="11"/>
      <c r="H11" s="35"/>
      <c r="I11" s="36"/>
      <c r="J11" s="35"/>
    </row>
    <row r="12" spans="1:10" x14ac:dyDescent="0.2">
      <c r="A12" s="35"/>
      <c r="B12" s="39" t="str">
        <f>IF(A12="","",IFERROR(VLOOKUP(A12,Scénáře!$A$4:$B$503,2,FALSE()),"ID nenalezeno"))</f>
        <v/>
      </c>
      <c r="C12" s="36"/>
      <c r="D12" s="35"/>
      <c r="E12" s="35"/>
      <c r="F12" s="11"/>
      <c r="G12" s="11"/>
      <c r="H12" s="35"/>
      <c r="I12" s="36"/>
      <c r="J12" s="35"/>
    </row>
    <row r="13" spans="1:10" x14ac:dyDescent="0.2">
      <c r="A13" s="35"/>
      <c r="B13" s="39" t="str">
        <f>IF(A13="","",IFERROR(VLOOKUP(A13,Scénáře!$A$4:$B$503,2,FALSE()),"ID nenalezeno"))</f>
        <v/>
      </c>
      <c r="C13" s="36"/>
      <c r="D13" s="35"/>
      <c r="E13" s="35"/>
      <c r="F13" s="11"/>
      <c r="G13" s="11"/>
      <c r="H13" s="35"/>
      <c r="I13" s="36"/>
      <c r="J13" s="35"/>
    </row>
    <row r="14" spans="1:10" x14ac:dyDescent="0.2">
      <c r="A14" s="35"/>
      <c r="B14" s="39" t="str">
        <f>IF(A14="","",IFERROR(VLOOKUP(A14,Scénáře!$A$4:$B$503,2,FALSE()),"ID nenalezeno"))</f>
        <v/>
      </c>
      <c r="C14" s="36"/>
      <c r="D14" s="35"/>
      <c r="E14" s="35"/>
      <c r="F14" s="11"/>
      <c r="G14" s="11"/>
      <c r="H14" s="35"/>
      <c r="I14" s="36"/>
      <c r="J14" s="35"/>
    </row>
    <row r="15" spans="1:10" x14ac:dyDescent="0.2">
      <c r="A15" s="35"/>
      <c r="B15" s="39" t="str">
        <f>IF(A15="","",IFERROR(VLOOKUP(A15,Scénáře!$A$4:$B$503,2,FALSE()),"ID nenalezeno"))</f>
        <v/>
      </c>
      <c r="C15" s="36"/>
      <c r="D15" s="35"/>
      <c r="E15" s="35"/>
      <c r="F15" s="11"/>
      <c r="G15" s="11"/>
      <c r="H15" s="35"/>
      <c r="I15" s="36"/>
      <c r="J15" s="35"/>
    </row>
    <row r="16" spans="1:10" x14ac:dyDescent="0.2">
      <c r="A16" s="35"/>
      <c r="B16" s="39" t="str">
        <f>IF(A16="","",IFERROR(VLOOKUP(A16,Scénáře!$A$4:$B$503,2,FALSE()),"ID nenalezeno"))</f>
        <v/>
      </c>
      <c r="C16" s="36"/>
      <c r="D16" s="35"/>
      <c r="E16" s="35"/>
      <c r="F16" s="11"/>
      <c r="G16" s="11"/>
      <c r="H16" s="35"/>
      <c r="I16" s="36"/>
      <c r="J16" s="35"/>
    </row>
    <row r="17" spans="1:10" x14ac:dyDescent="0.2">
      <c r="A17" s="35"/>
      <c r="B17" s="39" t="str">
        <f>IF(A17="","",IFERROR(VLOOKUP(A17,Scénáře!$A$4:$B$503,2,FALSE()),"ID nenalezeno"))</f>
        <v/>
      </c>
      <c r="C17" s="36"/>
      <c r="D17" s="35"/>
      <c r="E17" s="35"/>
      <c r="F17" s="11"/>
      <c r="G17" s="11"/>
      <c r="H17" s="35"/>
      <c r="I17" s="36"/>
      <c r="J17" s="35"/>
    </row>
    <row r="18" spans="1:10" x14ac:dyDescent="0.2">
      <c r="A18" s="35"/>
      <c r="B18" s="39" t="str">
        <f>IF(A18="","",IFERROR(VLOOKUP(A18,Scénáře!$A$4:$B$503,2,FALSE()),"ID nenalezeno"))</f>
        <v/>
      </c>
      <c r="C18" s="36"/>
      <c r="D18" s="35"/>
      <c r="E18" s="35"/>
      <c r="F18" s="11"/>
      <c r="G18" s="11"/>
      <c r="H18" s="35"/>
      <c r="I18" s="36"/>
      <c r="J18" s="35"/>
    </row>
    <row r="19" spans="1:10" x14ac:dyDescent="0.2">
      <c r="A19" s="35"/>
      <c r="B19" s="39" t="str">
        <f>IF(A19="","",IFERROR(VLOOKUP(A19,Scénáře!$A$4:$B$503,2,FALSE()),"ID nenalezeno"))</f>
        <v/>
      </c>
      <c r="C19" s="36"/>
      <c r="D19" s="35"/>
      <c r="E19" s="35"/>
      <c r="F19" s="11"/>
      <c r="G19" s="11"/>
      <c r="H19" s="35"/>
      <c r="I19" s="36"/>
      <c r="J19" s="35"/>
    </row>
    <row r="20" spans="1:10" x14ac:dyDescent="0.2">
      <c r="A20" s="35"/>
      <c r="B20" s="39" t="str">
        <f>IF(A20="","",IFERROR(VLOOKUP(A20,Scénáře!$A$4:$B$503,2,FALSE()),"ID nenalezeno"))</f>
        <v/>
      </c>
      <c r="C20" s="36"/>
      <c r="D20" s="35"/>
      <c r="E20" s="35"/>
      <c r="F20" s="11"/>
      <c r="G20" s="11"/>
      <c r="H20" s="35"/>
      <c r="I20" s="36"/>
      <c r="J20" s="35"/>
    </row>
    <row r="21" spans="1:10" x14ac:dyDescent="0.2">
      <c r="A21" s="35"/>
      <c r="B21" s="39" t="str">
        <f>IF(A21="","",IFERROR(VLOOKUP(A21,Scénáře!$A$4:$B$503,2,FALSE()),"ID nenalezeno"))</f>
        <v/>
      </c>
      <c r="C21" s="36"/>
      <c r="D21" s="35"/>
      <c r="E21" s="35"/>
      <c r="F21" s="11"/>
      <c r="G21" s="11"/>
      <c r="H21" s="35"/>
      <c r="I21" s="36"/>
      <c r="J21" s="35"/>
    </row>
    <row r="22" spans="1:10" x14ac:dyDescent="0.2">
      <c r="A22" s="35"/>
      <c r="B22" s="39" t="str">
        <f>IF(A22="","",IFERROR(VLOOKUP(A22,Scénáře!$A$4:$B$503,2,FALSE()),"ID nenalezeno"))</f>
        <v/>
      </c>
      <c r="C22" s="36"/>
      <c r="D22" s="35"/>
      <c r="E22" s="35"/>
      <c r="F22" s="11"/>
      <c r="G22" s="11"/>
      <c r="H22" s="35"/>
      <c r="I22" s="36"/>
      <c r="J22" s="35"/>
    </row>
    <row r="23" spans="1:10" x14ac:dyDescent="0.2">
      <c r="A23" s="35"/>
      <c r="B23" s="39" t="str">
        <f>IF(A23="","",IFERROR(VLOOKUP(A23,Scénáře!$A$4:$B$503,2,FALSE()),"ID nenalezeno"))</f>
        <v/>
      </c>
      <c r="C23" s="36"/>
      <c r="D23" s="35"/>
      <c r="E23" s="35"/>
      <c r="F23" s="11"/>
      <c r="G23" s="11"/>
      <c r="H23" s="35"/>
      <c r="I23" s="36"/>
      <c r="J23" s="35"/>
    </row>
    <row r="24" spans="1:10" x14ac:dyDescent="0.2">
      <c r="A24" s="35"/>
      <c r="B24" s="39" t="str">
        <f>IF(A24="","",IFERROR(VLOOKUP(A24,Scénáře!$A$4:$B$503,2,FALSE()),"ID nenalezeno"))</f>
        <v/>
      </c>
      <c r="C24" s="36"/>
      <c r="D24" s="35"/>
      <c r="E24" s="35"/>
      <c r="F24" s="11"/>
      <c r="G24" s="11"/>
      <c r="H24" s="35"/>
      <c r="I24" s="36"/>
      <c r="J24" s="35"/>
    </row>
    <row r="25" spans="1:10" x14ac:dyDescent="0.2">
      <c r="A25" s="35"/>
      <c r="B25" s="39" t="str">
        <f>IF(A25="","",IFERROR(VLOOKUP(A25,Scénáře!$A$4:$B$503,2,FALSE()),"ID nenalezeno"))</f>
        <v/>
      </c>
      <c r="C25" s="36"/>
      <c r="D25" s="35"/>
      <c r="E25" s="35"/>
      <c r="F25" s="11"/>
      <c r="G25" s="11"/>
      <c r="H25" s="35"/>
      <c r="I25" s="36"/>
      <c r="J25" s="35"/>
    </row>
    <row r="26" spans="1:10" x14ac:dyDescent="0.2">
      <c r="A26" s="35"/>
      <c r="B26" s="39" t="str">
        <f>IF(A26="","",IFERROR(VLOOKUP(A26,Scénáře!$A$4:$B$503,2,FALSE()),"ID nenalezeno"))</f>
        <v/>
      </c>
      <c r="C26" s="36"/>
      <c r="D26" s="35"/>
      <c r="E26" s="35"/>
      <c r="F26" s="11"/>
      <c r="G26" s="11"/>
      <c r="H26" s="35"/>
      <c r="I26" s="36"/>
      <c r="J26" s="35"/>
    </row>
    <row r="27" spans="1:10" x14ac:dyDescent="0.2">
      <c r="A27" s="35"/>
      <c r="B27" s="39" t="str">
        <f>IF(A27="","",IFERROR(VLOOKUP(A27,Scénáře!$A$4:$B$503,2,FALSE()),"ID nenalezeno"))</f>
        <v/>
      </c>
      <c r="C27" s="36"/>
      <c r="D27" s="35"/>
      <c r="E27" s="35"/>
      <c r="F27" s="11"/>
      <c r="G27" s="11"/>
      <c r="H27" s="35"/>
      <c r="I27" s="36"/>
      <c r="J27" s="35"/>
    </row>
    <row r="28" spans="1:10" x14ac:dyDescent="0.2">
      <c r="A28" s="35"/>
      <c r="B28" s="39" t="str">
        <f>IF(A28="","",IFERROR(VLOOKUP(A28,Scénáře!$A$4:$B$503,2,FALSE()),"ID nenalezeno"))</f>
        <v/>
      </c>
      <c r="C28" s="36"/>
      <c r="D28" s="35"/>
      <c r="E28" s="35"/>
      <c r="F28" s="11"/>
      <c r="G28" s="11"/>
      <c r="H28" s="35"/>
      <c r="I28" s="36"/>
      <c r="J28" s="35"/>
    </row>
    <row r="29" spans="1:10" x14ac:dyDescent="0.2">
      <c r="A29" s="35"/>
      <c r="B29" s="39" t="str">
        <f>IF(A29="","",IFERROR(VLOOKUP(A29,Scénáře!$A$4:$B$503,2,FALSE()),"ID nenalezeno"))</f>
        <v/>
      </c>
      <c r="C29" s="36"/>
      <c r="D29" s="35"/>
      <c r="E29" s="35"/>
      <c r="F29" s="11"/>
      <c r="G29" s="11"/>
      <c r="H29" s="35"/>
      <c r="I29" s="36"/>
      <c r="J29" s="35"/>
    </row>
    <row r="30" spans="1:10" x14ac:dyDescent="0.2">
      <c r="A30" s="35"/>
      <c r="B30" s="39" t="str">
        <f>IF(A30="","",IFERROR(VLOOKUP(A30,Scénáře!$A$4:$B$503,2,FALSE()),"ID nenalezeno"))</f>
        <v/>
      </c>
      <c r="C30" s="36"/>
      <c r="D30" s="35"/>
      <c r="E30" s="35"/>
      <c r="F30" s="11"/>
      <c r="G30" s="11"/>
      <c r="H30" s="35"/>
      <c r="I30" s="36"/>
      <c r="J30" s="35"/>
    </row>
    <row r="31" spans="1:10" x14ac:dyDescent="0.2">
      <c r="A31" s="35"/>
      <c r="B31" s="39" t="str">
        <f>IF(A31="","",IFERROR(VLOOKUP(A31,Scénáře!$A$4:$B$503,2,FALSE()),"ID nenalezeno"))</f>
        <v/>
      </c>
      <c r="C31" s="36"/>
      <c r="D31" s="35"/>
      <c r="E31" s="35"/>
      <c r="F31" s="11"/>
      <c r="G31" s="11"/>
      <c r="H31" s="35"/>
      <c r="I31" s="36"/>
      <c r="J31" s="35"/>
    </row>
    <row r="32" spans="1:10" x14ac:dyDescent="0.2">
      <c r="A32" s="35"/>
      <c r="B32" s="39" t="str">
        <f>IF(A32="","",IFERROR(VLOOKUP(A32,Scénáře!$A$4:$B$503,2,FALSE()),"ID nenalezeno"))</f>
        <v/>
      </c>
      <c r="C32" s="36"/>
      <c r="D32" s="35"/>
      <c r="E32" s="35"/>
      <c r="F32" s="11"/>
      <c r="G32" s="11"/>
      <c r="H32" s="35"/>
      <c r="I32" s="36"/>
      <c r="J32" s="35"/>
    </row>
    <row r="33" spans="1:10" x14ac:dyDescent="0.2">
      <c r="A33" s="35"/>
      <c r="B33" s="39" t="str">
        <f>IF(A33="","",IFERROR(VLOOKUP(A33,Scénáře!$A$4:$B$503,2,FALSE()),"ID nenalezeno"))</f>
        <v/>
      </c>
      <c r="C33" s="36"/>
      <c r="D33" s="35"/>
      <c r="E33" s="35"/>
      <c r="F33" s="11"/>
      <c r="G33" s="11"/>
      <c r="H33" s="35"/>
      <c r="I33" s="36"/>
      <c r="J33" s="35"/>
    </row>
    <row r="34" spans="1:10" x14ac:dyDescent="0.2">
      <c r="A34" s="35"/>
      <c r="B34" s="39" t="str">
        <f>IF(A34="","",IFERROR(VLOOKUP(A34,Scénáře!$A$4:$B$503,2,FALSE()),"ID nenalezeno"))</f>
        <v/>
      </c>
      <c r="C34" s="36"/>
      <c r="D34" s="35"/>
      <c r="E34" s="35"/>
      <c r="F34" s="11"/>
      <c r="G34" s="11"/>
      <c r="H34" s="35"/>
      <c r="I34" s="36"/>
      <c r="J34" s="35"/>
    </row>
    <row r="35" spans="1:10" x14ac:dyDescent="0.2">
      <c r="A35" s="35"/>
      <c r="B35" s="39" t="str">
        <f>IF(A35="","",IFERROR(VLOOKUP(A35,Scénáře!$A$4:$B$503,2,FALSE()),"ID nenalezeno"))</f>
        <v/>
      </c>
      <c r="C35" s="36"/>
      <c r="D35" s="35"/>
      <c r="E35" s="35"/>
      <c r="F35" s="11"/>
      <c r="G35" s="11"/>
      <c r="H35" s="35"/>
      <c r="I35" s="36"/>
      <c r="J35" s="35"/>
    </row>
    <row r="36" spans="1:10" x14ac:dyDescent="0.2">
      <c r="A36" s="35"/>
      <c r="B36" s="39" t="str">
        <f>IF(A36="","",IFERROR(VLOOKUP(A36,Scénáře!$A$4:$B$503,2,FALSE()),"ID nenalezeno"))</f>
        <v/>
      </c>
      <c r="C36" s="36"/>
      <c r="D36" s="35"/>
      <c r="E36" s="35"/>
      <c r="F36" s="11"/>
      <c r="G36" s="11"/>
      <c r="H36" s="35"/>
      <c r="I36" s="36"/>
      <c r="J36" s="35"/>
    </row>
    <row r="37" spans="1:10" x14ac:dyDescent="0.2">
      <c r="A37" s="35"/>
      <c r="B37" s="39" t="str">
        <f>IF(A37="","",IFERROR(VLOOKUP(A37,Scénáře!$A$4:$B$503,2,FALSE()),"ID nenalezeno"))</f>
        <v/>
      </c>
      <c r="C37" s="36"/>
      <c r="D37" s="35"/>
      <c r="E37" s="35"/>
      <c r="F37" s="11"/>
      <c r="G37" s="11"/>
      <c r="H37" s="35"/>
      <c r="I37" s="36"/>
      <c r="J37" s="35"/>
    </row>
    <row r="38" spans="1:10" x14ac:dyDescent="0.2">
      <c r="A38" s="35"/>
      <c r="B38" s="39" t="str">
        <f>IF(A38="","",IFERROR(VLOOKUP(A38,Scénáře!$A$4:$B$503,2,FALSE()),"ID nenalezeno"))</f>
        <v/>
      </c>
      <c r="C38" s="36"/>
      <c r="D38" s="35"/>
      <c r="E38" s="35"/>
      <c r="F38" s="11"/>
      <c r="G38" s="11"/>
      <c r="H38" s="35"/>
      <c r="I38" s="36"/>
      <c r="J38" s="35"/>
    </row>
    <row r="39" spans="1:10" x14ac:dyDescent="0.2">
      <c r="A39" s="35"/>
      <c r="B39" s="39" t="str">
        <f>IF(A39="","",IFERROR(VLOOKUP(A39,Scénáře!$A$4:$B$503,2,FALSE()),"ID nenalezeno"))</f>
        <v/>
      </c>
      <c r="C39" s="36"/>
      <c r="D39" s="35"/>
      <c r="E39" s="35"/>
      <c r="F39" s="11"/>
      <c r="G39" s="11"/>
      <c r="H39" s="35"/>
      <c r="I39" s="36"/>
      <c r="J39" s="35"/>
    </row>
    <row r="40" spans="1:10" x14ac:dyDescent="0.2">
      <c r="A40" s="35"/>
      <c r="B40" s="39" t="str">
        <f>IF(A40="","",IFERROR(VLOOKUP(A40,Scénáře!$A$4:$B$503,2,FALSE()),"ID nenalezeno"))</f>
        <v/>
      </c>
      <c r="C40" s="36"/>
      <c r="D40" s="35"/>
      <c r="E40" s="35"/>
      <c r="F40" s="11"/>
      <c r="G40" s="11"/>
      <c r="H40" s="35"/>
      <c r="I40" s="36"/>
      <c r="J40" s="35"/>
    </row>
    <row r="41" spans="1:10" x14ac:dyDescent="0.2">
      <c r="A41" s="35"/>
      <c r="B41" s="39" t="str">
        <f>IF(A41="","",IFERROR(VLOOKUP(A41,Scénáře!$A$4:$B$503,2,FALSE()),"ID nenalezeno"))</f>
        <v/>
      </c>
      <c r="C41" s="36"/>
      <c r="D41" s="35"/>
      <c r="E41" s="35"/>
      <c r="F41" s="11"/>
      <c r="G41" s="11"/>
      <c r="H41" s="35"/>
      <c r="I41" s="36"/>
      <c r="J41" s="35"/>
    </row>
    <row r="42" spans="1:10" x14ac:dyDescent="0.2">
      <c r="A42" s="35"/>
      <c r="B42" s="39" t="str">
        <f>IF(A42="","",IFERROR(VLOOKUP(A42,Scénáře!$A$4:$B$503,2,FALSE()),"ID nenalezeno"))</f>
        <v/>
      </c>
      <c r="C42" s="36"/>
      <c r="D42" s="35"/>
      <c r="E42" s="35"/>
      <c r="F42" s="11"/>
      <c r="G42" s="11"/>
      <c r="H42" s="35"/>
      <c r="I42" s="36"/>
      <c r="J42" s="35"/>
    </row>
    <row r="43" spans="1:10" x14ac:dyDescent="0.2">
      <c r="A43" s="35"/>
      <c r="B43" s="39" t="str">
        <f>IF(A43="","",IFERROR(VLOOKUP(A43,Scénáře!$A$4:$B$503,2,FALSE()),"ID nenalezeno"))</f>
        <v/>
      </c>
      <c r="C43" s="36"/>
      <c r="D43" s="35"/>
      <c r="E43" s="35"/>
      <c r="F43" s="11"/>
      <c r="G43" s="11"/>
      <c r="H43" s="35"/>
      <c r="I43" s="36"/>
      <c r="J43" s="35"/>
    </row>
    <row r="44" spans="1:10" x14ac:dyDescent="0.2">
      <c r="A44" s="35"/>
      <c r="B44" s="39" t="str">
        <f>IF(A44="","",IFERROR(VLOOKUP(A44,Scénáře!$A$4:$B$503,2,FALSE()),"ID nenalezeno"))</f>
        <v/>
      </c>
      <c r="C44" s="36"/>
      <c r="D44" s="35"/>
      <c r="E44" s="35"/>
      <c r="F44" s="11"/>
      <c r="G44" s="11"/>
      <c r="H44" s="35"/>
      <c r="I44" s="36"/>
      <c r="J44" s="35"/>
    </row>
    <row r="45" spans="1:10" x14ac:dyDescent="0.2">
      <c r="A45" s="35"/>
      <c r="B45" s="39" t="str">
        <f>IF(A45="","",IFERROR(VLOOKUP(A45,Scénáře!$A$4:$B$503,2,FALSE()),"ID nenalezeno"))</f>
        <v/>
      </c>
      <c r="C45" s="36"/>
      <c r="D45" s="35"/>
      <c r="E45" s="35"/>
      <c r="F45" s="11"/>
      <c r="G45" s="11"/>
      <c r="H45" s="35"/>
      <c r="I45" s="36"/>
      <c r="J45" s="35"/>
    </row>
    <row r="46" spans="1:10" x14ac:dyDescent="0.2">
      <c r="A46" s="35"/>
      <c r="B46" s="39" t="str">
        <f>IF(A46="","",IFERROR(VLOOKUP(A46,Scénáře!$A$4:$B$503,2,FALSE()),"ID nenalezeno"))</f>
        <v/>
      </c>
      <c r="C46" s="36"/>
      <c r="D46" s="35"/>
      <c r="E46" s="35"/>
      <c r="F46" s="11"/>
      <c r="G46" s="11"/>
      <c r="H46" s="35"/>
      <c r="I46" s="36"/>
      <c r="J46" s="35"/>
    </row>
    <row r="47" spans="1:10" x14ac:dyDescent="0.2">
      <c r="A47" s="35"/>
      <c r="B47" s="39" t="str">
        <f>IF(A47="","",IFERROR(VLOOKUP(A47,Scénáře!$A$4:$B$503,2,FALSE()),"ID nenalezeno"))</f>
        <v/>
      </c>
      <c r="C47" s="36"/>
      <c r="D47" s="35"/>
      <c r="E47" s="35"/>
      <c r="F47" s="11"/>
      <c r="G47" s="11"/>
      <c r="H47" s="35"/>
      <c r="I47" s="36"/>
      <c r="J47" s="35"/>
    </row>
    <row r="48" spans="1:10" x14ac:dyDescent="0.2">
      <c r="A48" s="35"/>
      <c r="B48" s="39" t="str">
        <f>IF(A48="","",IFERROR(VLOOKUP(A48,Scénáře!$A$4:$B$503,2,FALSE()),"ID nenalezeno"))</f>
        <v/>
      </c>
      <c r="C48" s="36"/>
      <c r="D48" s="35"/>
      <c r="E48" s="35"/>
      <c r="F48" s="11"/>
      <c r="G48" s="11"/>
      <c r="H48" s="35"/>
      <c r="I48" s="36"/>
      <c r="J48" s="35"/>
    </row>
    <row r="49" spans="1:10" x14ac:dyDescent="0.2">
      <c r="A49" s="35"/>
      <c r="B49" s="39" t="str">
        <f>IF(A49="","",IFERROR(VLOOKUP(A49,Scénáře!$A$4:$B$503,2,FALSE()),"ID nenalezeno"))</f>
        <v/>
      </c>
      <c r="C49" s="36"/>
      <c r="D49" s="35"/>
      <c r="E49" s="35"/>
      <c r="F49" s="11"/>
      <c r="G49" s="11"/>
      <c r="H49" s="35"/>
      <c r="I49" s="36"/>
      <c r="J49" s="35"/>
    </row>
    <row r="50" spans="1:10" x14ac:dyDescent="0.2">
      <c r="A50" s="35"/>
      <c r="B50" s="39" t="str">
        <f>IF(A50="","",IFERROR(VLOOKUP(A50,Scénáře!$A$4:$B$503,2,FALSE()),"ID nenalezeno"))</f>
        <v/>
      </c>
      <c r="C50" s="36"/>
      <c r="D50" s="35"/>
      <c r="E50" s="35"/>
      <c r="F50" s="11"/>
      <c r="G50" s="11"/>
      <c r="H50" s="35"/>
      <c r="I50" s="36"/>
      <c r="J50" s="35"/>
    </row>
    <row r="51" spans="1:10" x14ac:dyDescent="0.2">
      <c r="A51" s="35"/>
      <c r="B51" s="39" t="str">
        <f>IF(A51="","",IFERROR(VLOOKUP(A51,Scénáře!$A$4:$B$503,2,FALSE()),"ID nenalezeno"))</f>
        <v/>
      </c>
      <c r="C51" s="36"/>
      <c r="D51" s="35"/>
      <c r="E51" s="35"/>
      <c r="F51" s="11"/>
      <c r="G51" s="11"/>
      <c r="H51" s="35"/>
      <c r="I51" s="36"/>
      <c r="J51" s="35"/>
    </row>
    <row r="52" spans="1:10" x14ac:dyDescent="0.2">
      <c r="A52" s="35"/>
      <c r="B52" s="39" t="str">
        <f>IF(A52="","",IFERROR(VLOOKUP(A52,Scénáře!$A$4:$B$503,2,FALSE()),"ID nenalezeno"))</f>
        <v/>
      </c>
      <c r="C52" s="36"/>
      <c r="D52" s="35"/>
      <c r="E52" s="35"/>
      <c r="F52" s="11"/>
      <c r="G52" s="11"/>
      <c r="H52" s="35"/>
      <c r="I52" s="36"/>
      <c r="J52" s="35"/>
    </row>
    <row r="53" spans="1:10" x14ac:dyDescent="0.2">
      <c r="A53" s="35"/>
      <c r="B53" s="39" t="str">
        <f>IF(A53="","",IFERROR(VLOOKUP(A53,Scénáře!$A$4:$B$503,2,FALSE()),"ID nenalezeno"))</f>
        <v/>
      </c>
      <c r="C53" s="36"/>
      <c r="D53" s="35"/>
      <c r="E53" s="35"/>
      <c r="F53" s="11"/>
      <c r="G53" s="11"/>
      <c r="H53" s="35"/>
      <c r="I53" s="36"/>
      <c r="J53" s="35"/>
    </row>
    <row r="54" spans="1:10" x14ac:dyDescent="0.2">
      <c r="A54" s="35"/>
      <c r="B54" s="39" t="str">
        <f>IF(A54="","",IFERROR(VLOOKUP(A54,Scénáře!$A$4:$B$503,2,FALSE()),"ID nenalezeno"))</f>
        <v/>
      </c>
      <c r="C54" s="36"/>
      <c r="D54" s="35"/>
      <c r="E54" s="35"/>
      <c r="F54" s="11"/>
      <c r="G54" s="11"/>
      <c r="H54" s="35"/>
      <c r="I54" s="36"/>
      <c r="J54" s="35"/>
    </row>
    <row r="55" spans="1:10" x14ac:dyDescent="0.2">
      <c r="A55" s="35"/>
      <c r="B55" s="39" t="str">
        <f>IF(A55="","",IFERROR(VLOOKUP(A55,Scénáře!$A$4:$B$503,2,FALSE()),"ID nenalezeno"))</f>
        <v/>
      </c>
      <c r="C55" s="36"/>
      <c r="D55" s="35"/>
      <c r="E55" s="35"/>
      <c r="F55" s="11"/>
      <c r="G55" s="11"/>
      <c r="H55" s="35"/>
      <c r="I55" s="36"/>
      <c r="J55" s="35"/>
    </row>
    <row r="56" spans="1:10" x14ac:dyDescent="0.2">
      <c r="A56" s="35"/>
      <c r="B56" s="39" t="str">
        <f>IF(A56="","",IFERROR(VLOOKUP(A56,Scénáře!$A$4:$B$503,2,FALSE()),"ID nenalezeno"))</f>
        <v/>
      </c>
      <c r="C56" s="36"/>
      <c r="D56" s="35"/>
      <c r="E56" s="35"/>
      <c r="F56" s="11"/>
      <c r="G56" s="11"/>
      <c r="H56" s="35"/>
      <c r="I56" s="36"/>
      <c r="J56" s="35"/>
    </row>
    <row r="57" spans="1:10" x14ac:dyDescent="0.2">
      <c r="A57" s="35"/>
      <c r="B57" s="39" t="str">
        <f>IF(A57="","",IFERROR(VLOOKUP(A57,Scénáře!$A$4:$B$503,2,FALSE()),"ID nenalezeno"))</f>
        <v/>
      </c>
      <c r="C57" s="36"/>
      <c r="D57" s="35"/>
      <c r="E57" s="35"/>
      <c r="F57" s="11"/>
      <c r="G57" s="11"/>
      <c r="H57" s="35"/>
      <c r="I57" s="36"/>
      <c r="J57" s="35"/>
    </row>
    <row r="58" spans="1:10" x14ac:dyDescent="0.2">
      <c r="A58" s="35"/>
      <c r="B58" s="39" t="str">
        <f>IF(A58="","",IFERROR(VLOOKUP(A58,Scénáře!$A$4:$B$503,2,FALSE()),"ID nenalezeno"))</f>
        <v/>
      </c>
      <c r="C58" s="36"/>
      <c r="D58" s="35"/>
      <c r="E58" s="35"/>
      <c r="F58" s="11"/>
      <c r="G58" s="11"/>
      <c r="H58" s="35"/>
      <c r="I58" s="36"/>
      <c r="J58" s="35"/>
    </row>
    <row r="59" spans="1:10" x14ac:dyDescent="0.2">
      <c r="A59" s="35"/>
      <c r="B59" s="39" t="str">
        <f>IF(A59="","",IFERROR(VLOOKUP(A59,Scénáře!$A$4:$B$503,2,FALSE()),"ID nenalezeno"))</f>
        <v/>
      </c>
      <c r="C59" s="36"/>
      <c r="D59" s="35"/>
      <c r="E59" s="35"/>
      <c r="F59" s="11"/>
      <c r="G59" s="11"/>
      <c r="H59" s="35"/>
      <c r="I59" s="36"/>
      <c r="J59" s="35"/>
    </row>
    <row r="60" spans="1:10" x14ac:dyDescent="0.2">
      <c r="A60" s="35"/>
      <c r="B60" s="39" t="str">
        <f>IF(A60="","",IFERROR(VLOOKUP(A60,Scénáře!$A$4:$B$503,2,FALSE()),"ID nenalezeno"))</f>
        <v/>
      </c>
      <c r="C60" s="36"/>
      <c r="D60" s="35"/>
      <c r="E60" s="35"/>
      <c r="F60" s="11"/>
      <c r="G60" s="11"/>
      <c r="H60" s="35"/>
      <c r="I60" s="36"/>
      <c r="J60" s="35"/>
    </row>
    <row r="61" spans="1:10" x14ac:dyDescent="0.2">
      <c r="A61" s="35"/>
      <c r="B61" s="39" t="str">
        <f>IF(A61="","",IFERROR(VLOOKUP(A61,Scénáře!$A$4:$B$503,2,FALSE()),"ID nenalezeno"))</f>
        <v/>
      </c>
      <c r="C61" s="36"/>
      <c r="D61" s="35"/>
      <c r="E61" s="35"/>
      <c r="F61" s="11"/>
      <c r="G61" s="11"/>
      <c r="H61" s="35"/>
      <c r="I61" s="36"/>
      <c r="J61" s="35"/>
    </row>
    <row r="62" spans="1:10" x14ac:dyDescent="0.2">
      <c r="A62" s="35"/>
      <c r="B62" s="39" t="str">
        <f>IF(A62="","",IFERROR(VLOOKUP(A62,Scénáře!$A$4:$B$503,2,FALSE()),"ID nenalezeno"))</f>
        <v/>
      </c>
      <c r="C62" s="36"/>
      <c r="D62" s="35"/>
      <c r="E62" s="35"/>
      <c r="F62" s="11"/>
      <c r="G62" s="11"/>
      <c r="H62" s="35"/>
      <c r="I62" s="36"/>
      <c r="J62" s="35"/>
    </row>
    <row r="63" spans="1:10" x14ac:dyDescent="0.2">
      <c r="A63" s="35"/>
      <c r="B63" s="39" t="str">
        <f>IF(A63="","",IFERROR(VLOOKUP(A63,Scénáře!$A$4:$B$503,2,FALSE()),"ID nenalezeno"))</f>
        <v/>
      </c>
      <c r="C63" s="36"/>
      <c r="D63" s="35"/>
      <c r="E63" s="35"/>
      <c r="F63" s="11"/>
      <c r="G63" s="11"/>
      <c r="H63" s="35"/>
      <c r="I63" s="36"/>
      <c r="J63" s="35"/>
    </row>
    <row r="64" spans="1:10" x14ac:dyDescent="0.2">
      <c r="A64" s="35"/>
      <c r="B64" s="39" t="str">
        <f>IF(A64="","",IFERROR(VLOOKUP(A64,Scénáře!$A$4:$B$503,2,FALSE()),"ID nenalezeno"))</f>
        <v/>
      </c>
      <c r="C64" s="36"/>
      <c r="D64" s="35"/>
      <c r="E64" s="35"/>
      <c r="F64" s="11"/>
      <c r="G64" s="11"/>
      <c r="H64" s="35"/>
      <c r="I64" s="36"/>
      <c r="J64" s="35"/>
    </row>
    <row r="65" spans="1:10" x14ac:dyDescent="0.2">
      <c r="A65" s="35"/>
      <c r="B65" s="39" t="str">
        <f>IF(A65="","",IFERROR(VLOOKUP(A65,Scénáře!$A$4:$B$503,2,FALSE()),"ID nenalezeno"))</f>
        <v/>
      </c>
      <c r="C65" s="36"/>
      <c r="D65" s="35"/>
      <c r="E65" s="35"/>
      <c r="F65" s="11"/>
      <c r="G65" s="11"/>
      <c r="H65" s="35"/>
      <c r="I65" s="36"/>
      <c r="J65" s="35"/>
    </row>
    <row r="66" spans="1:10" x14ac:dyDescent="0.2">
      <c r="A66" s="35"/>
      <c r="B66" s="39" t="str">
        <f>IF(A66="","",IFERROR(VLOOKUP(A66,Scénáře!$A$4:$B$503,2,FALSE()),"ID nenalezeno"))</f>
        <v/>
      </c>
      <c r="C66" s="36"/>
      <c r="D66" s="35"/>
      <c r="E66" s="35"/>
      <c r="F66" s="11"/>
      <c r="G66" s="11"/>
      <c r="H66" s="35"/>
      <c r="I66" s="36"/>
      <c r="J66" s="35"/>
    </row>
    <row r="67" spans="1:10" x14ac:dyDescent="0.2">
      <c r="A67" s="35"/>
      <c r="B67" s="39" t="str">
        <f>IF(A67="","",IFERROR(VLOOKUP(A67,Scénáře!$A$4:$B$503,2,FALSE()),"ID nenalezeno"))</f>
        <v/>
      </c>
      <c r="C67" s="36"/>
      <c r="D67" s="35"/>
      <c r="E67" s="35"/>
      <c r="F67" s="11"/>
      <c r="G67" s="11"/>
      <c r="H67" s="35"/>
      <c r="I67" s="36"/>
      <c r="J67" s="35"/>
    </row>
    <row r="68" spans="1:10" x14ac:dyDescent="0.2">
      <c r="A68" s="35"/>
      <c r="B68" s="39" t="str">
        <f>IF(A68="","",IFERROR(VLOOKUP(A68,Scénáře!$A$4:$B$503,2,FALSE()),"ID nenalezeno"))</f>
        <v/>
      </c>
      <c r="C68" s="36"/>
      <c r="D68" s="35"/>
      <c r="E68" s="35"/>
      <c r="F68" s="11"/>
      <c r="G68" s="11"/>
      <c r="H68" s="35"/>
      <c r="I68" s="36"/>
      <c r="J68" s="35"/>
    </row>
    <row r="69" spans="1:10" x14ac:dyDescent="0.2">
      <c r="A69" s="35"/>
      <c r="B69" s="39" t="str">
        <f>IF(A69="","",IFERROR(VLOOKUP(A69,Scénáře!$A$4:$B$503,2,FALSE()),"ID nenalezeno"))</f>
        <v/>
      </c>
      <c r="C69" s="36"/>
      <c r="D69" s="35"/>
      <c r="E69" s="35"/>
      <c r="F69" s="11"/>
      <c r="G69" s="11"/>
      <c r="H69" s="35"/>
      <c r="I69" s="36"/>
      <c r="J69" s="35"/>
    </row>
    <row r="70" spans="1:10" x14ac:dyDescent="0.2">
      <c r="A70" s="35"/>
      <c r="B70" s="39" t="str">
        <f>IF(A70="","",IFERROR(VLOOKUP(A70,Scénáře!$A$4:$B$503,2,FALSE()),"ID nenalezeno"))</f>
        <v/>
      </c>
      <c r="C70" s="36"/>
      <c r="D70" s="35"/>
      <c r="E70" s="35"/>
      <c r="F70" s="11"/>
      <c r="G70" s="11"/>
      <c r="H70" s="35"/>
      <c r="I70" s="36"/>
      <c r="J70" s="35"/>
    </row>
    <row r="71" spans="1:10" x14ac:dyDescent="0.2">
      <c r="A71" s="35"/>
      <c r="B71" s="39" t="str">
        <f>IF(A71="","",IFERROR(VLOOKUP(A71,Scénáře!$A$4:$B$503,2,FALSE()),"ID nenalezeno"))</f>
        <v/>
      </c>
      <c r="C71" s="36"/>
      <c r="D71" s="35"/>
      <c r="E71" s="35"/>
      <c r="F71" s="11"/>
      <c r="G71" s="11"/>
      <c r="H71" s="35"/>
      <c r="I71" s="36"/>
      <c r="J71" s="35"/>
    </row>
    <row r="72" spans="1:10" x14ac:dyDescent="0.2">
      <c r="A72" s="35"/>
      <c r="B72" s="39" t="str">
        <f>IF(A72="","",IFERROR(VLOOKUP(A72,Scénáře!$A$4:$B$503,2,FALSE()),"ID nenalezeno"))</f>
        <v/>
      </c>
      <c r="C72" s="36"/>
      <c r="D72" s="35"/>
      <c r="E72" s="35"/>
      <c r="F72" s="11"/>
      <c r="G72" s="11"/>
      <c r="H72" s="35"/>
      <c r="I72" s="36"/>
      <c r="J72" s="35"/>
    </row>
    <row r="73" spans="1:10" x14ac:dyDescent="0.2">
      <c r="A73" s="35"/>
      <c r="B73" s="39" t="str">
        <f>IF(A73="","",IFERROR(VLOOKUP(A73,Scénáře!$A$4:$B$503,2,FALSE()),"ID nenalezeno"))</f>
        <v/>
      </c>
      <c r="C73" s="36"/>
      <c r="D73" s="35"/>
      <c r="E73" s="35"/>
      <c r="F73" s="11"/>
      <c r="G73" s="11"/>
      <c r="H73" s="35"/>
      <c r="I73" s="36"/>
      <c r="J73" s="35"/>
    </row>
    <row r="74" spans="1:10" x14ac:dyDescent="0.2">
      <c r="A74" s="35"/>
      <c r="B74" s="39" t="str">
        <f>IF(A74="","",IFERROR(VLOOKUP(A74,Scénáře!$A$4:$B$503,2,FALSE()),"ID nenalezeno"))</f>
        <v/>
      </c>
      <c r="C74" s="36"/>
      <c r="D74" s="35"/>
      <c r="E74" s="35"/>
      <c r="F74" s="11"/>
      <c r="G74" s="11"/>
      <c r="H74" s="35"/>
      <c r="I74" s="36"/>
      <c r="J74" s="35"/>
    </row>
    <row r="75" spans="1:10" x14ac:dyDescent="0.2">
      <c r="A75" s="35"/>
      <c r="B75" s="39" t="str">
        <f>IF(A75="","",IFERROR(VLOOKUP(A75,Scénáře!$A$4:$B$503,2,FALSE()),"ID nenalezeno"))</f>
        <v/>
      </c>
      <c r="C75" s="36"/>
      <c r="D75" s="35"/>
      <c r="E75" s="35"/>
      <c r="F75" s="11"/>
      <c r="G75" s="11"/>
      <c r="H75" s="35"/>
      <c r="I75" s="36"/>
      <c r="J75" s="35"/>
    </row>
    <row r="76" spans="1:10" x14ac:dyDescent="0.2">
      <c r="A76" s="35"/>
      <c r="B76" s="39" t="str">
        <f>IF(A76="","",IFERROR(VLOOKUP(A76,Scénáře!$A$4:$B$503,2,FALSE()),"ID nenalezeno"))</f>
        <v/>
      </c>
      <c r="C76" s="36"/>
      <c r="D76" s="35"/>
      <c r="E76" s="35"/>
      <c r="F76" s="11"/>
      <c r="G76" s="11"/>
      <c r="H76" s="35"/>
      <c r="I76" s="36"/>
      <c r="J76" s="35"/>
    </row>
    <row r="77" spans="1:10" x14ac:dyDescent="0.2">
      <c r="A77" s="35"/>
      <c r="B77" s="39" t="str">
        <f>IF(A77="","",IFERROR(VLOOKUP(A77,Scénáře!$A$4:$B$503,2,FALSE()),"ID nenalezeno"))</f>
        <v/>
      </c>
      <c r="C77" s="36"/>
      <c r="D77" s="35"/>
      <c r="E77" s="35"/>
      <c r="F77" s="11"/>
      <c r="G77" s="11"/>
      <c r="H77" s="35"/>
      <c r="I77" s="36"/>
      <c r="J77" s="35"/>
    </row>
    <row r="78" spans="1:10" x14ac:dyDescent="0.2">
      <c r="A78" s="35"/>
      <c r="B78" s="39" t="str">
        <f>IF(A78="","",IFERROR(VLOOKUP(A78,Scénáře!$A$4:$B$503,2,FALSE()),"ID nenalezeno"))</f>
        <v/>
      </c>
      <c r="C78" s="36"/>
      <c r="D78" s="35"/>
      <c r="E78" s="35"/>
      <c r="F78" s="11"/>
      <c r="G78" s="11"/>
      <c r="H78" s="35"/>
      <c r="I78" s="36"/>
      <c r="J78" s="35"/>
    </row>
    <row r="79" spans="1:10" x14ac:dyDescent="0.2">
      <c r="A79" s="35"/>
      <c r="B79" s="39" t="str">
        <f>IF(A79="","",IFERROR(VLOOKUP(A79,Scénáře!$A$4:$B$503,2,FALSE()),"ID nenalezeno"))</f>
        <v/>
      </c>
      <c r="C79" s="36"/>
      <c r="D79" s="35"/>
      <c r="E79" s="35"/>
      <c r="F79" s="11"/>
      <c r="G79" s="11"/>
      <c r="H79" s="35"/>
      <c r="I79" s="36"/>
      <c r="J79" s="35"/>
    </row>
    <row r="80" spans="1:10" x14ac:dyDescent="0.2">
      <c r="A80" s="35"/>
      <c r="B80" s="39" t="str">
        <f>IF(A80="","",IFERROR(VLOOKUP(A80,Scénáře!$A$4:$B$503,2,FALSE()),"ID nenalezeno"))</f>
        <v/>
      </c>
      <c r="C80" s="36"/>
      <c r="D80" s="35"/>
      <c r="E80" s="35"/>
      <c r="F80" s="11"/>
      <c r="G80" s="11"/>
      <c r="H80" s="35"/>
      <c r="I80" s="36"/>
      <c r="J80" s="35"/>
    </row>
    <row r="81" spans="1:10" x14ac:dyDescent="0.2">
      <c r="A81" s="35"/>
      <c r="B81" s="39" t="str">
        <f>IF(A81="","",IFERROR(VLOOKUP(A81,Scénáře!$A$4:$B$503,2,FALSE()),"ID nenalezeno"))</f>
        <v/>
      </c>
      <c r="C81" s="36"/>
      <c r="D81" s="35"/>
      <c r="E81" s="35"/>
      <c r="F81" s="11"/>
      <c r="G81" s="11"/>
      <c r="H81" s="35"/>
      <c r="I81" s="36"/>
      <c r="J81" s="35"/>
    </row>
    <row r="82" spans="1:10" x14ac:dyDescent="0.2">
      <c r="A82" s="35"/>
      <c r="B82" s="39" t="str">
        <f>IF(A82="","",IFERROR(VLOOKUP(A82,Scénáře!$A$4:$B$503,2,FALSE()),"ID nenalezeno"))</f>
        <v/>
      </c>
      <c r="C82" s="36"/>
      <c r="D82" s="35"/>
      <c r="E82" s="35"/>
      <c r="F82" s="11"/>
      <c r="G82" s="11"/>
      <c r="H82" s="35"/>
      <c r="I82" s="36"/>
      <c r="J82" s="35"/>
    </row>
    <row r="83" spans="1:10" x14ac:dyDescent="0.2">
      <c r="A83" s="35"/>
      <c r="B83" s="39" t="str">
        <f>IF(A83="","",IFERROR(VLOOKUP(A83,Scénáře!$A$4:$B$503,2,FALSE()),"ID nenalezeno"))</f>
        <v/>
      </c>
      <c r="C83" s="36"/>
      <c r="D83" s="35"/>
      <c r="E83" s="35"/>
      <c r="F83" s="11"/>
      <c r="G83" s="11"/>
      <c r="H83" s="35"/>
      <c r="I83" s="36"/>
      <c r="J83" s="35"/>
    </row>
    <row r="84" spans="1:10" x14ac:dyDescent="0.2">
      <c r="A84" s="35"/>
      <c r="B84" s="39" t="str">
        <f>IF(A84="","",IFERROR(VLOOKUP(A84,Scénáře!$A$4:$B$503,2,FALSE()),"ID nenalezeno"))</f>
        <v/>
      </c>
      <c r="C84" s="36"/>
      <c r="D84" s="35"/>
      <c r="E84" s="35"/>
      <c r="F84" s="11"/>
      <c r="G84" s="11"/>
      <c r="H84" s="35"/>
      <c r="I84" s="36"/>
      <c r="J84" s="35"/>
    </row>
    <row r="85" spans="1:10" x14ac:dyDescent="0.2">
      <c r="A85" s="35"/>
      <c r="B85" s="39" t="str">
        <f>IF(A85="","",IFERROR(VLOOKUP(A85,Scénáře!$A$4:$B$503,2,FALSE()),"ID nenalezeno"))</f>
        <v/>
      </c>
      <c r="C85" s="36"/>
      <c r="D85" s="35"/>
      <c r="E85" s="35"/>
      <c r="F85" s="11"/>
      <c r="G85" s="11"/>
      <c r="H85" s="35"/>
      <c r="I85" s="36"/>
      <c r="J85" s="35"/>
    </row>
    <row r="86" spans="1:10" x14ac:dyDescent="0.2">
      <c r="A86" s="35"/>
      <c r="B86" s="39" t="str">
        <f>IF(A86="","",IFERROR(VLOOKUP(A86,Scénáře!$A$4:$B$503,2,FALSE()),"ID nenalezeno"))</f>
        <v/>
      </c>
      <c r="C86" s="36"/>
      <c r="D86" s="35"/>
      <c r="E86" s="35"/>
      <c r="F86" s="11"/>
      <c r="G86" s="11"/>
      <c r="H86" s="35"/>
      <c r="I86" s="36"/>
      <c r="J86" s="35"/>
    </row>
    <row r="87" spans="1:10" x14ac:dyDescent="0.2">
      <c r="A87" s="35"/>
      <c r="B87" s="39" t="str">
        <f>IF(A87="","",IFERROR(VLOOKUP(A87,Scénáře!$A$4:$B$503,2,FALSE()),"ID nenalezeno"))</f>
        <v/>
      </c>
      <c r="C87" s="36"/>
      <c r="D87" s="35"/>
      <c r="E87" s="35"/>
      <c r="F87" s="11"/>
      <c r="G87" s="11"/>
      <c r="H87" s="35"/>
      <c r="I87" s="36"/>
      <c r="J87" s="35"/>
    </row>
    <row r="88" spans="1:10" x14ac:dyDescent="0.2">
      <c r="A88" s="35"/>
      <c r="B88" s="39" t="str">
        <f>IF(A88="","",IFERROR(VLOOKUP(A88,Scénáře!$A$4:$B$503,2,FALSE()),"ID nenalezeno"))</f>
        <v/>
      </c>
      <c r="C88" s="36"/>
      <c r="D88" s="35"/>
      <c r="E88" s="35"/>
      <c r="F88" s="11"/>
      <c r="G88" s="11"/>
      <c r="H88" s="35"/>
      <c r="I88" s="36"/>
      <c r="J88" s="35"/>
    </row>
    <row r="89" spans="1:10" x14ac:dyDescent="0.2">
      <c r="A89" s="35"/>
      <c r="B89" s="39" t="str">
        <f>IF(A89="","",IFERROR(VLOOKUP(A89,Scénáře!$A$4:$B$503,2,FALSE()),"ID nenalezeno"))</f>
        <v/>
      </c>
      <c r="C89" s="36"/>
      <c r="D89" s="35"/>
      <c r="E89" s="35"/>
      <c r="F89" s="11"/>
      <c r="G89" s="11"/>
      <c r="H89" s="35"/>
      <c r="I89" s="36"/>
      <c r="J89" s="35"/>
    </row>
    <row r="90" spans="1:10" x14ac:dyDescent="0.2">
      <c r="A90" s="35"/>
      <c r="B90" s="39" t="str">
        <f>IF(A90="","",IFERROR(VLOOKUP(A90,Scénáře!$A$4:$B$503,2,FALSE()),"ID nenalezeno"))</f>
        <v/>
      </c>
      <c r="C90" s="36"/>
      <c r="D90" s="35"/>
      <c r="E90" s="35"/>
      <c r="F90" s="11"/>
      <c r="G90" s="11"/>
      <c r="H90" s="35"/>
      <c r="I90" s="36"/>
      <c r="J90" s="35"/>
    </row>
    <row r="91" spans="1:10" x14ac:dyDescent="0.2">
      <c r="A91" s="35"/>
      <c r="B91" s="39" t="str">
        <f>IF(A91="","",IFERROR(VLOOKUP(A91,Scénáře!$A$4:$B$503,2,FALSE()),"ID nenalezeno"))</f>
        <v/>
      </c>
      <c r="C91" s="36"/>
      <c r="D91" s="35"/>
      <c r="E91" s="35"/>
      <c r="F91" s="11"/>
      <c r="G91" s="11"/>
      <c r="H91" s="35"/>
      <c r="I91" s="36"/>
      <c r="J91" s="35"/>
    </row>
    <row r="92" spans="1:10" x14ac:dyDescent="0.2">
      <c r="A92" s="35"/>
      <c r="B92" s="39" t="str">
        <f>IF(A92="","",IFERROR(VLOOKUP(A92,Scénáře!$A$4:$B$503,2,FALSE()),"ID nenalezeno"))</f>
        <v/>
      </c>
      <c r="C92" s="36"/>
      <c r="D92" s="35"/>
      <c r="E92" s="35"/>
      <c r="F92" s="11"/>
      <c r="G92" s="11"/>
      <c r="H92" s="35"/>
      <c r="I92" s="36"/>
      <c r="J92" s="35"/>
    </row>
    <row r="93" spans="1:10" x14ac:dyDescent="0.2">
      <c r="A93" s="35"/>
      <c r="B93" s="39" t="str">
        <f>IF(A93="","",IFERROR(VLOOKUP(A93,Scénáře!$A$4:$B$503,2,FALSE()),"ID nenalezeno"))</f>
        <v/>
      </c>
      <c r="C93" s="36"/>
      <c r="D93" s="35"/>
      <c r="E93" s="35"/>
      <c r="F93" s="11"/>
      <c r="G93" s="11"/>
      <c r="H93" s="35"/>
      <c r="I93" s="36"/>
      <c r="J93" s="35"/>
    </row>
    <row r="94" spans="1:10" x14ac:dyDescent="0.2">
      <c r="A94" s="35"/>
      <c r="B94" s="39" t="str">
        <f>IF(A94="","",IFERROR(VLOOKUP(A94,Scénáře!$A$4:$B$503,2,FALSE()),"ID nenalezeno"))</f>
        <v/>
      </c>
      <c r="C94" s="36"/>
      <c r="D94" s="35"/>
      <c r="E94" s="35"/>
      <c r="F94" s="11"/>
      <c r="G94" s="11"/>
      <c r="H94" s="35"/>
      <c r="I94" s="36"/>
      <c r="J94" s="35"/>
    </row>
    <row r="95" spans="1:10" x14ac:dyDescent="0.2">
      <c r="A95" s="35"/>
      <c r="B95" s="39" t="str">
        <f>IF(A95="","",IFERROR(VLOOKUP(A95,Scénáře!$A$4:$B$503,2,FALSE()),"ID nenalezeno"))</f>
        <v/>
      </c>
      <c r="C95" s="36"/>
      <c r="D95" s="35"/>
      <c r="E95" s="35"/>
      <c r="F95" s="11"/>
      <c r="G95" s="11"/>
      <c r="H95" s="35"/>
      <c r="I95" s="36"/>
      <c r="J95" s="35"/>
    </row>
    <row r="96" spans="1:10" x14ac:dyDescent="0.2">
      <c r="A96" s="35"/>
      <c r="B96" s="39" t="str">
        <f>IF(A96="","",IFERROR(VLOOKUP(A96,Scénáře!$A$4:$B$503,2,FALSE()),"ID nenalezeno"))</f>
        <v/>
      </c>
      <c r="C96" s="36"/>
      <c r="D96" s="35"/>
      <c r="E96" s="35"/>
      <c r="F96" s="11"/>
      <c r="G96" s="11"/>
      <c r="H96" s="35"/>
      <c r="I96" s="36"/>
      <c r="J96" s="35"/>
    </row>
    <row r="97" spans="1:10" x14ac:dyDescent="0.2">
      <c r="A97" s="35"/>
      <c r="B97" s="39" t="str">
        <f>IF(A97="","",IFERROR(VLOOKUP(A97,Scénáře!$A$4:$B$503,2,FALSE()),"ID nenalezeno"))</f>
        <v/>
      </c>
      <c r="C97" s="36"/>
      <c r="D97" s="35"/>
      <c r="E97" s="35"/>
      <c r="F97" s="11"/>
      <c r="G97" s="11"/>
      <c r="H97" s="35"/>
      <c r="I97" s="36"/>
      <c r="J97" s="35"/>
    </row>
    <row r="98" spans="1:10" x14ac:dyDescent="0.2">
      <c r="A98" s="35"/>
      <c r="B98" s="39" t="str">
        <f>IF(A98="","",IFERROR(VLOOKUP(A98,Scénáře!$A$4:$B$503,2,FALSE()),"ID nenalezeno"))</f>
        <v/>
      </c>
      <c r="C98" s="36"/>
      <c r="D98" s="35"/>
      <c r="E98" s="35"/>
      <c r="F98" s="11"/>
      <c r="G98" s="11"/>
      <c r="H98" s="35"/>
      <c r="I98" s="36"/>
      <c r="J98" s="35"/>
    </row>
    <row r="99" spans="1:10" x14ac:dyDescent="0.2">
      <c r="A99" s="35"/>
      <c r="B99" s="39" t="str">
        <f>IF(A99="","",IFERROR(VLOOKUP(A99,Scénáře!$A$4:$B$503,2,FALSE()),"ID nenalezeno"))</f>
        <v/>
      </c>
      <c r="C99" s="36"/>
      <c r="D99" s="35"/>
      <c r="E99" s="35"/>
      <c r="F99" s="11"/>
      <c r="G99" s="11"/>
      <c r="H99" s="35"/>
      <c r="I99" s="36"/>
      <c r="J99" s="35"/>
    </row>
    <row r="100" spans="1:10" x14ac:dyDescent="0.2">
      <c r="A100" s="35"/>
      <c r="B100" s="39" t="str">
        <f>IF(A100="","",IFERROR(VLOOKUP(A100,Scénáře!$A$4:$B$503,2,FALSE()),"ID nenalezeno"))</f>
        <v/>
      </c>
      <c r="C100" s="36"/>
      <c r="D100" s="35"/>
      <c r="E100" s="35"/>
      <c r="F100" s="11"/>
      <c r="G100" s="11"/>
      <c r="H100" s="35"/>
      <c r="I100" s="36"/>
      <c r="J100" s="35"/>
    </row>
    <row r="101" spans="1:10" x14ac:dyDescent="0.2">
      <c r="A101" s="35"/>
      <c r="B101" s="39" t="str">
        <f>IF(A101="","",IFERROR(VLOOKUP(A101,Scénáře!$A$4:$B$503,2,FALSE()),"ID nenalezeno"))</f>
        <v/>
      </c>
      <c r="C101" s="36"/>
      <c r="D101" s="35"/>
      <c r="E101" s="35"/>
      <c r="F101" s="11"/>
      <c r="G101" s="11"/>
      <c r="H101" s="35"/>
      <c r="I101" s="36"/>
      <c r="J101" s="35"/>
    </row>
    <row r="102" spans="1:10" x14ac:dyDescent="0.2">
      <c r="A102" s="35"/>
      <c r="B102" s="39" t="str">
        <f>IF(A102="","",IFERROR(VLOOKUP(A102,Scénáře!$A$4:$B$503,2,FALSE()),"ID nenalezeno"))</f>
        <v/>
      </c>
      <c r="C102" s="36"/>
      <c r="D102" s="35"/>
      <c r="E102" s="35"/>
      <c r="F102" s="11"/>
      <c r="G102" s="11"/>
      <c r="H102" s="35"/>
      <c r="I102" s="36"/>
      <c r="J102" s="35"/>
    </row>
    <row r="103" spans="1:10" x14ac:dyDescent="0.2">
      <c r="A103" s="35"/>
      <c r="B103" s="39" t="str">
        <f>IF(A103="","",IFERROR(VLOOKUP(A103,Scénáře!$A$4:$B$503,2,FALSE()),"ID nenalezeno"))</f>
        <v/>
      </c>
      <c r="C103" s="36"/>
      <c r="D103" s="35"/>
      <c r="E103" s="35"/>
      <c r="F103" s="11"/>
      <c r="G103" s="11"/>
      <c r="H103" s="35"/>
      <c r="I103" s="36"/>
      <c r="J103" s="35"/>
    </row>
    <row r="104" spans="1:10" x14ac:dyDescent="0.2">
      <c r="A104" s="35"/>
      <c r="B104" s="39" t="str">
        <f>IF(A104="","",IFERROR(VLOOKUP(A104,Scénáře!$A$4:$B$503,2,FALSE()),"ID nenalezeno"))</f>
        <v/>
      </c>
      <c r="C104" s="36"/>
      <c r="D104" s="35"/>
      <c r="E104" s="35"/>
      <c r="F104" s="11"/>
      <c r="G104" s="11"/>
      <c r="H104" s="35"/>
      <c r="I104" s="36"/>
      <c r="J104" s="35"/>
    </row>
    <row r="105" spans="1:10" x14ac:dyDescent="0.2">
      <c r="A105" s="35"/>
      <c r="B105" s="39" t="str">
        <f>IF(A105="","",IFERROR(VLOOKUP(A105,Scénáře!$A$4:$B$503,2,FALSE()),"ID nenalezeno"))</f>
        <v/>
      </c>
      <c r="C105" s="36"/>
      <c r="D105" s="35"/>
      <c r="E105" s="35"/>
      <c r="F105" s="11"/>
      <c r="G105" s="11"/>
      <c r="H105" s="35"/>
      <c r="I105" s="36"/>
      <c r="J105" s="35"/>
    </row>
    <row r="106" spans="1:10" x14ac:dyDescent="0.2">
      <c r="A106" s="35"/>
      <c r="B106" s="39" t="str">
        <f>IF(A106="","",IFERROR(VLOOKUP(A106,Scénáře!$A$4:$B$503,2,FALSE()),"ID nenalezeno"))</f>
        <v/>
      </c>
      <c r="C106" s="36"/>
      <c r="D106" s="35"/>
      <c r="E106" s="35"/>
      <c r="F106" s="11"/>
      <c r="G106" s="11"/>
      <c r="H106" s="35"/>
      <c r="I106" s="36"/>
      <c r="J106" s="35"/>
    </row>
    <row r="107" spans="1:10" x14ac:dyDescent="0.2">
      <c r="A107" s="35"/>
      <c r="B107" s="39" t="str">
        <f>IF(A107="","",IFERROR(VLOOKUP(A107,Scénáře!$A$4:$B$503,2,FALSE()),"ID nenalezeno"))</f>
        <v/>
      </c>
      <c r="C107" s="36"/>
      <c r="D107" s="35"/>
      <c r="E107" s="35"/>
      <c r="F107" s="11"/>
      <c r="G107" s="11"/>
      <c r="H107" s="35"/>
      <c r="I107" s="36"/>
      <c r="J107" s="35"/>
    </row>
    <row r="108" spans="1:10" x14ac:dyDescent="0.2">
      <c r="A108" s="35"/>
      <c r="B108" s="39" t="str">
        <f>IF(A108="","",IFERROR(VLOOKUP(A108,Scénáře!$A$4:$B$503,2,FALSE()),"ID nenalezeno"))</f>
        <v/>
      </c>
      <c r="C108" s="36"/>
      <c r="D108" s="35"/>
      <c r="E108" s="35"/>
      <c r="F108" s="11"/>
      <c r="G108" s="11"/>
      <c r="H108" s="35"/>
      <c r="I108" s="36"/>
      <c r="J108" s="35"/>
    </row>
    <row r="109" spans="1:10" x14ac:dyDescent="0.2">
      <c r="A109" s="35"/>
      <c r="B109" s="39" t="str">
        <f>IF(A109="","",IFERROR(VLOOKUP(A109,Scénáře!$A$4:$B$503,2,FALSE()),"ID nenalezeno"))</f>
        <v/>
      </c>
      <c r="C109" s="36"/>
      <c r="D109" s="35"/>
      <c r="E109" s="35"/>
      <c r="F109" s="11"/>
      <c r="G109" s="11"/>
      <c r="H109" s="35"/>
      <c r="I109" s="36"/>
      <c r="J109" s="35"/>
    </row>
    <row r="110" spans="1:10" x14ac:dyDescent="0.2">
      <c r="A110" s="35"/>
      <c r="B110" s="39" t="str">
        <f>IF(A110="","",IFERROR(VLOOKUP(A110,Scénáře!$A$4:$B$503,2,FALSE()),"ID nenalezeno"))</f>
        <v/>
      </c>
      <c r="C110" s="36"/>
      <c r="D110" s="35"/>
      <c r="E110" s="35"/>
      <c r="F110" s="11"/>
      <c r="G110" s="11"/>
      <c r="H110" s="35"/>
      <c r="I110" s="36"/>
      <c r="J110" s="35"/>
    </row>
    <row r="111" spans="1:10" x14ac:dyDescent="0.2">
      <c r="A111" s="35"/>
      <c r="B111" s="39" t="str">
        <f>IF(A111="","",IFERROR(VLOOKUP(A111,Scénáře!$A$4:$B$503,2,FALSE()),"ID nenalezeno"))</f>
        <v/>
      </c>
      <c r="C111" s="36"/>
      <c r="D111" s="35"/>
      <c r="E111" s="35"/>
      <c r="F111" s="11"/>
      <c r="G111" s="11"/>
      <c r="H111" s="35"/>
      <c r="I111" s="36"/>
      <c r="J111" s="35"/>
    </row>
    <row r="112" spans="1:10" x14ac:dyDescent="0.2">
      <c r="A112" s="35"/>
      <c r="B112" s="39" t="str">
        <f>IF(A112="","",IFERROR(VLOOKUP(A112,Scénáře!$A$4:$B$503,2,FALSE()),"ID nenalezeno"))</f>
        <v/>
      </c>
      <c r="C112" s="36"/>
      <c r="D112" s="35"/>
      <c r="E112" s="35"/>
      <c r="F112" s="11"/>
      <c r="G112" s="11"/>
      <c r="H112" s="35"/>
      <c r="I112" s="36"/>
      <c r="J112" s="35"/>
    </row>
    <row r="113" spans="1:10" x14ac:dyDescent="0.2">
      <c r="A113" s="35"/>
      <c r="B113" s="39" t="str">
        <f>IF(A113="","",IFERROR(VLOOKUP(A113,Scénáře!$A$4:$B$503,2,FALSE()),"ID nenalezeno"))</f>
        <v/>
      </c>
      <c r="C113" s="36"/>
      <c r="D113" s="35"/>
      <c r="E113" s="35"/>
      <c r="F113" s="11"/>
      <c r="G113" s="11"/>
      <c r="H113" s="35"/>
      <c r="I113" s="36"/>
      <c r="J113" s="35"/>
    </row>
    <row r="114" spans="1:10" x14ac:dyDescent="0.2">
      <c r="A114" s="35"/>
      <c r="B114" s="39" t="str">
        <f>IF(A114="","",IFERROR(VLOOKUP(A114,Scénáře!$A$4:$B$503,2,FALSE()),"ID nenalezeno"))</f>
        <v/>
      </c>
      <c r="C114" s="36"/>
      <c r="D114" s="35"/>
      <c r="E114" s="35"/>
      <c r="F114" s="11"/>
      <c r="G114" s="11"/>
      <c r="H114" s="35"/>
      <c r="I114" s="36"/>
      <c r="J114" s="35"/>
    </row>
    <row r="115" spans="1:10" x14ac:dyDescent="0.2">
      <c r="A115" s="35"/>
      <c r="B115" s="39" t="str">
        <f>IF(A115="","",IFERROR(VLOOKUP(A115,Scénáře!$A$4:$B$503,2,FALSE()),"ID nenalezeno"))</f>
        <v/>
      </c>
      <c r="C115" s="36"/>
      <c r="D115" s="35"/>
      <c r="E115" s="35"/>
      <c r="F115" s="11"/>
      <c r="G115" s="11"/>
      <c r="H115" s="35"/>
      <c r="I115" s="36"/>
      <c r="J115" s="35"/>
    </row>
    <row r="116" spans="1:10" x14ac:dyDescent="0.2">
      <c r="A116" s="35"/>
      <c r="B116" s="39" t="str">
        <f>IF(A116="","",IFERROR(VLOOKUP(A116,Scénáře!$A$4:$B$503,2,FALSE()),"ID nenalezeno"))</f>
        <v/>
      </c>
      <c r="C116" s="36"/>
      <c r="D116" s="35"/>
      <c r="E116" s="35"/>
      <c r="F116" s="11"/>
      <c r="G116" s="11"/>
      <c r="H116" s="35"/>
      <c r="I116" s="36"/>
      <c r="J116" s="35"/>
    </row>
    <row r="117" spans="1:10" x14ac:dyDescent="0.2">
      <c r="A117" s="35"/>
      <c r="B117" s="39" t="str">
        <f>IF(A117="","",IFERROR(VLOOKUP(A117,Scénáře!$A$4:$B$503,2,FALSE()),"ID nenalezeno"))</f>
        <v/>
      </c>
      <c r="C117" s="36"/>
      <c r="D117" s="35"/>
      <c r="E117" s="35"/>
      <c r="F117" s="11"/>
      <c r="G117" s="11"/>
      <c r="H117" s="35"/>
      <c r="I117" s="36"/>
      <c r="J117" s="35"/>
    </row>
    <row r="118" spans="1:10" x14ac:dyDescent="0.2">
      <c r="A118" s="35"/>
      <c r="B118" s="39" t="str">
        <f>IF(A118="","",IFERROR(VLOOKUP(A118,Scénáře!$A$4:$B$503,2,FALSE()),"ID nenalezeno"))</f>
        <v/>
      </c>
      <c r="C118" s="36"/>
      <c r="D118" s="35"/>
      <c r="E118" s="35"/>
      <c r="F118" s="11"/>
      <c r="G118" s="11"/>
      <c r="H118" s="35"/>
      <c r="I118" s="36"/>
      <c r="J118" s="35"/>
    </row>
    <row r="119" spans="1:10" x14ac:dyDescent="0.2">
      <c r="A119" s="35"/>
      <c r="B119" s="39" t="str">
        <f>IF(A119="","",IFERROR(VLOOKUP(A119,Scénáře!$A$4:$B$503,2,FALSE()),"ID nenalezeno"))</f>
        <v/>
      </c>
      <c r="C119" s="36"/>
      <c r="D119" s="35"/>
      <c r="E119" s="35"/>
      <c r="F119" s="11"/>
      <c r="G119" s="11"/>
      <c r="H119" s="35"/>
      <c r="I119" s="36"/>
      <c r="J119" s="35"/>
    </row>
    <row r="120" spans="1:10" x14ac:dyDescent="0.2">
      <c r="A120" s="35"/>
      <c r="B120" s="39" t="str">
        <f>IF(A120="","",IFERROR(VLOOKUP(A120,Scénáře!$A$4:$B$503,2,FALSE()),"ID nenalezeno"))</f>
        <v/>
      </c>
      <c r="C120" s="36"/>
      <c r="D120" s="35"/>
      <c r="E120" s="35"/>
      <c r="F120" s="11"/>
      <c r="G120" s="11"/>
      <c r="H120" s="35"/>
      <c r="I120" s="36"/>
      <c r="J120" s="35"/>
    </row>
    <row r="121" spans="1:10" x14ac:dyDescent="0.2">
      <c r="A121" s="35"/>
      <c r="B121" s="39" t="str">
        <f>IF(A121="","",IFERROR(VLOOKUP(A121,Scénáře!$A$4:$B$503,2,FALSE()),"ID nenalezeno"))</f>
        <v/>
      </c>
      <c r="C121" s="36"/>
      <c r="D121" s="35"/>
      <c r="E121" s="35"/>
      <c r="F121" s="11"/>
      <c r="G121" s="11"/>
      <c r="H121" s="35"/>
      <c r="I121" s="36"/>
      <c r="J121" s="35"/>
    </row>
    <row r="122" spans="1:10" x14ac:dyDescent="0.2">
      <c r="A122" s="35"/>
      <c r="B122" s="39" t="str">
        <f>IF(A122="","",IFERROR(VLOOKUP(A122,Scénáře!$A$4:$B$503,2,FALSE()),"ID nenalezeno"))</f>
        <v/>
      </c>
      <c r="C122" s="36"/>
      <c r="D122" s="35"/>
      <c r="E122" s="35"/>
      <c r="F122" s="11"/>
      <c r="G122" s="11"/>
      <c r="H122" s="35"/>
      <c r="I122" s="36"/>
      <c r="J122" s="35"/>
    </row>
    <row r="123" spans="1:10" x14ac:dyDescent="0.2">
      <c r="A123" s="35"/>
      <c r="B123" s="39" t="str">
        <f>IF(A123="","",IFERROR(VLOOKUP(A123,Scénáře!$A$4:$B$503,2,FALSE()),"ID nenalezeno"))</f>
        <v/>
      </c>
      <c r="C123" s="36"/>
      <c r="D123" s="35"/>
      <c r="E123" s="35"/>
      <c r="F123" s="11"/>
      <c r="G123" s="11"/>
      <c r="H123" s="35"/>
      <c r="I123" s="36"/>
      <c r="J123" s="35"/>
    </row>
    <row r="124" spans="1:10" x14ac:dyDescent="0.2">
      <c r="A124" s="35"/>
      <c r="B124" s="39" t="str">
        <f>IF(A124="","",IFERROR(VLOOKUP(A124,Scénáře!$A$4:$B$503,2,FALSE()),"ID nenalezeno"))</f>
        <v/>
      </c>
      <c r="C124" s="36"/>
      <c r="D124" s="35"/>
      <c r="E124" s="35"/>
      <c r="F124" s="11"/>
      <c r="G124" s="11"/>
      <c r="H124" s="35"/>
      <c r="I124" s="36"/>
      <c r="J124" s="35"/>
    </row>
    <row r="125" spans="1:10" x14ac:dyDescent="0.2">
      <c r="A125" s="35"/>
      <c r="B125" s="39" t="str">
        <f>IF(A125="","",IFERROR(VLOOKUP(A125,Scénáře!$A$4:$B$503,2,FALSE()),"ID nenalezeno"))</f>
        <v/>
      </c>
      <c r="C125" s="36"/>
      <c r="D125" s="35"/>
      <c r="E125" s="35"/>
      <c r="F125" s="11"/>
      <c r="G125" s="11"/>
      <c r="H125" s="35"/>
      <c r="I125" s="36"/>
      <c r="J125" s="35"/>
    </row>
    <row r="126" spans="1:10" x14ac:dyDescent="0.2">
      <c r="A126" s="35"/>
      <c r="B126" s="39" t="str">
        <f>IF(A126="","",IFERROR(VLOOKUP(A126,Scénáře!$A$4:$B$503,2,FALSE()),"ID nenalezeno"))</f>
        <v/>
      </c>
      <c r="C126" s="36"/>
      <c r="D126" s="35"/>
      <c r="E126" s="35"/>
      <c r="F126" s="11"/>
      <c r="G126" s="11"/>
      <c r="H126" s="35"/>
      <c r="I126" s="36"/>
      <c r="J126" s="35"/>
    </row>
    <row r="127" spans="1:10" x14ac:dyDescent="0.2">
      <c r="A127" s="35"/>
      <c r="B127" s="39" t="str">
        <f>IF(A127="","",IFERROR(VLOOKUP(A127,Scénáře!$A$4:$B$503,2,FALSE()),"ID nenalezeno"))</f>
        <v/>
      </c>
      <c r="C127" s="36"/>
      <c r="D127" s="35"/>
      <c r="E127" s="35"/>
      <c r="F127" s="11"/>
      <c r="G127" s="11"/>
      <c r="H127" s="35"/>
      <c r="I127" s="36"/>
      <c r="J127" s="35"/>
    </row>
    <row r="128" spans="1:10" x14ac:dyDescent="0.2">
      <c r="A128" s="35"/>
      <c r="B128" s="39" t="str">
        <f>IF(A128="","",IFERROR(VLOOKUP(A128,Scénáře!$A$4:$B$503,2,FALSE()),"ID nenalezeno"))</f>
        <v/>
      </c>
      <c r="C128" s="36"/>
      <c r="D128" s="35"/>
      <c r="E128" s="35"/>
      <c r="F128" s="11"/>
      <c r="G128" s="11"/>
      <c r="H128" s="35"/>
      <c r="I128" s="36"/>
      <c r="J128" s="35"/>
    </row>
    <row r="129" spans="1:10" x14ac:dyDescent="0.2">
      <c r="A129" s="35"/>
      <c r="B129" s="39" t="str">
        <f>IF(A129="","",IFERROR(VLOOKUP(A129,Scénáře!$A$4:$B$503,2,FALSE()),"ID nenalezeno"))</f>
        <v/>
      </c>
      <c r="C129" s="36"/>
      <c r="D129" s="35"/>
      <c r="E129" s="35"/>
      <c r="F129" s="11"/>
      <c r="G129" s="11"/>
      <c r="H129" s="35"/>
      <c r="I129" s="36"/>
      <c r="J129" s="35"/>
    </row>
    <row r="130" spans="1:10" x14ac:dyDescent="0.2">
      <c r="A130" s="35"/>
      <c r="B130" s="39" t="str">
        <f>IF(A130="","",IFERROR(VLOOKUP(A130,Scénáře!$A$4:$B$503,2,FALSE()),"ID nenalezeno"))</f>
        <v/>
      </c>
      <c r="C130" s="36"/>
      <c r="D130" s="35"/>
      <c r="E130" s="35"/>
      <c r="F130" s="11"/>
      <c r="G130" s="11"/>
      <c r="H130" s="35"/>
      <c r="I130" s="36"/>
      <c r="J130" s="35"/>
    </row>
    <row r="131" spans="1:10" x14ac:dyDescent="0.2">
      <c r="A131" s="35"/>
      <c r="B131" s="39" t="str">
        <f>IF(A131="","",IFERROR(VLOOKUP(A131,Scénáře!$A$4:$B$503,2,FALSE()),"ID nenalezeno"))</f>
        <v/>
      </c>
      <c r="C131" s="36"/>
      <c r="D131" s="35"/>
      <c r="E131" s="35"/>
      <c r="F131" s="11"/>
      <c r="G131" s="11"/>
      <c r="H131" s="35"/>
      <c r="I131" s="36"/>
      <c r="J131" s="35"/>
    </row>
    <row r="132" spans="1:10" x14ac:dyDescent="0.2">
      <c r="A132" s="35"/>
      <c r="B132" s="39" t="str">
        <f>IF(A132="","",IFERROR(VLOOKUP(A132,Scénáře!$A$4:$B$503,2,FALSE()),"ID nenalezeno"))</f>
        <v/>
      </c>
      <c r="C132" s="36"/>
      <c r="D132" s="35"/>
      <c r="E132" s="35"/>
      <c r="F132" s="11"/>
      <c r="G132" s="11"/>
      <c r="H132" s="35"/>
      <c r="I132" s="36"/>
      <c r="J132" s="35"/>
    </row>
    <row r="133" spans="1:10" x14ac:dyDescent="0.2">
      <c r="A133" s="35"/>
      <c r="B133" s="39" t="str">
        <f>IF(A133="","",IFERROR(VLOOKUP(A133,Scénáře!$A$4:$B$503,2,FALSE()),"ID nenalezeno"))</f>
        <v/>
      </c>
      <c r="C133" s="36"/>
      <c r="D133" s="35"/>
      <c r="E133" s="35"/>
      <c r="F133" s="11"/>
      <c r="G133" s="11"/>
      <c r="H133" s="35"/>
      <c r="I133" s="36"/>
      <c r="J133" s="35"/>
    </row>
    <row r="134" spans="1:10" x14ac:dyDescent="0.2">
      <c r="A134" s="35"/>
      <c r="B134" s="39" t="str">
        <f>IF(A134="","",IFERROR(VLOOKUP(A134,Scénáře!$A$4:$B$503,2,FALSE()),"ID nenalezeno"))</f>
        <v/>
      </c>
      <c r="C134" s="36"/>
      <c r="D134" s="35"/>
      <c r="E134" s="35"/>
      <c r="F134" s="11"/>
      <c r="G134" s="11"/>
      <c r="H134" s="35"/>
      <c r="I134" s="36"/>
      <c r="J134" s="35"/>
    </row>
    <row r="135" spans="1:10" x14ac:dyDescent="0.2">
      <c r="A135" s="35"/>
      <c r="B135" s="39" t="str">
        <f>IF(A135="","",IFERROR(VLOOKUP(A135,Scénáře!$A$4:$B$503,2,FALSE()),"ID nenalezeno"))</f>
        <v/>
      </c>
      <c r="C135" s="36"/>
      <c r="D135" s="35"/>
      <c r="E135" s="35"/>
      <c r="F135" s="11"/>
      <c r="G135" s="11"/>
      <c r="H135" s="35"/>
      <c r="I135" s="36"/>
      <c r="J135" s="35"/>
    </row>
    <row r="136" spans="1:10" x14ac:dyDescent="0.2">
      <c r="A136" s="35"/>
      <c r="B136" s="39" t="str">
        <f>IF(A136="","",IFERROR(VLOOKUP(A136,Scénáře!$A$4:$B$503,2,FALSE()),"ID nenalezeno"))</f>
        <v/>
      </c>
      <c r="C136" s="36"/>
      <c r="D136" s="35"/>
      <c r="E136" s="35"/>
      <c r="F136" s="11"/>
      <c r="G136" s="11"/>
      <c r="H136" s="35"/>
      <c r="I136" s="36"/>
      <c r="J136" s="35"/>
    </row>
    <row r="137" spans="1:10" x14ac:dyDescent="0.2">
      <c r="A137" s="35"/>
      <c r="B137" s="39" t="str">
        <f>IF(A137="","",IFERROR(VLOOKUP(A137,Scénáře!$A$4:$B$503,2,FALSE()),"ID nenalezeno"))</f>
        <v/>
      </c>
      <c r="C137" s="36"/>
      <c r="D137" s="35"/>
      <c r="E137" s="35"/>
      <c r="F137" s="11"/>
      <c r="G137" s="11"/>
      <c r="H137" s="35"/>
      <c r="I137" s="36"/>
      <c r="J137" s="35"/>
    </row>
    <row r="138" spans="1:10" x14ac:dyDescent="0.2">
      <c r="A138" s="35"/>
      <c r="B138" s="39" t="str">
        <f>IF(A138="","",IFERROR(VLOOKUP(A138,Scénáře!$A$4:$B$503,2,FALSE()),"ID nenalezeno"))</f>
        <v/>
      </c>
      <c r="C138" s="36"/>
      <c r="D138" s="35"/>
      <c r="E138" s="35"/>
      <c r="F138" s="11"/>
      <c r="G138" s="11"/>
      <c r="H138" s="35"/>
      <c r="I138" s="36"/>
      <c r="J138" s="35"/>
    </row>
    <row r="139" spans="1:10" x14ac:dyDescent="0.2">
      <c r="A139" s="35"/>
      <c r="B139" s="39" t="str">
        <f>IF(A139="","",IFERROR(VLOOKUP(A139,Scénáře!$A$4:$B$503,2,FALSE()),"ID nenalezeno"))</f>
        <v/>
      </c>
      <c r="C139" s="36"/>
      <c r="D139" s="35"/>
      <c r="E139" s="35"/>
      <c r="F139" s="11"/>
      <c r="G139" s="11"/>
      <c r="H139" s="35"/>
      <c r="I139" s="36"/>
      <c r="J139" s="35"/>
    </row>
    <row r="140" spans="1:10" x14ac:dyDescent="0.2">
      <c r="A140" s="35"/>
      <c r="B140" s="39" t="str">
        <f>IF(A140="","",IFERROR(VLOOKUP(A140,Scénáře!$A$4:$B$503,2,FALSE()),"ID nenalezeno"))</f>
        <v/>
      </c>
      <c r="C140" s="36"/>
      <c r="D140" s="35"/>
      <c r="E140" s="35"/>
      <c r="F140" s="11"/>
      <c r="G140" s="11"/>
      <c r="H140" s="35"/>
      <c r="I140" s="36"/>
      <c r="J140" s="35"/>
    </row>
    <row r="141" spans="1:10" x14ac:dyDescent="0.2">
      <c r="A141" s="35"/>
      <c r="B141" s="39" t="str">
        <f>IF(A141="","",IFERROR(VLOOKUP(A141,Scénáře!$A$4:$B$503,2,FALSE()),"ID nenalezeno"))</f>
        <v/>
      </c>
      <c r="C141" s="36"/>
      <c r="D141" s="35"/>
      <c r="E141" s="35"/>
      <c r="F141" s="11"/>
      <c r="G141" s="11"/>
      <c r="H141" s="35"/>
      <c r="I141" s="36"/>
      <c r="J141" s="35"/>
    </row>
    <row r="142" spans="1:10" x14ac:dyDescent="0.2">
      <c r="A142" s="35"/>
      <c r="B142" s="39" t="str">
        <f>IF(A142="","",IFERROR(VLOOKUP(A142,Scénáře!$A$4:$B$503,2,FALSE()),"ID nenalezeno"))</f>
        <v/>
      </c>
      <c r="C142" s="36"/>
      <c r="D142" s="35"/>
      <c r="E142" s="35"/>
      <c r="F142" s="11"/>
      <c r="G142" s="11"/>
      <c r="H142" s="35"/>
      <c r="I142" s="36"/>
      <c r="J142" s="35"/>
    </row>
    <row r="143" spans="1:10" x14ac:dyDescent="0.2">
      <c r="A143" s="35"/>
      <c r="B143" s="39" t="str">
        <f>IF(A143="","",IFERROR(VLOOKUP(A143,Scénáře!$A$4:$B$503,2,FALSE()),"ID nenalezeno"))</f>
        <v/>
      </c>
      <c r="C143" s="36"/>
      <c r="D143" s="35"/>
      <c r="E143" s="35"/>
      <c r="F143" s="11"/>
      <c r="G143" s="11"/>
      <c r="H143" s="35"/>
      <c r="I143" s="36"/>
      <c r="J143" s="35"/>
    </row>
    <row r="144" spans="1:10" x14ac:dyDescent="0.2">
      <c r="A144" s="35"/>
      <c r="B144" s="39" t="str">
        <f>IF(A144="","",IFERROR(VLOOKUP(A144,Scénáře!$A$4:$B$503,2,FALSE()),"ID nenalezeno"))</f>
        <v/>
      </c>
      <c r="C144" s="36"/>
      <c r="D144" s="35"/>
      <c r="E144" s="35"/>
      <c r="F144" s="11"/>
      <c r="G144" s="11"/>
      <c r="H144" s="35"/>
      <c r="I144" s="36"/>
      <c r="J144" s="35"/>
    </row>
    <row r="145" spans="1:10" x14ac:dyDescent="0.2">
      <c r="A145" s="35"/>
      <c r="B145" s="39" t="str">
        <f>IF(A145="","",IFERROR(VLOOKUP(A145,Scénáře!$A$4:$B$503,2,FALSE()),"ID nenalezeno"))</f>
        <v/>
      </c>
      <c r="C145" s="36"/>
      <c r="D145" s="35"/>
      <c r="E145" s="35"/>
      <c r="F145" s="11"/>
      <c r="G145" s="11"/>
      <c r="H145" s="35"/>
      <c r="I145" s="36"/>
      <c r="J145" s="35"/>
    </row>
    <row r="146" spans="1:10" x14ac:dyDescent="0.2">
      <c r="A146" s="35"/>
      <c r="B146" s="39" t="str">
        <f>IF(A146="","",IFERROR(VLOOKUP(A146,Scénáře!$A$4:$B$503,2,FALSE()),"ID nenalezeno"))</f>
        <v/>
      </c>
      <c r="C146" s="36"/>
      <c r="D146" s="35"/>
      <c r="E146" s="35"/>
      <c r="F146" s="11"/>
      <c r="G146" s="11"/>
      <c r="H146" s="35"/>
      <c r="I146" s="36"/>
      <c r="J146" s="35"/>
    </row>
    <row r="147" spans="1:10" x14ac:dyDescent="0.2">
      <c r="A147" s="35"/>
      <c r="B147" s="39" t="str">
        <f>IF(A147="","",IFERROR(VLOOKUP(A147,Scénáře!$A$4:$B$503,2,FALSE()),"ID nenalezeno"))</f>
        <v/>
      </c>
      <c r="C147" s="36"/>
      <c r="D147" s="35"/>
      <c r="E147" s="35"/>
      <c r="F147" s="11"/>
      <c r="G147" s="11"/>
      <c r="H147" s="35"/>
      <c r="I147" s="36"/>
      <c r="J147" s="35"/>
    </row>
    <row r="148" spans="1:10" x14ac:dyDescent="0.2">
      <c r="A148" s="35"/>
      <c r="B148" s="39" t="str">
        <f>IF(A148="","",IFERROR(VLOOKUP(A148,Scénáře!$A$4:$B$503,2,FALSE()),"ID nenalezeno"))</f>
        <v/>
      </c>
      <c r="C148" s="36"/>
      <c r="D148" s="35"/>
      <c r="E148" s="35"/>
      <c r="F148" s="11"/>
      <c r="G148" s="11"/>
      <c r="H148" s="35"/>
      <c r="I148" s="36"/>
      <c r="J148" s="35"/>
    </row>
    <row r="149" spans="1:10" x14ac:dyDescent="0.2">
      <c r="A149" s="35"/>
      <c r="B149" s="39" t="str">
        <f>IF(A149="","",IFERROR(VLOOKUP(A149,Scénáře!$A$4:$B$503,2,FALSE()),"ID nenalezeno"))</f>
        <v/>
      </c>
      <c r="C149" s="36"/>
      <c r="D149" s="35"/>
      <c r="E149" s="35"/>
      <c r="F149" s="11"/>
      <c r="G149" s="11"/>
      <c r="H149" s="35"/>
      <c r="I149" s="36"/>
      <c r="J149" s="35"/>
    </row>
    <row r="150" spans="1:10" x14ac:dyDescent="0.2">
      <c r="A150" s="35"/>
      <c r="B150" s="39" t="str">
        <f>IF(A150="","",IFERROR(VLOOKUP(A150,Scénáře!$A$4:$B$503,2,FALSE()),"ID nenalezeno"))</f>
        <v/>
      </c>
      <c r="C150" s="36"/>
      <c r="D150" s="35"/>
      <c r="E150" s="35"/>
      <c r="F150" s="11"/>
      <c r="G150" s="11"/>
      <c r="H150" s="35"/>
      <c r="I150" s="36"/>
      <c r="J150" s="35"/>
    </row>
    <row r="151" spans="1:10" x14ac:dyDescent="0.2">
      <c r="A151" s="35"/>
      <c r="B151" s="39" t="str">
        <f>IF(A151="","",IFERROR(VLOOKUP(A151,Scénáře!$A$4:$B$503,2,FALSE()),"ID nenalezeno"))</f>
        <v/>
      </c>
      <c r="C151" s="36"/>
      <c r="D151" s="35"/>
      <c r="E151" s="35"/>
      <c r="F151" s="11"/>
      <c r="G151" s="11"/>
      <c r="H151" s="35"/>
      <c r="I151" s="36"/>
      <c r="J151" s="35"/>
    </row>
    <row r="152" spans="1:10" x14ac:dyDescent="0.2">
      <c r="A152" s="35"/>
      <c r="B152" s="39" t="str">
        <f>IF(A152="","",IFERROR(VLOOKUP(A152,Scénáře!$A$4:$B$503,2,FALSE()),"ID nenalezeno"))</f>
        <v/>
      </c>
      <c r="C152" s="36"/>
      <c r="D152" s="35"/>
      <c r="E152" s="35"/>
      <c r="F152" s="11"/>
      <c r="G152" s="11"/>
      <c r="H152" s="35"/>
      <c r="I152" s="36"/>
      <c r="J152" s="35"/>
    </row>
    <row r="153" spans="1:10" x14ac:dyDescent="0.2">
      <c r="A153" s="35"/>
      <c r="B153" s="39" t="str">
        <f>IF(A153="","",IFERROR(VLOOKUP(A153,Scénáře!$A$4:$B$503,2,FALSE()),"ID nenalezeno"))</f>
        <v/>
      </c>
      <c r="C153" s="36"/>
      <c r="D153" s="35"/>
      <c r="E153" s="35"/>
      <c r="F153" s="11"/>
      <c r="G153" s="11"/>
      <c r="H153" s="35"/>
      <c r="I153" s="36"/>
      <c r="J153" s="35"/>
    </row>
    <row r="154" spans="1:10" x14ac:dyDescent="0.2">
      <c r="A154" s="35"/>
      <c r="B154" s="39" t="str">
        <f>IF(A154="","",IFERROR(VLOOKUP(A154,Scénáře!$A$4:$B$503,2,FALSE()),"ID nenalezeno"))</f>
        <v/>
      </c>
      <c r="C154" s="36"/>
      <c r="D154" s="35"/>
      <c r="E154" s="35"/>
      <c r="F154" s="11"/>
      <c r="G154" s="11"/>
      <c r="H154" s="35"/>
      <c r="I154" s="36"/>
      <c r="J154" s="35"/>
    </row>
    <row r="155" spans="1:10" x14ac:dyDescent="0.2">
      <c r="A155" s="35"/>
      <c r="B155" s="39" t="str">
        <f>IF(A155="","",IFERROR(VLOOKUP(A155,Scénáře!$A$4:$B$503,2,FALSE()),"ID nenalezeno"))</f>
        <v/>
      </c>
      <c r="C155" s="36"/>
      <c r="D155" s="35"/>
      <c r="E155" s="35"/>
      <c r="F155" s="11"/>
      <c r="G155" s="11"/>
      <c r="H155" s="35"/>
      <c r="I155" s="36"/>
      <c r="J155" s="35"/>
    </row>
    <row r="156" spans="1:10" x14ac:dyDescent="0.2">
      <c r="A156" s="35"/>
      <c r="B156" s="39" t="str">
        <f>IF(A156="","",IFERROR(VLOOKUP(A156,Scénáře!$A$4:$B$503,2,FALSE()),"ID nenalezeno"))</f>
        <v/>
      </c>
      <c r="C156" s="36"/>
      <c r="D156" s="35"/>
      <c r="E156" s="35"/>
      <c r="F156" s="11"/>
      <c r="G156" s="11"/>
      <c r="H156" s="35"/>
      <c r="I156" s="36"/>
      <c r="J156" s="35"/>
    </row>
    <row r="157" spans="1:10" x14ac:dyDescent="0.2">
      <c r="A157" s="35"/>
      <c r="B157" s="39" t="str">
        <f>IF(A157="","",IFERROR(VLOOKUP(A157,Scénáře!$A$4:$B$503,2,FALSE()),"ID nenalezeno"))</f>
        <v/>
      </c>
      <c r="C157" s="36"/>
      <c r="D157" s="35"/>
      <c r="E157" s="35"/>
      <c r="F157" s="11"/>
      <c r="G157" s="11"/>
      <c r="H157" s="35"/>
      <c r="I157" s="36"/>
      <c r="J157" s="35"/>
    </row>
    <row r="158" spans="1:10" x14ac:dyDescent="0.2">
      <c r="A158" s="35"/>
      <c r="B158" s="39" t="str">
        <f>IF(A158="","",IFERROR(VLOOKUP(A158,Scénáře!$A$4:$B$503,2,FALSE()),"ID nenalezeno"))</f>
        <v/>
      </c>
      <c r="C158" s="36"/>
      <c r="D158" s="35"/>
      <c r="E158" s="35"/>
      <c r="F158" s="11"/>
      <c r="G158" s="11"/>
      <c r="H158" s="35"/>
      <c r="I158" s="36"/>
      <c r="J158" s="35"/>
    </row>
    <row r="159" spans="1:10" x14ac:dyDescent="0.2">
      <c r="A159" s="35"/>
      <c r="B159" s="39" t="str">
        <f>IF(A159="","",IFERROR(VLOOKUP(A159,Scénáře!$A$4:$B$503,2,FALSE()),"ID nenalezeno"))</f>
        <v/>
      </c>
      <c r="C159" s="36"/>
      <c r="D159" s="35"/>
      <c r="E159" s="35"/>
      <c r="F159" s="11"/>
      <c r="G159" s="11"/>
      <c r="H159" s="35"/>
      <c r="I159" s="36"/>
      <c r="J159" s="35"/>
    </row>
    <row r="160" spans="1:10" x14ac:dyDescent="0.2">
      <c r="A160" s="35"/>
      <c r="B160" s="39" t="str">
        <f>IF(A160="","",IFERROR(VLOOKUP(A160,Scénáře!$A$4:$B$503,2,FALSE()),"ID nenalezeno"))</f>
        <v/>
      </c>
      <c r="C160" s="36"/>
      <c r="D160" s="35"/>
      <c r="E160" s="35"/>
      <c r="F160" s="11"/>
      <c r="G160" s="11"/>
      <c r="H160" s="35"/>
      <c r="I160" s="36"/>
      <c r="J160" s="35"/>
    </row>
    <row r="161" spans="1:10" x14ac:dyDescent="0.2">
      <c r="A161" s="35"/>
      <c r="B161" s="39" t="str">
        <f>IF(A161="","",IFERROR(VLOOKUP(A161,Scénáře!$A$4:$B$503,2,FALSE()),"ID nenalezeno"))</f>
        <v/>
      </c>
      <c r="C161" s="36"/>
      <c r="D161" s="35"/>
      <c r="E161" s="35"/>
      <c r="F161" s="11"/>
      <c r="G161" s="11"/>
      <c r="H161" s="35"/>
      <c r="I161" s="36"/>
      <c r="J161" s="35"/>
    </row>
    <row r="162" spans="1:10" x14ac:dyDescent="0.2">
      <c r="A162" s="35"/>
      <c r="B162" s="39" t="str">
        <f>IF(A162="","",IFERROR(VLOOKUP(A162,Scénáře!$A$4:$B$503,2,FALSE()),"ID nenalezeno"))</f>
        <v/>
      </c>
      <c r="C162" s="36"/>
      <c r="D162" s="35"/>
      <c r="E162" s="35"/>
      <c r="F162" s="11"/>
      <c r="G162" s="11"/>
      <c r="H162" s="35"/>
      <c r="I162" s="36"/>
      <c r="J162" s="35"/>
    </row>
    <row r="163" spans="1:10" x14ac:dyDescent="0.2">
      <c r="A163" s="35"/>
      <c r="B163" s="39" t="str">
        <f>IF(A163="","",IFERROR(VLOOKUP(A163,Scénáře!$A$4:$B$503,2,FALSE()),"ID nenalezeno"))</f>
        <v/>
      </c>
      <c r="C163" s="36"/>
      <c r="D163" s="35"/>
      <c r="E163" s="35"/>
      <c r="F163" s="11"/>
      <c r="G163" s="11"/>
      <c r="H163" s="35"/>
      <c r="I163" s="36"/>
      <c r="J163" s="35"/>
    </row>
    <row r="164" spans="1:10" x14ac:dyDescent="0.2">
      <c r="A164" s="35"/>
      <c r="B164" s="39" t="str">
        <f>IF(A164="","",IFERROR(VLOOKUP(A164,Scénáře!$A$4:$B$503,2,FALSE()),"ID nenalezeno"))</f>
        <v/>
      </c>
      <c r="C164" s="36"/>
      <c r="D164" s="35"/>
      <c r="E164" s="35"/>
      <c r="F164" s="11"/>
      <c r="G164" s="11"/>
      <c r="H164" s="35"/>
      <c r="I164" s="36"/>
      <c r="J164" s="35"/>
    </row>
    <row r="165" spans="1:10" x14ac:dyDescent="0.2">
      <c r="A165" s="35"/>
      <c r="B165" s="39" t="str">
        <f>IF(A165="","",IFERROR(VLOOKUP(A165,Scénáře!$A$4:$B$503,2,FALSE()),"ID nenalezeno"))</f>
        <v/>
      </c>
      <c r="C165" s="36"/>
      <c r="D165" s="35"/>
      <c r="E165" s="35"/>
      <c r="F165" s="11"/>
      <c r="G165" s="11"/>
      <c r="H165" s="35"/>
      <c r="I165" s="36"/>
      <c r="J165" s="35"/>
    </row>
    <row r="166" spans="1:10" x14ac:dyDescent="0.2">
      <c r="A166" s="35"/>
      <c r="B166" s="39" t="str">
        <f>IF(A166="","",IFERROR(VLOOKUP(A166,Scénáře!$A$4:$B$503,2,FALSE()),"ID nenalezeno"))</f>
        <v/>
      </c>
      <c r="C166" s="36"/>
      <c r="D166" s="35"/>
      <c r="E166" s="35"/>
      <c r="F166" s="11"/>
      <c r="G166" s="11"/>
      <c r="H166" s="35"/>
      <c r="I166" s="36"/>
      <c r="J166" s="35"/>
    </row>
    <row r="167" spans="1:10" x14ac:dyDescent="0.2">
      <c r="A167" s="35"/>
      <c r="B167" s="39" t="str">
        <f>IF(A167="","",IFERROR(VLOOKUP(A167,Scénáře!$A$4:$B$503,2,FALSE()),"ID nenalezeno"))</f>
        <v/>
      </c>
      <c r="C167" s="36"/>
      <c r="D167" s="35"/>
      <c r="E167" s="35"/>
      <c r="F167" s="11"/>
      <c r="G167" s="11"/>
      <c r="H167" s="35"/>
      <c r="I167" s="36"/>
      <c r="J167" s="35"/>
    </row>
    <row r="168" spans="1:10" x14ac:dyDescent="0.2">
      <c r="A168" s="35"/>
      <c r="B168" s="39" t="str">
        <f>IF(A168="","",IFERROR(VLOOKUP(A168,Scénáře!$A$4:$B$503,2,FALSE()),"ID nenalezeno"))</f>
        <v/>
      </c>
      <c r="C168" s="36"/>
      <c r="D168" s="35"/>
      <c r="E168" s="35"/>
      <c r="F168" s="11"/>
      <c r="G168" s="11"/>
      <c r="H168" s="35"/>
      <c r="I168" s="36"/>
      <c r="J168" s="35"/>
    </row>
    <row r="169" spans="1:10" x14ac:dyDescent="0.2">
      <c r="A169" s="35"/>
      <c r="B169" s="39" t="str">
        <f>IF(A169="","",IFERROR(VLOOKUP(A169,Scénáře!$A$4:$B$503,2,FALSE()),"ID nenalezeno"))</f>
        <v/>
      </c>
      <c r="C169" s="36"/>
      <c r="D169" s="35"/>
      <c r="E169" s="35"/>
      <c r="F169" s="11"/>
      <c r="G169" s="11"/>
      <c r="H169" s="35"/>
      <c r="I169" s="36"/>
      <c r="J169" s="35"/>
    </row>
    <row r="170" spans="1:10" x14ac:dyDescent="0.2">
      <c r="A170" s="35"/>
      <c r="B170" s="39" t="str">
        <f>IF(A170="","",IFERROR(VLOOKUP(A170,Scénáře!$A$4:$B$503,2,FALSE()),"ID nenalezeno"))</f>
        <v/>
      </c>
      <c r="C170" s="36"/>
      <c r="D170" s="35"/>
      <c r="E170" s="35"/>
      <c r="F170" s="11"/>
      <c r="G170" s="11"/>
      <c r="H170" s="35"/>
      <c r="I170" s="36"/>
      <c r="J170" s="35"/>
    </row>
    <row r="171" spans="1:10" x14ac:dyDescent="0.2">
      <c r="A171" s="35"/>
      <c r="B171" s="39" t="str">
        <f>IF(A171="","",IFERROR(VLOOKUP(A171,Scénáře!$A$4:$B$503,2,FALSE()),"ID nenalezeno"))</f>
        <v/>
      </c>
      <c r="C171" s="36"/>
      <c r="D171" s="35"/>
      <c r="E171" s="35"/>
      <c r="F171" s="11"/>
      <c r="G171" s="11"/>
      <c r="H171" s="35"/>
      <c r="I171" s="36"/>
      <c r="J171" s="35"/>
    </row>
    <row r="172" spans="1:10" x14ac:dyDescent="0.2">
      <c r="A172" s="35"/>
      <c r="B172" s="39" t="str">
        <f>IF(A172="","",IFERROR(VLOOKUP(A172,Scénáře!$A$4:$B$503,2,FALSE()),"ID nenalezeno"))</f>
        <v/>
      </c>
      <c r="C172" s="36"/>
      <c r="D172" s="35"/>
      <c r="E172" s="35"/>
      <c r="F172" s="11"/>
      <c r="G172" s="11"/>
      <c r="H172" s="35"/>
      <c r="I172" s="36"/>
      <c r="J172" s="35"/>
    </row>
    <row r="173" spans="1:10" x14ac:dyDescent="0.2">
      <c r="A173" s="35"/>
      <c r="B173" s="39" t="str">
        <f>IF(A173="","",IFERROR(VLOOKUP(A173,Scénáře!$A$4:$B$503,2,FALSE()),"ID nenalezeno"))</f>
        <v/>
      </c>
      <c r="C173" s="36"/>
      <c r="D173" s="35"/>
      <c r="E173" s="35"/>
      <c r="F173" s="11"/>
      <c r="G173" s="11"/>
      <c r="H173" s="35"/>
      <c r="I173" s="36"/>
      <c r="J173" s="35"/>
    </row>
    <row r="174" spans="1:10" x14ac:dyDescent="0.2">
      <c r="A174" s="35"/>
      <c r="B174" s="39" t="str">
        <f>IF(A174="","",IFERROR(VLOOKUP(A174,Scénáře!$A$4:$B$503,2,FALSE()),"ID nenalezeno"))</f>
        <v/>
      </c>
      <c r="C174" s="36"/>
      <c r="D174" s="35"/>
      <c r="E174" s="35"/>
      <c r="F174" s="11"/>
      <c r="G174" s="11"/>
      <c r="H174" s="35"/>
      <c r="I174" s="36"/>
      <c r="J174" s="35"/>
    </row>
    <row r="175" spans="1:10" x14ac:dyDescent="0.2">
      <c r="A175" s="35"/>
      <c r="B175" s="39" t="str">
        <f>IF(A175="","",IFERROR(VLOOKUP(A175,Scénáře!$A$4:$B$503,2,FALSE()),"ID nenalezeno"))</f>
        <v/>
      </c>
      <c r="C175" s="36"/>
      <c r="D175" s="35"/>
      <c r="E175" s="35"/>
      <c r="F175" s="11"/>
      <c r="G175" s="11"/>
      <c r="H175" s="35"/>
      <c r="I175" s="36"/>
      <c r="J175" s="35"/>
    </row>
    <row r="176" spans="1:10" x14ac:dyDescent="0.2">
      <c r="A176" s="35"/>
      <c r="B176" s="39" t="str">
        <f>IF(A176="","",IFERROR(VLOOKUP(A176,Scénáře!$A$4:$B$503,2,FALSE()),"ID nenalezeno"))</f>
        <v/>
      </c>
      <c r="C176" s="36"/>
      <c r="D176" s="35"/>
      <c r="E176" s="35"/>
      <c r="F176" s="11"/>
      <c r="G176" s="11"/>
      <c r="H176" s="35"/>
      <c r="I176" s="36"/>
      <c r="J176" s="35"/>
    </row>
    <row r="177" spans="1:10" x14ac:dyDescent="0.2">
      <c r="A177" s="35"/>
      <c r="B177" s="39" t="str">
        <f>IF(A177="","",IFERROR(VLOOKUP(A177,Scénáře!$A$4:$B$503,2,FALSE()),"ID nenalezeno"))</f>
        <v/>
      </c>
      <c r="C177" s="36"/>
      <c r="D177" s="35"/>
      <c r="E177" s="35"/>
      <c r="F177" s="11"/>
      <c r="G177" s="11"/>
      <c r="H177" s="35"/>
      <c r="I177" s="36"/>
      <c r="J177" s="35"/>
    </row>
    <row r="178" spans="1:10" x14ac:dyDescent="0.2">
      <c r="A178" s="35"/>
      <c r="B178" s="39" t="str">
        <f>IF(A178="","",IFERROR(VLOOKUP(A178,Scénáře!$A$4:$B$503,2,FALSE()),"ID nenalezeno"))</f>
        <v/>
      </c>
      <c r="C178" s="36"/>
      <c r="D178" s="35"/>
      <c r="E178" s="35"/>
      <c r="F178" s="11"/>
      <c r="G178" s="11"/>
      <c r="H178" s="35"/>
      <c r="I178" s="36"/>
      <c r="J178" s="35"/>
    </row>
    <row r="179" spans="1:10" x14ac:dyDescent="0.2">
      <c r="A179" s="35"/>
      <c r="B179" s="39" t="str">
        <f>IF(A179="","",IFERROR(VLOOKUP(A179,Scénáře!$A$4:$B$503,2,FALSE()),"ID nenalezeno"))</f>
        <v/>
      </c>
      <c r="C179" s="36"/>
      <c r="D179" s="35"/>
      <c r="E179" s="35"/>
      <c r="F179" s="11"/>
      <c r="G179" s="11"/>
      <c r="H179" s="35"/>
      <c r="I179" s="36"/>
      <c r="J179" s="35"/>
    </row>
    <row r="180" spans="1:10" x14ac:dyDescent="0.2">
      <c r="A180" s="35"/>
      <c r="B180" s="39" t="str">
        <f>IF(A180="","",IFERROR(VLOOKUP(A180,Scénáře!$A$4:$B$503,2,FALSE()),"ID nenalezeno"))</f>
        <v/>
      </c>
      <c r="C180" s="36"/>
      <c r="D180" s="35"/>
      <c r="E180" s="35"/>
      <c r="F180" s="11"/>
      <c r="G180" s="11"/>
      <c r="H180" s="35"/>
      <c r="I180" s="36"/>
      <c r="J180" s="35"/>
    </row>
    <row r="181" spans="1:10" x14ac:dyDescent="0.2">
      <c r="A181" s="35"/>
      <c r="B181" s="39" t="str">
        <f>IF(A181="","",IFERROR(VLOOKUP(A181,Scénáře!$A$4:$B$503,2,FALSE()),"ID nenalezeno"))</f>
        <v/>
      </c>
      <c r="C181" s="36"/>
      <c r="D181" s="35"/>
      <c r="E181" s="35"/>
      <c r="F181" s="11"/>
      <c r="G181" s="11"/>
      <c r="H181" s="35"/>
      <c r="I181" s="36"/>
      <c r="J181" s="35"/>
    </row>
    <row r="182" spans="1:10" x14ac:dyDescent="0.2">
      <c r="A182" s="35"/>
      <c r="B182" s="39" t="str">
        <f>IF(A182="","",IFERROR(VLOOKUP(A182,Scénáře!$A$4:$B$503,2,FALSE()),"ID nenalezeno"))</f>
        <v/>
      </c>
      <c r="C182" s="36"/>
      <c r="D182" s="35"/>
      <c r="E182" s="35"/>
      <c r="F182" s="11"/>
      <c r="G182" s="11"/>
      <c r="H182" s="35"/>
      <c r="I182" s="36"/>
      <c r="J182" s="35"/>
    </row>
    <row r="183" spans="1:10" x14ac:dyDescent="0.2">
      <c r="A183" s="35"/>
      <c r="B183" s="39" t="str">
        <f>IF(A183="","",IFERROR(VLOOKUP(A183,Scénáře!$A$4:$B$503,2,FALSE()),"ID nenalezeno"))</f>
        <v/>
      </c>
      <c r="C183" s="36"/>
      <c r="D183" s="35"/>
      <c r="E183" s="35"/>
      <c r="F183" s="11"/>
      <c r="G183" s="11"/>
      <c r="H183" s="35"/>
      <c r="I183" s="36"/>
      <c r="J183" s="35"/>
    </row>
    <row r="184" spans="1:10" x14ac:dyDescent="0.2">
      <c r="A184" s="35"/>
      <c r="B184" s="39" t="str">
        <f>IF(A184="","",IFERROR(VLOOKUP(A184,Scénáře!$A$4:$B$503,2,FALSE()),"ID nenalezeno"))</f>
        <v/>
      </c>
      <c r="C184" s="36"/>
      <c r="D184" s="35"/>
      <c r="E184" s="35"/>
      <c r="F184" s="11"/>
      <c r="G184" s="11"/>
      <c r="H184" s="35"/>
      <c r="I184" s="36"/>
      <c r="J184" s="35"/>
    </row>
    <row r="185" spans="1:10" x14ac:dyDescent="0.2">
      <c r="A185" s="35"/>
      <c r="B185" s="39" t="str">
        <f>IF(A185="","",IFERROR(VLOOKUP(A185,Scénáře!$A$4:$B$503,2,FALSE()),"ID nenalezeno"))</f>
        <v/>
      </c>
      <c r="C185" s="36"/>
      <c r="D185" s="35"/>
      <c r="E185" s="35"/>
      <c r="F185" s="11"/>
      <c r="G185" s="11"/>
      <c r="H185" s="35"/>
      <c r="I185" s="36"/>
      <c r="J185" s="35"/>
    </row>
    <row r="186" spans="1:10" x14ac:dyDescent="0.2">
      <c r="A186" s="35"/>
      <c r="B186" s="39" t="str">
        <f>IF(A186="","",IFERROR(VLOOKUP(A186,Scénáře!$A$4:$B$503,2,FALSE()),"ID nenalezeno"))</f>
        <v/>
      </c>
      <c r="C186" s="36"/>
      <c r="D186" s="35"/>
      <c r="E186" s="35"/>
      <c r="F186" s="11"/>
      <c r="G186" s="11"/>
      <c r="H186" s="35"/>
      <c r="I186" s="36"/>
      <c r="J186" s="35"/>
    </row>
    <row r="187" spans="1:10" x14ac:dyDescent="0.2">
      <c r="A187" s="35"/>
      <c r="B187" s="39" t="str">
        <f>IF(A187="","",IFERROR(VLOOKUP(A187,Scénáře!$A$4:$B$503,2,FALSE()),"ID nenalezeno"))</f>
        <v/>
      </c>
      <c r="C187" s="36"/>
      <c r="D187" s="35"/>
      <c r="E187" s="35"/>
      <c r="F187" s="11"/>
      <c r="G187" s="11"/>
      <c r="H187" s="35"/>
      <c r="I187" s="36"/>
      <c r="J187" s="35"/>
    </row>
    <row r="188" spans="1:10" x14ac:dyDescent="0.2">
      <c r="A188" s="35"/>
      <c r="B188" s="39" t="str">
        <f>IF(A188="","",IFERROR(VLOOKUP(A188,Scénáře!$A$4:$B$503,2,FALSE()),"ID nenalezeno"))</f>
        <v/>
      </c>
      <c r="C188" s="36"/>
      <c r="D188" s="35"/>
      <c r="E188" s="35"/>
      <c r="F188" s="11"/>
      <c r="G188" s="11"/>
      <c r="H188" s="35"/>
      <c r="I188" s="36"/>
      <c r="J188" s="35"/>
    </row>
    <row r="189" spans="1:10" x14ac:dyDescent="0.2">
      <c r="A189" s="35"/>
      <c r="B189" s="39" t="str">
        <f>IF(A189="","",IFERROR(VLOOKUP(A189,Scénáře!$A$4:$B$503,2,FALSE()),"ID nenalezeno"))</f>
        <v/>
      </c>
      <c r="C189" s="36"/>
      <c r="D189" s="35"/>
      <c r="E189" s="35"/>
      <c r="F189" s="11"/>
      <c r="G189" s="11"/>
      <c r="H189" s="35"/>
      <c r="I189" s="36"/>
      <c r="J189" s="35"/>
    </row>
    <row r="190" spans="1:10" x14ac:dyDescent="0.2">
      <c r="A190" s="35"/>
      <c r="B190" s="39" t="str">
        <f>IF(A190="","",IFERROR(VLOOKUP(A190,Scénáře!$A$4:$B$503,2,FALSE()),"ID nenalezeno"))</f>
        <v/>
      </c>
      <c r="C190" s="36"/>
      <c r="D190" s="35"/>
      <c r="E190" s="35"/>
      <c r="F190" s="11"/>
      <c r="G190" s="11"/>
      <c r="H190" s="35"/>
      <c r="I190" s="36"/>
      <c r="J190" s="35"/>
    </row>
    <row r="191" spans="1:10" x14ac:dyDescent="0.2">
      <c r="A191" s="35"/>
      <c r="B191" s="39" t="str">
        <f>IF(A191="","",IFERROR(VLOOKUP(A191,Scénáře!$A$4:$B$503,2,FALSE()),"ID nenalezeno"))</f>
        <v/>
      </c>
      <c r="C191" s="36"/>
      <c r="D191" s="35"/>
      <c r="E191" s="35"/>
      <c r="F191" s="11"/>
      <c r="G191" s="11"/>
      <c r="H191" s="35"/>
      <c r="I191" s="36"/>
      <c r="J191" s="35"/>
    </row>
    <row r="192" spans="1:10" x14ac:dyDescent="0.2">
      <c r="A192" s="35"/>
      <c r="B192" s="39" t="str">
        <f>IF(A192="","",IFERROR(VLOOKUP(A192,Scénáře!$A$4:$B$503,2,FALSE()),"ID nenalezeno"))</f>
        <v/>
      </c>
      <c r="C192" s="36"/>
      <c r="D192" s="35"/>
      <c r="E192" s="35"/>
      <c r="F192" s="11"/>
      <c r="G192" s="11"/>
      <c r="H192" s="35"/>
      <c r="I192" s="36"/>
      <c r="J192" s="35"/>
    </row>
    <row r="193" spans="1:10" x14ac:dyDescent="0.2">
      <c r="A193" s="35"/>
      <c r="B193" s="39" t="str">
        <f>IF(A193="","",IFERROR(VLOOKUP(A193,Scénáře!$A$4:$B$503,2,FALSE()),"ID nenalezeno"))</f>
        <v/>
      </c>
      <c r="C193" s="36"/>
      <c r="D193" s="35"/>
      <c r="E193" s="35"/>
      <c r="F193" s="11"/>
      <c r="G193" s="11"/>
      <c r="H193" s="35"/>
      <c r="I193" s="36"/>
      <c r="J193" s="35"/>
    </row>
    <row r="194" spans="1:10" x14ac:dyDescent="0.2">
      <c r="A194" s="35"/>
      <c r="B194" s="39" t="str">
        <f>IF(A194="","",IFERROR(VLOOKUP(A194,Scénáře!$A$4:$B$503,2,FALSE()),"ID nenalezeno"))</f>
        <v/>
      </c>
      <c r="C194" s="36"/>
      <c r="D194" s="35"/>
      <c r="E194" s="35"/>
      <c r="F194" s="11"/>
      <c r="G194" s="11"/>
      <c r="H194" s="35"/>
      <c r="I194" s="36"/>
      <c r="J194" s="35"/>
    </row>
    <row r="195" spans="1:10" x14ac:dyDescent="0.2">
      <c r="A195" s="35"/>
      <c r="B195" s="39" t="str">
        <f>IF(A195="","",IFERROR(VLOOKUP(A195,Scénáře!$A$4:$B$503,2,FALSE()),"ID nenalezeno"))</f>
        <v/>
      </c>
      <c r="C195" s="36"/>
      <c r="D195" s="35"/>
      <c r="E195" s="35"/>
      <c r="F195" s="11"/>
      <c r="G195" s="11"/>
      <c r="H195" s="35"/>
      <c r="I195" s="36"/>
      <c r="J195" s="35"/>
    </row>
    <row r="196" spans="1:10" x14ac:dyDescent="0.2">
      <c r="A196" s="35"/>
      <c r="B196" s="39" t="str">
        <f>IF(A196="","",IFERROR(VLOOKUP(A196,Scénáře!$A$4:$B$503,2,FALSE()),"ID nenalezeno"))</f>
        <v/>
      </c>
      <c r="C196" s="36"/>
      <c r="D196" s="35"/>
      <c r="E196" s="35"/>
      <c r="F196" s="11"/>
      <c r="G196" s="11"/>
      <c r="H196" s="35"/>
      <c r="I196" s="36"/>
      <c r="J196" s="35"/>
    </row>
    <row r="197" spans="1:10" x14ac:dyDescent="0.2">
      <c r="A197" s="35"/>
      <c r="B197" s="39" t="str">
        <f>IF(A197="","",IFERROR(VLOOKUP(A197,Scénáře!$A$4:$B$503,2,FALSE()),"ID nenalezeno"))</f>
        <v/>
      </c>
      <c r="C197" s="36"/>
      <c r="D197" s="35"/>
      <c r="E197" s="35"/>
      <c r="F197" s="11"/>
      <c r="G197" s="11"/>
      <c r="H197" s="35"/>
      <c r="I197" s="36"/>
      <c r="J197" s="35"/>
    </row>
    <row r="198" spans="1:10" x14ac:dyDescent="0.2">
      <c r="A198" s="35"/>
      <c r="B198" s="39" t="str">
        <f>IF(A198="","",IFERROR(VLOOKUP(A198,Scénáře!$A$4:$B$503,2,FALSE()),"ID nenalezeno"))</f>
        <v/>
      </c>
      <c r="C198" s="36"/>
      <c r="D198" s="35"/>
      <c r="E198" s="35"/>
      <c r="F198" s="11"/>
      <c r="G198" s="11"/>
      <c r="H198" s="35"/>
      <c r="I198" s="36"/>
      <c r="J198" s="35"/>
    </row>
    <row r="199" spans="1:10" x14ac:dyDescent="0.2">
      <c r="A199" s="35"/>
      <c r="B199" s="39" t="str">
        <f>IF(A199="","",IFERROR(VLOOKUP(A199,Scénáře!$A$4:$B$503,2,FALSE()),"ID nenalezeno"))</f>
        <v/>
      </c>
      <c r="C199" s="36"/>
      <c r="D199" s="35"/>
      <c r="E199" s="35"/>
      <c r="F199" s="11"/>
      <c r="G199" s="11"/>
      <c r="H199" s="35"/>
      <c r="I199" s="36"/>
      <c r="J199" s="35"/>
    </row>
    <row r="200" spans="1:10" x14ac:dyDescent="0.2">
      <c r="A200" s="35"/>
      <c r="B200" s="39" t="str">
        <f>IF(A200="","",IFERROR(VLOOKUP(A200,Scénáře!$A$4:$B$503,2,FALSE()),"ID nenalezeno"))</f>
        <v/>
      </c>
      <c r="C200" s="36"/>
      <c r="D200" s="35"/>
      <c r="E200" s="35"/>
      <c r="F200" s="11"/>
      <c r="G200" s="11"/>
      <c r="H200" s="35"/>
      <c r="I200" s="36"/>
      <c r="J200" s="35"/>
    </row>
    <row r="201" spans="1:10" x14ac:dyDescent="0.2">
      <c r="A201" s="35"/>
      <c r="B201" s="39" t="str">
        <f>IF(A201="","",IFERROR(VLOOKUP(A201,Scénáře!$A$4:$B$503,2,FALSE()),"ID nenalezeno"))</f>
        <v/>
      </c>
      <c r="C201" s="36"/>
      <c r="D201" s="35"/>
      <c r="E201" s="35"/>
      <c r="F201" s="11"/>
      <c r="G201" s="11"/>
      <c r="H201" s="35"/>
      <c r="I201" s="36"/>
      <c r="J201" s="35"/>
    </row>
    <row r="202" spans="1:10" x14ac:dyDescent="0.2">
      <c r="A202" s="35"/>
      <c r="B202" s="39" t="str">
        <f>IF(A202="","",IFERROR(VLOOKUP(A202,Scénáře!$A$4:$B$503,2,FALSE()),"ID nenalezeno"))</f>
        <v/>
      </c>
      <c r="C202" s="36"/>
      <c r="D202" s="35"/>
      <c r="E202" s="35"/>
      <c r="F202" s="11"/>
      <c r="G202" s="11"/>
      <c r="H202" s="35"/>
      <c r="I202" s="36"/>
      <c r="J202" s="35"/>
    </row>
    <row r="203" spans="1:10" x14ac:dyDescent="0.2">
      <c r="A203" s="35"/>
      <c r="B203" s="39" t="str">
        <f>IF(A203="","",IFERROR(VLOOKUP(A203,Scénáře!$A$4:$B$503,2,FALSE()),"ID nenalezeno"))</f>
        <v/>
      </c>
      <c r="C203" s="36"/>
      <c r="D203" s="35"/>
      <c r="E203" s="35"/>
      <c r="F203" s="11"/>
      <c r="G203" s="11"/>
      <c r="H203" s="35"/>
      <c r="I203" s="36"/>
      <c r="J203" s="35"/>
    </row>
    <row r="204" spans="1:10" x14ac:dyDescent="0.2">
      <c r="A204" s="35"/>
      <c r="B204" s="39" t="str">
        <f>IF(A204="","",IFERROR(VLOOKUP(A204,Scénáře!$A$4:$B$503,2,FALSE()),"ID nenalezeno"))</f>
        <v/>
      </c>
      <c r="C204" s="36"/>
      <c r="D204" s="35"/>
      <c r="E204" s="35"/>
      <c r="F204" s="11"/>
      <c r="G204" s="11"/>
      <c r="H204" s="35"/>
      <c r="I204" s="36"/>
      <c r="J204" s="35"/>
    </row>
    <row r="205" spans="1:10" x14ac:dyDescent="0.2">
      <c r="A205" s="35"/>
      <c r="B205" s="39" t="str">
        <f>IF(A205="","",IFERROR(VLOOKUP(A205,Scénáře!$A$4:$B$503,2,FALSE()),"ID nenalezeno"))</f>
        <v/>
      </c>
      <c r="C205" s="36"/>
      <c r="D205" s="35"/>
      <c r="E205" s="35"/>
      <c r="F205" s="11"/>
      <c r="G205" s="11"/>
      <c r="H205" s="35"/>
      <c r="I205" s="36"/>
      <c r="J205" s="35"/>
    </row>
    <row r="206" spans="1:10" x14ac:dyDescent="0.2">
      <c r="A206" s="35"/>
      <c r="B206" s="39" t="str">
        <f>IF(A206="","",IFERROR(VLOOKUP(A206,Scénáře!$A$4:$B$503,2,FALSE()),"ID nenalezeno"))</f>
        <v/>
      </c>
      <c r="C206" s="36"/>
      <c r="D206" s="35"/>
      <c r="E206" s="35"/>
      <c r="F206" s="11"/>
      <c r="G206" s="11"/>
      <c r="H206" s="35"/>
      <c r="I206" s="36"/>
      <c r="J206" s="35"/>
    </row>
    <row r="207" spans="1:10" x14ac:dyDescent="0.2">
      <c r="A207" s="35"/>
      <c r="B207" s="39" t="str">
        <f>IF(A207="","",IFERROR(VLOOKUP(A207,Scénáře!$A$4:$B$503,2,FALSE()),"ID nenalezeno"))</f>
        <v/>
      </c>
      <c r="C207" s="36"/>
      <c r="D207" s="35"/>
      <c r="E207" s="35"/>
      <c r="F207" s="11"/>
      <c r="G207" s="11"/>
      <c r="H207" s="35"/>
      <c r="I207" s="36"/>
      <c r="J207" s="35"/>
    </row>
    <row r="208" spans="1:10" x14ac:dyDescent="0.2">
      <c r="A208" s="35"/>
      <c r="B208" s="39" t="str">
        <f>IF(A208="","",IFERROR(VLOOKUP(A208,Scénáře!$A$4:$B$503,2,FALSE()),"ID nenalezeno"))</f>
        <v/>
      </c>
      <c r="C208" s="36"/>
      <c r="D208" s="35"/>
      <c r="E208" s="35"/>
      <c r="F208" s="11"/>
      <c r="G208" s="11"/>
      <c r="H208" s="35"/>
      <c r="I208" s="36"/>
      <c r="J208" s="35"/>
    </row>
    <row r="209" spans="1:10" x14ac:dyDescent="0.2">
      <c r="A209" s="35"/>
      <c r="B209" s="39" t="str">
        <f>IF(A209="","",IFERROR(VLOOKUP(A209,Scénáře!$A$4:$B$503,2,FALSE()),"ID nenalezeno"))</f>
        <v/>
      </c>
      <c r="C209" s="36"/>
      <c r="D209" s="35"/>
      <c r="E209" s="35"/>
      <c r="F209" s="11"/>
      <c r="G209" s="11"/>
      <c r="H209" s="35"/>
      <c r="I209" s="36"/>
      <c r="J209" s="35"/>
    </row>
    <row r="210" spans="1:10" x14ac:dyDescent="0.2">
      <c r="A210" s="35"/>
      <c r="B210" s="39" t="str">
        <f>IF(A210="","",IFERROR(VLOOKUP(A210,Scénáře!$A$4:$B$503,2,FALSE()),"ID nenalezeno"))</f>
        <v/>
      </c>
      <c r="C210" s="36"/>
      <c r="D210" s="35"/>
      <c r="E210" s="35"/>
      <c r="F210" s="11"/>
      <c r="G210" s="11"/>
      <c r="H210" s="35"/>
      <c r="I210" s="36"/>
      <c r="J210" s="35"/>
    </row>
    <row r="211" spans="1:10" x14ac:dyDescent="0.2">
      <c r="A211" s="35"/>
      <c r="B211" s="39" t="str">
        <f>IF(A211="","",IFERROR(VLOOKUP(A211,Scénáře!$A$4:$B$503,2,FALSE()),"ID nenalezeno"))</f>
        <v/>
      </c>
      <c r="C211" s="36"/>
      <c r="D211" s="35"/>
      <c r="E211" s="35"/>
      <c r="F211" s="11"/>
      <c r="G211" s="11"/>
      <c r="H211" s="35"/>
      <c r="I211" s="36"/>
      <c r="J211" s="35"/>
    </row>
    <row r="212" spans="1:10" x14ac:dyDescent="0.2">
      <c r="A212" s="35"/>
      <c r="B212" s="39" t="str">
        <f>IF(A212="","",IFERROR(VLOOKUP(A212,Scénáře!$A$4:$B$503,2,FALSE()),"ID nenalezeno"))</f>
        <v/>
      </c>
      <c r="C212" s="36"/>
      <c r="D212" s="35"/>
      <c r="E212" s="35"/>
      <c r="F212" s="11"/>
      <c r="G212" s="11"/>
      <c r="H212" s="35"/>
      <c r="I212" s="36"/>
      <c r="J212" s="35"/>
    </row>
    <row r="213" spans="1:10" x14ac:dyDescent="0.2">
      <c r="A213" s="35"/>
      <c r="B213" s="39" t="str">
        <f>IF(A213="","",IFERROR(VLOOKUP(A213,Scénáře!$A$4:$B$503,2,FALSE()),"ID nenalezeno"))</f>
        <v/>
      </c>
      <c r="C213" s="36"/>
      <c r="D213" s="35"/>
      <c r="E213" s="35"/>
      <c r="F213" s="11"/>
      <c r="G213" s="11"/>
      <c r="H213" s="35"/>
      <c r="I213" s="36"/>
      <c r="J213" s="35"/>
    </row>
    <row r="214" spans="1:10" x14ac:dyDescent="0.2">
      <c r="A214" s="35"/>
      <c r="B214" s="39" t="str">
        <f>IF(A214="","",IFERROR(VLOOKUP(A214,Scénáře!$A$4:$B$503,2,FALSE()),"ID nenalezeno"))</f>
        <v/>
      </c>
      <c r="C214" s="36"/>
      <c r="D214" s="35"/>
      <c r="E214" s="35"/>
      <c r="F214" s="11"/>
      <c r="G214" s="11"/>
      <c r="H214" s="35"/>
      <c r="I214" s="36"/>
      <c r="J214" s="35"/>
    </row>
    <row r="215" spans="1:10" x14ac:dyDescent="0.2">
      <c r="A215" s="35"/>
      <c r="B215" s="39" t="str">
        <f>IF(A215="","",IFERROR(VLOOKUP(A215,Scénáře!$A$4:$B$503,2,FALSE()),"ID nenalezeno"))</f>
        <v/>
      </c>
      <c r="C215" s="36"/>
      <c r="D215" s="35"/>
      <c r="E215" s="35"/>
      <c r="F215" s="11"/>
      <c r="G215" s="11"/>
      <c r="H215" s="35"/>
      <c r="I215" s="36"/>
      <c r="J215" s="35"/>
    </row>
    <row r="216" spans="1:10" x14ac:dyDescent="0.2">
      <c r="A216" s="35"/>
      <c r="B216" s="39" t="str">
        <f>IF(A216="","",IFERROR(VLOOKUP(A216,Scénáře!$A$4:$B$503,2,FALSE()),"ID nenalezeno"))</f>
        <v/>
      </c>
      <c r="C216" s="36"/>
      <c r="D216" s="35"/>
      <c r="E216" s="35"/>
      <c r="F216" s="11"/>
      <c r="G216" s="11"/>
      <c r="H216" s="35"/>
      <c r="I216" s="36"/>
      <c r="J216" s="35"/>
    </row>
    <row r="217" spans="1:10" x14ac:dyDescent="0.2">
      <c r="A217" s="35"/>
      <c r="B217" s="39" t="str">
        <f>IF(A217="","",IFERROR(VLOOKUP(A217,Scénáře!$A$4:$B$503,2,FALSE()),"ID nenalezeno"))</f>
        <v/>
      </c>
      <c r="C217" s="36"/>
      <c r="D217" s="35"/>
      <c r="E217" s="35"/>
      <c r="F217" s="11"/>
      <c r="G217" s="11"/>
      <c r="H217" s="35"/>
      <c r="I217" s="36"/>
      <c r="J217" s="35"/>
    </row>
    <row r="218" spans="1:10" x14ac:dyDescent="0.2">
      <c r="A218" s="35"/>
      <c r="B218" s="39" t="str">
        <f>IF(A218="","",IFERROR(VLOOKUP(A218,Scénáře!$A$4:$B$503,2,FALSE()),"ID nenalezeno"))</f>
        <v/>
      </c>
      <c r="C218" s="36"/>
      <c r="D218" s="35"/>
      <c r="E218" s="35"/>
      <c r="F218" s="11"/>
      <c r="G218" s="11"/>
      <c r="H218" s="35"/>
      <c r="I218" s="36"/>
      <c r="J218" s="35"/>
    </row>
    <row r="219" spans="1:10" x14ac:dyDescent="0.2">
      <c r="A219" s="35"/>
      <c r="B219" s="39" t="str">
        <f>IF(A219="","",IFERROR(VLOOKUP(A219,Scénáře!$A$4:$B$503,2,FALSE()),"ID nenalezeno"))</f>
        <v/>
      </c>
      <c r="C219" s="36"/>
      <c r="D219" s="35"/>
      <c r="E219" s="35"/>
      <c r="F219" s="11"/>
      <c r="G219" s="11"/>
      <c r="H219" s="35"/>
      <c r="I219" s="36"/>
      <c r="J219" s="35"/>
    </row>
    <row r="220" spans="1:10" x14ac:dyDescent="0.2">
      <c r="A220" s="35"/>
      <c r="B220" s="39" t="str">
        <f>IF(A220="","",IFERROR(VLOOKUP(A220,Scénáře!$A$4:$B$503,2,FALSE()),"ID nenalezeno"))</f>
        <v/>
      </c>
      <c r="C220" s="36"/>
      <c r="D220" s="35"/>
      <c r="E220" s="35"/>
      <c r="F220" s="11"/>
      <c r="G220" s="11"/>
      <c r="H220" s="35"/>
      <c r="I220" s="36"/>
      <c r="J220" s="35"/>
    </row>
    <row r="221" spans="1:10" x14ac:dyDescent="0.2">
      <c r="A221" s="35"/>
      <c r="B221" s="39" t="str">
        <f>IF(A221="","",IFERROR(VLOOKUP(A221,Scénáře!$A$4:$B$503,2,FALSE()),"ID nenalezeno"))</f>
        <v/>
      </c>
      <c r="C221" s="36"/>
      <c r="D221" s="35"/>
      <c r="E221" s="35"/>
      <c r="F221" s="11"/>
      <c r="G221" s="11"/>
      <c r="H221" s="35"/>
      <c r="I221" s="36"/>
      <c r="J221" s="35"/>
    </row>
    <row r="222" spans="1:10" x14ac:dyDescent="0.2">
      <c r="A222" s="35"/>
      <c r="B222" s="39" t="str">
        <f>IF(A222="","",IFERROR(VLOOKUP(A222,Scénáře!$A$4:$B$503,2,FALSE()),"ID nenalezeno"))</f>
        <v/>
      </c>
      <c r="C222" s="36"/>
      <c r="D222" s="35"/>
      <c r="E222" s="35"/>
      <c r="F222" s="11"/>
      <c r="G222" s="11"/>
      <c r="H222" s="35"/>
      <c r="I222" s="36"/>
      <c r="J222" s="35"/>
    </row>
    <row r="223" spans="1:10" x14ac:dyDescent="0.2">
      <c r="A223" s="35"/>
      <c r="B223" s="39" t="str">
        <f>IF(A223="","",IFERROR(VLOOKUP(A223,Scénáře!$A$4:$B$503,2,FALSE()),"ID nenalezeno"))</f>
        <v/>
      </c>
      <c r="C223" s="36"/>
      <c r="D223" s="35"/>
      <c r="E223" s="35"/>
      <c r="F223" s="11"/>
      <c r="G223" s="11"/>
      <c r="H223" s="35"/>
      <c r="I223" s="36"/>
      <c r="J223" s="35"/>
    </row>
    <row r="224" spans="1:10" x14ac:dyDescent="0.2">
      <c r="A224" s="35"/>
      <c r="B224" s="39" t="str">
        <f>IF(A224="","",IFERROR(VLOOKUP(A224,Scénáře!$A$4:$B$503,2,FALSE()),"ID nenalezeno"))</f>
        <v/>
      </c>
      <c r="C224" s="36"/>
      <c r="D224" s="35"/>
      <c r="E224" s="35"/>
      <c r="F224" s="11"/>
      <c r="G224" s="11"/>
      <c r="H224" s="35"/>
      <c r="I224" s="36"/>
      <c r="J224" s="35"/>
    </row>
    <row r="225" spans="1:10" x14ac:dyDescent="0.2">
      <c r="A225" s="35"/>
      <c r="B225" s="39" t="str">
        <f>IF(A225="","",IFERROR(VLOOKUP(A225,Scénáře!$A$4:$B$503,2,FALSE()),"ID nenalezeno"))</f>
        <v/>
      </c>
      <c r="C225" s="36"/>
      <c r="D225" s="35"/>
      <c r="E225" s="35"/>
      <c r="F225" s="11"/>
      <c r="G225" s="11"/>
      <c r="H225" s="35"/>
      <c r="I225" s="36"/>
      <c r="J225" s="35"/>
    </row>
    <row r="226" spans="1:10" x14ac:dyDescent="0.2">
      <c r="A226" s="35"/>
      <c r="B226" s="39" t="str">
        <f>IF(A226="","",IFERROR(VLOOKUP(A226,Scénáře!$A$4:$B$503,2,FALSE()),"ID nenalezeno"))</f>
        <v/>
      </c>
      <c r="C226" s="36"/>
      <c r="D226" s="35"/>
      <c r="E226" s="35"/>
      <c r="F226" s="11"/>
      <c r="G226" s="11"/>
      <c r="H226" s="35"/>
      <c r="I226" s="36"/>
      <c r="J226" s="35"/>
    </row>
    <row r="227" spans="1:10" x14ac:dyDescent="0.2">
      <c r="A227" s="35"/>
      <c r="B227" s="39" t="str">
        <f>IF(A227="","",IFERROR(VLOOKUP(A227,Scénáře!$A$4:$B$503,2,FALSE()),"ID nenalezeno"))</f>
        <v/>
      </c>
      <c r="C227" s="36"/>
      <c r="D227" s="35"/>
      <c r="E227" s="35"/>
      <c r="F227" s="11"/>
      <c r="G227" s="11"/>
      <c r="H227" s="35"/>
      <c r="I227" s="36"/>
      <c r="J227" s="35"/>
    </row>
    <row r="228" spans="1:10" x14ac:dyDescent="0.2">
      <c r="A228" s="35"/>
      <c r="B228" s="39" t="str">
        <f>IF(A228="","",IFERROR(VLOOKUP(A228,Scénáře!$A$4:$B$503,2,FALSE()),"ID nenalezeno"))</f>
        <v/>
      </c>
      <c r="C228" s="36"/>
      <c r="D228" s="35"/>
      <c r="E228" s="35"/>
      <c r="F228" s="11"/>
      <c r="G228" s="11"/>
      <c r="H228" s="35"/>
      <c r="I228" s="36"/>
      <c r="J228" s="35"/>
    </row>
    <row r="229" spans="1:10" x14ac:dyDescent="0.2">
      <c r="A229" s="35"/>
      <c r="B229" s="39" t="str">
        <f>IF(A229="","",IFERROR(VLOOKUP(A229,Scénáře!$A$4:$B$503,2,FALSE()),"ID nenalezeno"))</f>
        <v/>
      </c>
      <c r="C229" s="36"/>
      <c r="D229" s="35"/>
      <c r="E229" s="35"/>
      <c r="F229" s="11"/>
      <c r="G229" s="11"/>
      <c r="H229" s="35"/>
      <c r="I229" s="36"/>
      <c r="J229" s="35"/>
    </row>
    <row r="230" spans="1:10" x14ac:dyDescent="0.2">
      <c r="A230" s="35"/>
      <c r="B230" s="39" t="str">
        <f>IF(A230="","",IFERROR(VLOOKUP(A230,Scénáře!$A$4:$B$503,2,FALSE()),"ID nenalezeno"))</f>
        <v/>
      </c>
      <c r="C230" s="36"/>
      <c r="D230" s="35"/>
      <c r="E230" s="35"/>
      <c r="F230" s="11"/>
      <c r="G230" s="11"/>
      <c r="H230" s="35"/>
      <c r="I230" s="36"/>
      <c r="J230" s="35"/>
    </row>
    <row r="231" spans="1:10" x14ac:dyDescent="0.2">
      <c r="A231" s="35"/>
      <c r="B231" s="39" t="str">
        <f>IF(A231="","",IFERROR(VLOOKUP(A231,Scénáře!$A$4:$B$503,2,FALSE()),"ID nenalezeno"))</f>
        <v/>
      </c>
      <c r="C231" s="36"/>
      <c r="D231" s="35"/>
      <c r="E231" s="35"/>
      <c r="F231" s="11"/>
      <c r="G231" s="11"/>
      <c r="H231" s="35"/>
      <c r="I231" s="36"/>
      <c r="J231" s="35"/>
    </row>
    <row r="232" spans="1:10" x14ac:dyDescent="0.2">
      <c r="A232" s="35"/>
      <c r="B232" s="39" t="str">
        <f>IF(A232="","",IFERROR(VLOOKUP(A232,Scénáře!$A$4:$B$503,2,FALSE()),"ID nenalezeno"))</f>
        <v/>
      </c>
      <c r="C232" s="36"/>
      <c r="D232" s="35"/>
      <c r="E232" s="35"/>
      <c r="F232" s="11"/>
      <c r="G232" s="11"/>
      <c r="H232" s="35"/>
      <c r="I232" s="36"/>
      <c r="J232" s="35"/>
    </row>
    <row r="233" spans="1:10" x14ac:dyDescent="0.2">
      <c r="A233" s="35"/>
      <c r="B233" s="39" t="str">
        <f>IF(A233="","",IFERROR(VLOOKUP(A233,Scénáře!$A$4:$B$503,2,FALSE()),"ID nenalezeno"))</f>
        <v/>
      </c>
      <c r="C233" s="36"/>
      <c r="D233" s="35"/>
      <c r="E233" s="35"/>
      <c r="F233" s="11"/>
      <c r="G233" s="11"/>
      <c r="H233" s="35"/>
      <c r="I233" s="36"/>
      <c r="J233" s="35"/>
    </row>
    <row r="234" spans="1:10" x14ac:dyDescent="0.2">
      <c r="A234" s="35"/>
      <c r="B234" s="39" t="str">
        <f>IF(A234="","",IFERROR(VLOOKUP(A234,Scénáře!$A$4:$B$503,2,FALSE()),"ID nenalezeno"))</f>
        <v/>
      </c>
      <c r="C234" s="36"/>
      <c r="D234" s="35"/>
      <c r="E234" s="35"/>
      <c r="F234" s="11"/>
      <c r="G234" s="11"/>
      <c r="H234" s="35"/>
      <c r="I234" s="36"/>
      <c r="J234" s="35"/>
    </row>
    <row r="235" spans="1:10" x14ac:dyDescent="0.2">
      <c r="A235" s="35"/>
      <c r="B235" s="39" t="str">
        <f>IF(A235="","",IFERROR(VLOOKUP(A235,Scénáře!$A$4:$B$503,2,FALSE()),"ID nenalezeno"))</f>
        <v/>
      </c>
      <c r="C235" s="36"/>
      <c r="D235" s="35"/>
      <c r="E235" s="35"/>
      <c r="F235" s="11"/>
      <c r="G235" s="11"/>
      <c r="H235" s="35"/>
      <c r="I235" s="36"/>
      <c r="J235" s="35"/>
    </row>
    <row r="236" spans="1:10" x14ac:dyDescent="0.2">
      <c r="A236" s="35"/>
      <c r="B236" s="39" t="str">
        <f>IF(A236="","",IFERROR(VLOOKUP(A236,Scénáře!$A$4:$B$503,2,FALSE()),"ID nenalezeno"))</f>
        <v/>
      </c>
      <c r="C236" s="36"/>
      <c r="D236" s="35"/>
      <c r="E236" s="35"/>
      <c r="F236" s="11"/>
      <c r="G236" s="11"/>
      <c r="H236" s="35"/>
      <c r="I236" s="36"/>
      <c r="J236" s="35"/>
    </row>
    <row r="237" spans="1:10" x14ac:dyDescent="0.2">
      <c r="A237" s="35"/>
      <c r="B237" s="39" t="str">
        <f>IF(A237="","",IFERROR(VLOOKUP(A237,Scénáře!$A$4:$B$503,2,FALSE()),"ID nenalezeno"))</f>
        <v/>
      </c>
      <c r="C237" s="36"/>
      <c r="D237" s="35"/>
      <c r="E237" s="35"/>
      <c r="F237" s="11"/>
      <c r="G237" s="11"/>
      <c r="H237" s="35"/>
      <c r="I237" s="36"/>
      <c r="J237" s="35"/>
    </row>
    <row r="238" spans="1:10" x14ac:dyDescent="0.2">
      <c r="A238" s="35"/>
      <c r="B238" s="39" t="str">
        <f>IF(A238="","",IFERROR(VLOOKUP(A238,Scénáře!$A$4:$B$503,2,FALSE()),"ID nenalezeno"))</f>
        <v/>
      </c>
      <c r="C238" s="36"/>
      <c r="D238" s="35"/>
      <c r="E238" s="35"/>
      <c r="F238" s="11"/>
      <c r="G238" s="11"/>
      <c r="H238" s="35"/>
      <c r="I238" s="36"/>
      <c r="J238" s="35"/>
    </row>
    <row r="239" spans="1:10" x14ac:dyDescent="0.2">
      <c r="A239" s="35"/>
      <c r="B239" s="39" t="str">
        <f>IF(A239="","",IFERROR(VLOOKUP(A239,Scénáře!$A$4:$B$503,2,FALSE()),"ID nenalezeno"))</f>
        <v/>
      </c>
      <c r="C239" s="36"/>
      <c r="D239" s="35"/>
      <c r="E239" s="35"/>
      <c r="F239" s="11"/>
      <c r="G239" s="11"/>
      <c r="H239" s="35"/>
      <c r="I239" s="36"/>
      <c r="J239" s="35"/>
    </row>
    <row r="240" spans="1:10" x14ac:dyDescent="0.2">
      <c r="A240" s="35"/>
      <c r="B240" s="39" t="str">
        <f>IF(A240="","",IFERROR(VLOOKUP(A240,Scénáře!$A$4:$B$503,2,FALSE()),"ID nenalezeno"))</f>
        <v/>
      </c>
      <c r="C240" s="36"/>
      <c r="D240" s="35"/>
      <c r="E240" s="35"/>
      <c r="F240" s="11"/>
      <c r="G240" s="11"/>
      <c r="H240" s="35"/>
      <c r="I240" s="36"/>
      <c r="J240" s="35"/>
    </row>
    <row r="241" spans="1:10" x14ac:dyDescent="0.2">
      <c r="A241" s="35"/>
      <c r="B241" s="39" t="str">
        <f>IF(A241="","",IFERROR(VLOOKUP(A241,Scénáře!$A$4:$B$503,2,FALSE()),"ID nenalezeno"))</f>
        <v/>
      </c>
      <c r="C241" s="36"/>
      <c r="D241" s="35"/>
      <c r="E241" s="35"/>
      <c r="F241" s="11"/>
      <c r="G241" s="11"/>
      <c r="H241" s="35"/>
      <c r="I241" s="36"/>
      <c r="J241" s="35"/>
    </row>
    <row r="242" spans="1:10" x14ac:dyDescent="0.2">
      <c r="A242" s="35"/>
      <c r="B242" s="39" t="str">
        <f>IF(A242="","",IFERROR(VLOOKUP(A242,Scénáře!$A$4:$B$503,2,FALSE()),"ID nenalezeno"))</f>
        <v/>
      </c>
      <c r="C242" s="36"/>
      <c r="D242" s="35"/>
      <c r="E242" s="35"/>
      <c r="F242" s="11"/>
      <c r="G242" s="11"/>
      <c r="H242" s="35"/>
      <c r="I242" s="36"/>
      <c r="J242" s="35"/>
    </row>
    <row r="243" spans="1:10" x14ac:dyDescent="0.2">
      <c r="A243" s="35"/>
      <c r="B243" s="39" t="str">
        <f>IF(A243="","",IFERROR(VLOOKUP(A243,Scénáře!$A$4:$B$503,2,FALSE()),"ID nenalezeno"))</f>
        <v/>
      </c>
      <c r="C243" s="36"/>
      <c r="D243" s="35"/>
      <c r="E243" s="35"/>
      <c r="F243" s="11"/>
      <c r="G243" s="11"/>
      <c r="H243" s="35"/>
      <c r="I243" s="36"/>
      <c r="J243" s="35"/>
    </row>
    <row r="244" spans="1:10" x14ac:dyDescent="0.2">
      <c r="A244" s="35"/>
      <c r="B244" s="39" t="str">
        <f>IF(A244="","",IFERROR(VLOOKUP(A244,Scénáře!$A$4:$B$503,2,FALSE()),"ID nenalezeno"))</f>
        <v/>
      </c>
      <c r="C244" s="36"/>
      <c r="D244" s="35"/>
      <c r="E244" s="35"/>
      <c r="F244" s="11"/>
      <c r="G244" s="11"/>
      <c r="H244" s="35"/>
      <c r="I244" s="36"/>
      <c r="J244" s="35"/>
    </row>
    <row r="245" spans="1:10" x14ac:dyDescent="0.2">
      <c r="A245" s="35"/>
      <c r="B245" s="39" t="str">
        <f>IF(A245="","",IFERROR(VLOOKUP(A245,Scénáře!$A$4:$B$503,2,FALSE()),"ID nenalezeno"))</f>
        <v/>
      </c>
      <c r="C245" s="36"/>
      <c r="D245" s="35"/>
      <c r="E245" s="35"/>
      <c r="F245" s="11"/>
      <c r="G245" s="11"/>
      <c r="H245" s="35"/>
      <c r="I245" s="36"/>
      <c r="J245" s="35"/>
    </row>
    <row r="246" spans="1:10" x14ac:dyDescent="0.2">
      <c r="A246" s="35"/>
      <c r="B246" s="39" t="str">
        <f>IF(A246="","",IFERROR(VLOOKUP(A246,Scénáře!$A$4:$B$503,2,FALSE()),"ID nenalezeno"))</f>
        <v/>
      </c>
      <c r="C246" s="36"/>
      <c r="D246" s="35"/>
      <c r="E246" s="35"/>
      <c r="F246" s="11"/>
      <c r="G246" s="11"/>
      <c r="H246" s="35"/>
      <c r="I246" s="36"/>
      <c r="J246" s="35"/>
    </row>
    <row r="247" spans="1:10" x14ac:dyDescent="0.2">
      <c r="A247" s="35"/>
      <c r="B247" s="39" t="str">
        <f>IF(A247="","",IFERROR(VLOOKUP(A247,Scénáře!$A$4:$B$503,2,FALSE()),"ID nenalezeno"))</f>
        <v/>
      </c>
      <c r="C247" s="36"/>
      <c r="D247" s="35"/>
      <c r="E247" s="35"/>
      <c r="F247" s="11"/>
      <c r="G247" s="11"/>
      <c r="H247" s="35"/>
      <c r="I247" s="36"/>
      <c r="J247" s="35"/>
    </row>
    <row r="248" spans="1:10" x14ac:dyDescent="0.2">
      <c r="A248" s="35"/>
      <c r="B248" s="39" t="str">
        <f>IF(A248="","",IFERROR(VLOOKUP(A248,Scénáře!$A$4:$B$503,2,FALSE()),"ID nenalezeno"))</f>
        <v/>
      </c>
      <c r="C248" s="36"/>
      <c r="D248" s="35"/>
      <c r="E248" s="35"/>
      <c r="F248" s="11"/>
      <c r="G248" s="11"/>
      <c r="H248" s="35"/>
      <c r="I248" s="36"/>
      <c r="J248" s="35"/>
    </row>
    <row r="249" spans="1:10" x14ac:dyDescent="0.2">
      <c r="A249" s="35"/>
      <c r="B249" s="39" t="str">
        <f>IF(A249="","",IFERROR(VLOOKUP(A249,Scénáře!$A$4:$B$503,2,FALSE()),"ID nenalezeno"))</f>
        <v/>
      </c>
      <c r="C249" s="36"/>
      <c r="D249" s="35"/>
      <c r="E249" s="35"/>
      <c r="F249" s="11"/>
      <c r="G249" s="11"/>
      <c r="H249" s="35"/>
      <c r="I249" s="36"/>
      <c r="J249" s="35"/>
    </row>
    <row r="250" spans="1:10" x14ac:dyDescent="0.2">
      <c r="A250" s="35"/>
      <c r="B250" s="39" t="str">
        <f>IF(A250="","",IFERROR(VLOOKUP(A250,Scénáře!$A$4:$B$503,2,FALSE()),"ID nenalezeno"))</f>
        <v/>
      </c>
      <c r="C250" s="36"/>
      <c r="D250" s="35"/>
      <c r="E250" s="35"/>
      <c r="F250" s="11"/>
      <c r="G250" s="11"/>
      <c r="H250" s="35"/>
      <c r="I250" s="36"/>
      <c r="J250" s="35"/>
    </row>
    <row r="251" spans="1:10" x14ac:dyDescent="0.2">
      <c r="A251" s="35"/>
      <c r="B251" s="39" t="str">
        <f>IF(A251="","",IFERROR(VLOOKUP(A251,Scénáře!$A$4:$B$503,2,FALSE()),"ID nenalezeno"))</f>
        <v/>
      </c>
      <c r="C251" s="36"/>
      <c r="D251" s="35"/>
      <c r="E251" s="35"/>
      <c r="F251" s="11"/>
      <c r="G251" s="11"/>
      <c r="H251" s="35"/>
      <c r="I251" s="36"/>
      <c r="J251" s="35"/>
    </row>
    <row r="252" spans="1:10" x14ac:dyDescent="0.2">
      <c r="A252" s="35"/>
      <c r="B252" s="39" t="str">
        <f>IF(A252="","",IFERROR(VLOOKUP(A252,Scénáře!$A$4:$B$503,2,FALSE()),"ID nenalezeno"))</f>
        <v/>
      </c>
      <c r="C252" s="36"/>
      <c r="D252" s="35"/>
      <c r="E252" s="35"/>
      <c r="F252" s="11"/>
      <c r="G252" s="11"/>
      <c r="H252" s="35"/>
      <c r="I252" s="36"/>
      <c r="J252" s="35"/>
    </row>
    <row r="253" spans="1:10" x14ac:dyDescent="0.2">
      <c r="A253" s="35"/>
      <c r="B253" s="39" t="str">
        <f>IF(A253="","",IFERROR(VLOOKUP(A253,Scénáře!$A$4:$B$503,2,FALSE()),"ID nenalezeno"))</f>
        <v/>
      </c>
      <c r="C253" s="36"/>
      <c r="D253" s="35"/>
      <c r="E253" s="35"/>
      <c r="F253" s="11"/>
      <c r="G253" s="11"/>
      <c r="H253" s="35"/>
      <c r="I253" s="36"/>
      <c r="J253" s="35"/>
    </row>
    <row r="254" spans="1:10" x14ac:dyDescent="0.2">
      <c r="A254" s="35"/>
      <c r="B254" s="39" t="str">
        <f>IF(A254="","",IFERROR(VLOOKUP(A254,Scénáře!$A$4:$B$503,2,FALSE()),"ID nenalezeno"))</f>
        <v/>
      </c>
      <c r="C254" s="36"/>
      <c r="D254" s="35"/>
      <c r="E254" s="35"/>
      <c r="F254" s="11"/>
      <c r="G254" s="11"/>
      <c r="H254" s="35"/>
      <c r="I254" s="36"/>
      <c r="J254" s="35"/>
    </row>
    <row r="255" spans="1:10" x14ac:dyDescent="0.2">
      <c r="A255" s="35"/>
      <c r="B255" s="39" t="str">
        <f>IF(A255="","",IFERROR(VLOOKUP(A255,Scénáře!$A$4:$B$503,2,FALSE()),"ID nenalezeno"))</f>
        <v/>
      </c>
      <c r="C255" s="36"/>
      <c r="D255" s="35"/>
      <c r="E255" s="35"/>
      <c r="F255" s="11"/>
      <c r="G255" s="11"/>
      <c r="H255" s="35"/>
      <c r="I255" s="36"/>
      <c r="J255" s="35"/>
    </row>
    <row r="256" spans="1:10" x14ac:dyDescent="0.2">
      <c r="A256" s="35"/>
      <c r="B256" s="39" t="str">
        <f>IF(A256="","",IFERROR(VLOOKUP(A256,Scénáře!$A$4:$B$503,2,FALSE()),"ID nenalezeno"))</f>
        <v/>
      </c>
      <c r="C256" s="36"/>
      <c r="D256" s="35"/>
      <c r="E256" s="35"/>
      <c r="F256" s="11"/>
      <c r="G256" s="11"/>
      <c r="H256" s="35"/>
      <c r="I256" s="36"/>
      <c r="J256" s="35"/>
    </row>
    <row r="257" spans="1:10" x14ac:dyDescent="0.2">
      <c r="A257" s="35"/>
      <c r="B257" s="39" t="str">
        <f>IF(A257="","",IFERROR(VLOOKUP(A257,Scénáře!$A$4:$B$503,2,FALSE()),"ID nenalezeno"))</f>
        <v/>
      </c>
      <c r="C257" s="36"/>
      <c r="D257" s="35"/>
      <c r="E257" s="35"/>
      <c r="F257" s="11"/>
      <c r="G257" s="11"/>
      <c r="H257" s="35"/>
      <c r="I257" s="36"/>
      <c r="J257" s="35"/>
    </row>
    <row r="258" spans="1:10" x14ac:dyDescent="0.2">
      <c r="A258" s="35"/>
      <c r="B258" s="39" t="str">
        <f>IF(A258="","",IFERROR(VLOOKUP(A258,Scénáře!$A$4:$B$503,2,FALSE()),"ID nenalezeno"))</f>
        <v/>
      </c>
      <c r="C258" s="36"/>
      <c r="D258" s="35"/>
      <c r="E258" s="35"/>
      <c r="F258" s="11"/>
      <c r="G258" s="11"/>
      <c r="H258" s="35"/>
      <c r="I258" s="36"/>
      <c r="J258" s="35"/>
    </row>
    <row r="259" spans="1:10" x14ac:dyDescent="0.2">
      <c r="A259" s="35"/>
      <c r="B259" s="39" t="str">
        <f>IF(A259="","",IFERROR(VLOOKUP(A259,Scénáře!$A$4:$B$503,2,FALSE()),"ID nenalezeno"))</f>
        <v/>
      </c>
      <c r="C259" s="36"/>
      <c r="D259" s="35"/>
      <c r="E259" s="35"/>
      <c r="F259" s="11"/>
      <c r="G259" s="11"/>
      <c r="H259" s="35"/>
      <c r="I259" s="36"/>
      <c r="J259" s="35"/>
    </row>
    <row r="260" spans="1:10" x14ac:dyDescent="0.2">
      <c r="A260" s="35"/>
      <c r="B260" s="39" t="str">
        <f>IF(A260="","",IFERROR(VLOOKUP(A260,Scénáře!$A$4:$B$503,2,FALSE()),"ID nenalezeno"))</f>
        <v/>
      </c>
      <c r="C260" s="36"/>
      <c r="D260" s="35"/>
      <c r="E260" s="35"/>
      <c r="F260" s="11"/>
      <c r="G260" s="11"/>
      <c r="H260" s="35"/>
      <c r="I260" s="36"/>
      <c r="J260" s="35"/>
    </row>
    <row r="261" spans="1:10" x14ac:dyDescent="0.2">
      <c r="A261" s="35"/>
      <c r="B261" s="39" t="str">
        <f>IF(A261="","",IFERROR(VLOOKUP(A261,Scénáře!$A$4:$B$503,2,FALSE()),"ID nenalezeno"))</f>
        <v/>
      </c>
      <c r="C261" s="36"/>
      <c r="D261" s="35"/>
      <c r="E261" s="35"/>
      <c r="F261" s="11"/>
      <c r="G261" s="11"/>
      <c r="H261" s="35"/>
      <c r="I261" s="36"/>
      <c r="J261" s="35"/>
    </row>
    <row r="262" spans="1:10" x14ac:dyDescent="0.2">
      <c r="A262" s="35"/>
      <c r="B262" s="39" t="str">
        <f>IF(A262="","",IFERROR(VLOOKUP(A262,Scénáře!$A$4:$B$503,2,FALSE()),"ID nenalezeno"))</f>
        <v/>
      </c>
      <c r="C262" s="36"/>
      <c r="D262" s="35"/>
      <c r="E262" s="35"/>
      <c r="F262" s="11"/>
      <c r="G262" s="11"/>
      <c r="H262" s="35"/>
      <c r="I262" s="36"/>
      <c r="J262" s="35"/>
    </row>
    <row r="263" spans="1:10" x14ac:dyDescent="0.2">
      <c r="A263" s="35"/>
      <c r="B263" s="39" t="str">
        <f>IF(A263="","",IFERROR(VLOOKUP(A263,Scénáře!$A$4:$B$503,2,FALSE()),"ID nenalezeno"))</f>
        <v/>
      </c>
      <c r="C263" s="36"/>
      <c r="D263" s="35"/>
      <c r="E263" s="35"/>
      <c r="F263" s="11"/>
      <c r="G263" s="11"/>
      <c r="H263" s="35"/>
      <c r="I263" s="36"/>
      <c r="J263" s="35"/>
    </row>
    <row r="264" spans="1:10" x14ac:dyDescent="0.2">
      <c r="A264" s="35"/>
      <c r="B264" s="39" t="str">
        <f>IF(A264="","",IFERROR(VLOOKUP(A264,Scénáře!$A$4:$B$503,2,FALSE()),"ID nenalezeno"))</f>
        <v/>
      </c>
      <c r="C264" s="36"/>
      <c r="D264" s="35"/>
      <c r="E264" s="35"/>
      <c r="F264" s="11"/>
      <c r="G264" s="11"/>
      <c r="H264" s="35"/>
      <c r="I264" s="36"/>
      <c r="J264" s="35"/>
    </row>
    <row r="265" spans="1:10" x14ac:dyDescent="0.2">
      <c r="A265" s="35"/>
      <c r="B265" s="39" t="str">
        <f>IF(A265="","",IFERROR(VLOOKUP(A265,Scénáře!$A$4:$B$503,2,FALSE()),"ID nenalezeno"))</f>
        <v/>
      </c>
      <c r="C265" s="36"/>
      <c r="D265" s="35"/>
      <c r="E265" s="35"/>
      <c r="F265" s="11"/>
      <c r="G265" s="11"/>
      <c r="H265" s="35"/>
      <c r="I265" s="36"/>
      <c r="J265" s="35"/>
    </row>
    <row r="266" spans="1:10" x14ac:dyDescent="0.2">
      <c r="A266" s="35"/>
      <c r="B266" s="39" t="str">
        <f>IF(A266="","",IFERROR(VLOOKUP(A266,Scénáře!$A$4:$B$503,2,FALSE()),"ID nenalezeno"))</f>
        <v/>
      </c>
      <c r="C266" s="36"/>
      <c r="D266" s="35"/>
      <c r="E266" s="35"/>
      <c r="F266" s="11"/>
      <c r="G266" s="11"/>
      <c r="H266" s="35"/>
      <c r="I266" s="36"/>
      <c r="J266" s="35"/>
    </row>
    <row r="267" spans="1:10" x14ac:dyDescent="0.2">
      <c r="A267" s="35"/>
      <c r="B267" s="39" t="str">
        <f>IF(A267="","",IFERROR(VLOOKUP(A267,Scénáře!$A$4:$B$503,2,FALSE()),"ID nenalezeno"))</f>
        <v/>
      </c>
      <c r="C267" s="36"/>
      <c r="D267" s="35"/>
      <c r="E267" s="35"/>
      <c r="F267" s="11"/>
      <c r="G267" s="11"/>
      <c r="H267" s="35"/>
      <c r="I267" s="36"/>
      <c r="J267" s="35"/>
    </row>
    <row r="268" spans="1:10" x14ac:dyDescent="0.2">
      <c r="A268" s="35"/>
      <c r="B268" s="39" t="str">
        <f>IF(A268="","",IFERROR(VLOOKUP(A268,Scénáře!$A$4:$B$503,2,FALSE()),"ID nenalezeno"))</f>
        <v/>
      </c>
      <c r="C268" s="36"/>
      <c r="D268" s="35"/>
      <c r="E268" s="35"/>
      <c r="F268" s="11"/>
      <c r="G268" s="11"/>
      <c r="H268" s="35"/>
      <c r="I268" s="36"/>
      <c r="J268" s="35"/>
    </row>
    <row r="269" spans="1:10" x14ac:dyDescent="0.2">
      <c r="A269" s="35"/>
      <c r="B269" s="39" t="str">
        <f>IF(A269="","",IFERROR(VLOOKUP(A269,Scénáře!$A$4:$B$503,2,FALSE()),"ID nenalezeno"))</f>
        <v/>
      </c>
      <c r="C269" s="36"/>
      <c r="D269" s="35"/>
      <c r="E269" s="35"/>
      <c r="F269" s="11"/>
      <c r="G269" s="11"/>
      <c r="H269" s="35"/>
      <c r="I269" s="36"/>
      <c r="J269" s="35"/>
    </row>
    <row r="270" spans="1:10" x14ac:dyDescent="0.2">
      <c r="A270" s="35"/>
      <c r="B270" s="39" t="str">
        <f>IF(A270="","",IFERROR(VLOOKUP(A270,Scénáře!$A$4:$B$503,2,FALSE()),"ID nenalezeno"))</f>
        <v/>
      </c>
      <c r="C270" s="36"/>
      <c r="D270" s="35"/>
      <c r="E270" s="35"/>
      <c r="F270" s="11"/>
      <c r="G270" s="11"/>
      <c r="H270" s="35"/>
      <c r="I270" s="36"/>
      <c r="J270" s="35"/>
    </row>
    <row r="271" spans="1:10" x14ac:dyDescent="0.2">
      <c r="A271" s="35"/>
      <c r="B271" s="39" t="str">
        <f>IF(A271="","",IFERROR(VLOOKUP(A271,Scénáře!$A$4:$B$503,2,FALSE()),"ID nenalezeno"))</f>
        <v/>
      </c>
      <c r="C271" s="36"/>
      <c r="D271" s="35"/>
      <c r="E271" s="35"/>
      <c r="F271" s="11"/>
      <c r="G271" s="11"/>
      <c r="H271" s="35"/>
      <c r="I271" s="36"/>
      <c r="J271" s="35"/>
    </row>
    <row r="272" spans="1:10" x14ac:dyDescent="0.2">
      <c r="A272" s="35"/>
      <c r="B272" s="39" t="str">
        <f>IF(A272="","",IFERROR(VLOOKUP(A272,Scénáře!$A$4:$B$503,2,FALSE()),"ID nenalezeno"))</f>
        <v/>
      </c>
      <c r="C272" s="36"/>
      <c r="D272" s="35"/>
      <c r="E272" s="35"/>
      <c r="F272" s="11"/>
      <c r="G272" s="11"/>
      <c r="H272" s="35"/>
      <c r="I272" s="36"/>
      <c r="J272" s="35"/>
    </row>
    <row r="273" spans="1:10" x14ac:dyDescent="0.2">
      <c r="A273" s="35"/>
      <c r="B273" s="39" t="str">
        <f>IF(A273="","",IFERROR(VLOOKUP(A273,Scénáře!$A$4:$B$503,2,FALSE()),"ID nenalezeno"))</f>
        <v/>
      </c>
      <c r="C273" s="36"/>
      <c r="D273" s="35"/>
      <c r="E273" s="35"/>
      <c r="F273" s="11"/>
      <c r="G273" s="11"/>
      <c r="H273" s="35"/>
      <c r="I273" s="36"/>
      <c r="J273" s="35"/>
    </row>
    <row r="274" spans="1:10" x14ac:dyDescent="0.2">
      <c r="A274" s="35"/>
      <c r="B274" s="39" t="str">
        <f>IF(A274="","",IFERROR(VLOOKUP(A274,Scénáře!$A$4:$B$503,2,FALSE()),"ID nenalezeno"))</f>
        <v/>
      </c>
      <c r="C274" s="36"/>
      <c r="D274" s="35"/>
      <c r="E274" s="35"/>
      <c r="F274" s="11"/>
      <c r="G274" s="11"/>
      <c r="H274" s="35"/>
      <c r="I274" s="36"/>
      <c r="J274" s="35"/>
    </row>
    <row r="275" spans="1:10" x14ac:dyDescent="0.2">
      <c r="A275" s="35"/>
      <c r="B275" s="39" t="str">
        <f>IF(A275="","",IFERROR(VLOOKUP(A275,Scénáře!$A$4:$B$503,2,FALSE()),"ID nenalezeno"))</f>
        <v/>
      </c>
      <c r="C275" s="36"/>
      <c r="D275" s="35"/>
      <c r="E275" s="35"/>
      <c r="F275" s="11"/>
      <c r="G275" s="11"/>
      <c r="H275" s="35"/>
      <c r="I275" s="36"/>
      <c r="J275" s="35"/>
    </row>
    <row r="276" spans="1:10" x14ac:dyDescent="0.2">
      <c r="A276" s="35"/>
      <c r="B276" s="39" t="str">
        <f>IF(A276="","",IFERROR(VLOOKUP(A276,Scénáře!$A$4:$B$503,2,FALSE()),"ID nenalezeno"))</f>
        <v/>
      </c>
      <c r="C276" s="36"/>
      <c r="D276" s="35"/>
      <c r="E276" s="35"/>
      <c r="F276" s="11"/>
      <c r="G276" s="11"/>
      <c r="H276" s="35"/>
      <c r="I276" s="36"/>
      <c r="J276" s="35"/>
    </row>
    <row r="277" spans="1:10" x14ac:dyDescent="0.2">
      <c r="A277" s="35"/>
      <c r="B277" s="39" t="str">
        <f>IF(A277="","",IFERROR(VLOOKUP(A277,Scénáře!$A$4:$B$503,2,FALSE()),"ID nenalezeno"))</f>
        <v/>
      </c>
      <c r="C277" s="36"/>
      <c r="D277" s="35"/>
      <c r="E277" s="35"/>
      <c r="F277" s="11"/>
      <c r="G277" s="11"/>
      <c r="H277" s="35"/>
      <c r="I277" s="36"/>
      <c r="J277" s="35"/>
    </row>
    <row r="278" spans="1:10" x14ac:dyDescent="0.2">
      <c r="A278" s="35"/>
      <c r="B278" s="39" t="str">
        <f>IF(A278="","",IFERROR(VLOOKUP(A278,Scénáře!$A$4:$B$503,2,FALSE()),"ID nenalezeno"))</f>
        <v/>
      </c>
      <c r="C278" s="36"/>
      <c r="D278" s="35"/>
      <c r="E278" s="35"/>
      <c r="F278" s="11"/>
      <c r="G278" s="11"/>
      <c r="H278" s="35"/>
      <c r="I278" s="36"/>
      <c r="J278" s="35"/>
    </row>
    <row r="279" spans="1:10" x14ac:dyDescent="0.2">
      <c r="A279" s="35"/>
      <c r="B279" s="39" t="str">
        <f>IF(A279="","",IFERROR(VLOOKUP(A279,Scénáře!$A$4:$B$503,2,FALSE()),"ID nenalezeno"))</f>
        <v/>
      </c>
      <c r="C279" s="36"/>
      <c r="D279" s="35"/>
      <c r="E279" s="35"/>
      <c r="F279" s="11"/>
      <c r="G279" s="11"/>
      <c r="H279" s="35"/>
      <c r="I279" s="36"/>
      <c r="J279" s="35"/>
    </row>
    <row r="280" spans="1:10" x14ac:dyDescent="0.2">
      <c r="A280" s="35"/>
      <c r="B280" s="39" t="str">
        <f>IF(A280="","",IFERROR(VLOOKUP(A280,Scénáře!$A$4:$B$503,2,FALSE()),"ID nenalezeno"))</f>
        <v/>
      </c>
      <c r="C280" s="36"/>
      <c r="D280" s="35"/>
      <c r="E280" s="35"/>
      <c r="F280" s="11"/>
      <c r="G280" s="11"/>
      <c r="H280" s="35"/>
      <c r="I280" s="36"/>
      <c r="J280" s="35"/>
    </row>
    <row r="281" spans="1:10" x14ac:dyDescent="0.2">
      <c r="A281" s="35"/>
      <c r="B281" s="39" t="str">
        <f>IF(A281="","",IFERROR(VLOOKUP(A281,Scénáře!$A$4:$B$503,2,FALSE()),"ID nenalezeno"))</f>
        <v/>
      </c>
      <c r="C281" s="36"/>
      <c r="D281" s="35"/>
      <c r="E281" s="35"/>
      <c r="F281" s="11"/>
      <c r="G281" s="11"/>
      <c r="H281" s="35"/>
      <c r="I281" s="36"/>
      <c r="J281" s="35"/>
    </row>
    <row r="282" spans="1:10" x14ac:dyDescent="0.2">
      <c r="A282" s="35"/>
      <c r="B282" s="39" t="str">
        <f>IF(A282="","",IFERROR(VLOOKUP(A282,Scénáře!$A$4:$B$503,2,FALSE()),"ID nenalezeno"))</f>
        <v/>
      </c>
      <c r="C282" s="36"/>
      <c r="D282" s="35"/>
      <c r="E282" s="35"/>
      <c r="F282" s="11"/>
      <c r="G282" s="11"/>
      <c r="H282" s="35"/>
      <c r="I282" s="36"/>
      <c r="J282" s="35"/>
    </row>
    <row r="283" spans="1:10" x14ac:dyDescent="0.2">
      <c r="A283" s="35"/>
      <c r="B283" s="39" t="str">
        <f>IF(A283="","",IFERROR(VLOOKUP(A283,Scénáře!$A$4:$B$503,2,FALSE()),"ID nenalezeno"))</f>
        <v/>
      </c>
      <c r="C283" s="36"/>
      <c r="D283" s="35"/>
      <c r="E283" s="35"/>
      <c r="F283" s="11"/>
      <c r="G283" s="11"/>
      <c r="H283" s="35"/>
      <c r="I283" s="36"/>
      <c r="J283" s="35"/>
    </row>
    <row r="284" spans="1:10" x14ac:dyDescent="0.2">
      <c r="A284" s="35"/>
      <c r="B284" s="39" t="str">
        <f>IF(A284="","",IFERROR(VLOOKUP(A284,Scénáře!$A$4:$B$503,2,FALSE()),"ID nenalezeno"))</f>
        <v/>
      </c>
      <c r="C284" s="36"/>
      <c r="D284" s="35"/>
      <c r="E284" s="35"/>
      <c r="F284" s="11"/>
      <c r="G284" s="11"/>
      <c r="H284" s="35"/>
      <c r="I284" s="36"/>
      <c r="J284" s="35"/>
    </row>
    <row r="285" spans="1:10" x14ac:dyDescent="0.2">
      <c r="A285" s="35"/>
      <c r="B285" s="39" t="str">
        <f>IF(A285="","",IFERROR(VLOOKUP(A285,Scénáře!$A$4:$B$503,2,FALSE()),"ID nenalezeno"))</f>
        <v/>
      </c>
      <c r="C285" s="36"/>
      <c r="D285" s="35"/>
      <c r="E285" s="35"/>
      <c r="F285" s="11"/>
      <c r="G285" s="11"/>
      <c r="H285" s="35"/>
      <c r="I285" s="36"/>
      <c r="J285" s="35"/>
    </row>
    <row r="286" spans="1:10" x14ac:dyDescent="0.2">
      <c r="A286" s="35"/>
      <c r="B286" s="39" t="str">
        <f>IF(A286="","",IFERROR(VLOOKUP(A286,Scénáře!$A$4:$B$503,2,FALSE()),"ID nenalezeno"))</f>
        <v/>
      </c>
      <c r="C286" s="36"/>
      <c r="D286" s="35"/>
      <c r="E286" s="35"/>
      <c r="F286" s="11"/>
      <c r="G286" s="11"/>
      <c r="H286" s="35"/>
      <c r="I286" s="36"/>
      <c r="J286" s="35"/>
    </row>
    <row r="287" spans="1:10" x14ac:dyDescent="0.2">
      <c r="A287" s="35"/>
      <c r="B287" s="39" t="str">
        <f>IF(A287="","",IFERROR(VLOOKUP(A287,Scénáře!$A$4:$B$503,2,FALSE()),"ID nenalezeno"))</f>
        <v/>
      </c>
      <c r="C287" s="36"/>
      <c r="D287" s="35"/>
      <c r="E287" s="35"/>
      <c r="F287" s="11"/>
      <c r="G287" s="11"/>
      <c r="H287" s="35"/>
      <c r="I287" s="36"/>
      <c r="J287" s="35"/>
    </row>
    <row r="288" spans="1:10" x14ac:dyDescent="0.2">
      <c r="A288" s="35"/>
      <c r="B288" s="39" t="str">
        <f>IF(A288="","",IFERROR(VLOOKUP(A288,Scénáře!$A$4:$B$503,2,FALSE()),"ID nenalezeno"))</f>
        <v/>
      </c>
      <c r="C288" s="36"/>
      <c r="D288" s="35"/>
      <c r="E288" s="35"/>
      <c r="F288" s="11"/>
      <c r="G288" s="11"/>
      <c r="H288" s="35"/>
      <c r="I288" s="36"/>
      <c r="J288" s="35"/>
    </row>
    <row r="289" spans="1:10" x14ac:dyDescent="0.2">
      <c r="A289" s="35"/>
      <c r="B289" s="39" t="str">
        <f>IF(A289="","",IFERROR(VLOOKUP(A289,Scénáře!$A$4:$B$503,2,FALSE()),"ID nenalezeno"))</f>
        <v/>
      </c>
      <c r="C289" s="36"/>
      <c r="D289" s="35"/>
      <c r="E289" s="35"/>
      <c r="F289" s="11"/>
      <c r="G289" s="11"/>
      <c r="H289" s="35"/>
      <c r="I289" s="36"/>
      <c r="J289" s="35"/>
    </row>
    <row r="290" spans="1:10" x14ac:dyDescent="0.2">
      <c r="A290" s="35"/>
      <c r="B290" s="39" t="str">
        <f>IF(A290="","",IFERROR(VLOOKUP(A290,Scénáře!$A$4:$B$503,2,FALSE()),"ID nenalezeno"))</f>
        <v/>
      </c>
      <c r="C290" s="36"/>
      <c r="D290" s="35"/>
      <c r="E290" s="35"/>
      <c r="F290" s="11"/>
      <c r="G290" s="11"/>
      <c r="H290" s="35"/>
      <c r="I290" s="36"/>
      <c r="J290" s="35"/>
    </row>
    <row r="291" spans="1:10" x14ac:dyDescent="0.2">
      <c r="A291" s="35"/>
      <c r="B291" s="39" t="str">
        <f>IF(A291="","",IFERROR(VLOOKUP(A291,Scénáře!$A$4:$B$503,2,FALSE()),"ID nenalezeno"))</f>
        <v/>
      </c>
      <c r="C291" s="36"/>
      <c r="D291" s="35"/>
      <c r="E291" s="35"/>
      <c r="F291" s="11"/>
      <c r="G291" s="11"/>
      <c r="H291" s="35"/>
      <c r="I291" s="36"/>
      <c r="J291" s="35"/>
    </row>
    <row r="292" spans="1:10" x14ac:dyDescent="0.2">
      <c r="A292" s="35"/>
      <c r="B292" s="39" t="str">
        <f>IF(A292="","",IFERROR(VLOOKUP(A292,Scénáře!$A$4:$B$503,2,FALSE()),"ID nenalezeno"))</f>
        <v/>
      </c>
      <c r="C292" s="36"/>
      <c r="D292" s="35"/>
      <c r="E292" s="35"/>
      <c r="F292" s="11"/>
      <c r="G292" s="11"/>
      <c r="H292" s="35"/>
      <c r="I292" s="36"/>
      <c r="J292" s="35"/>
    </row>
    <row r="293" spans="1:10" x14ac:dyDescent="0.2">
      <c r="A293" s="35"/>
      <c r="B293" s="39" t="str">
        <f>IF(A293="","",IFERROR(VLOOKUP(A293,Scénáře!$A$4:$B$503,2,FALSE()),"ID nenalezeno"))</f>
        <v/>
      </c>
      <c r="C293" s="36"/>
      <c r="D293" s="35"/>
      <c r="E293" s="35"/>
      <c r="F293" s="11"/>
      <c r="G293" s="11"/>
      <c r="H293" s="35"/>
      <c r="I293" s="36"/>
      <c r="J293" s="35"/>
    </row>
    <row r="294" spans="1:10" x14ac:dyDescent="0.2">
      <c r="A294" s="35"/>
      <c r="B294" s="39" t="str">
        <f>IF(A294="","",IFERROR(VLOOKUP(A294,Scénáře!$A$4:$B$503,2,FALSE()),"ID nenalezeno"))</f>
        <v/>
      </c>
      <c r="C294" s="36"/>
      <c r="D294" s="35"/>
      <c r="E294" s="35"/>
      <c r="F294" s="11"/>
      <c r="G294" s="11"/>
      <c r="H294" s="35"/>
      <c r="I294" s="36"/>
      <c r="J294" s="35"/>
    </row>
    <row r="295" spans="1:10" x14ac:dyDescent="0.2">
      <c r="A295" s="35"/>
      <c r="B295" s="39" t="str">
        <f>IF(A295="","",IFERROR(VLOOKUP(A295,Scénáře!$A$4:$B$503,2,FALSE()),"ID nenalezeno"))</f>
        <v/>
      </c>
      <c r="C295" s="36"/>
      <c r="D295" s="35"/>
      <c r="E295" s="35"/>
      <c r="F295" s="11"/>
      <c r="G295" s="11"/>
      <c r="H295" s="35"/>
      <c r="I295" s="36"/>
      <c r="J295" s="35"/>
    </row>
    <row r="296" spans="1:10" x14ac:dyDescent="0.2">
      <c r="A296" s="35"/>
      <c r="B296" s="39" t="str">
        <f>IF(A296="","",IFERROR(VLOOKUP(A296,Scénáře!$A$4:$B$503,2,FALSE()),"ID nenalezeno"))</f>
        <v/>
      </c>
      <c r="C296" s="36"/>
      <c r="D296" s="35"/>
      <c r="E296" s="35"/>
      <c r="F296" s="11"/>
      <c r="G296" s="11"/>
      <c r="H296" s="35"/>
      <c r="I296" s="36"/>
      <c r="J296" s="35"/>
    </row>
    <row r="297" spans="1:10" x14ac:dyDescent="0.2">
      <c r="A297" s="35"/>
      <c r="B297" s="39" t="str">
        <f>IF(A297="","",IFERROR(VLOOKUP(A297,Scénáře!$A$4:$B$503,2,FALSE()),"ID nenalezeno"))</f>
        <v/>
      </c>
      <c r="C297" s="36"/>
      <c r="D297" s="35"/>
      <c r="E297" s="35"/>
      <c r="F297" s="11"/>
      <c r="G297" s="11"/>
      <c r="H297" s="35"/>
      <c r="I297" s="36"/>
      <c r="J297" s="35"/>
    </row>
    <row r="298" spans="1:10" x14ac:dyDescent="0.2">
      <c r="A298" s="35"/>
      <c r="B298" s="39" t="str">
        <f>IF(A298="","",IFERROR(VLOOKUP(A298,Scénáře!$A$4:$B$503,2,FALSE()),"ID nenalezeno"))</f>
        <v/>
      </c>
      <c r="C298" s="36"/>
      <c r="D298" s="35"/>
      <c r="E298" s="35"/>
      <c r="F298" s="11"/>
      <c r="G298" s="11"/>
      <c r="H298" s="35"/>
      <c r="I298" s="36"/>
      <c r="J298" s="35"/>
    </row>
    <row r="299" spans="1:10" x14ac:dyDescent="0.2">
      <c r="A299" s="35"/>
      <c r="B299" s="39" t="str">
        <f>IF(A299="","",IFERROR(VLOOKUP(A299,Scénáře!$A$4:$B$503,2,FALSE()),"ID nenalezeno"))</f>
        <v/>
      </c>
      <c r="C299" s="36"/>
      <c r="D299" s="35"/>
      <c r="E299" s="35"/>
      <c r="F299" s="11"/>
      <c r="G299" s="11"/>
      <c r="H299" s="35"/>
      <c r="I299" s="36"/>
      <c r="J299" s="35"/>
    </row>
    <row r="300" spans="1:10" x14ac:dyDescent="0.2">
      <c r="A300" s="35"/>
      <c r="B300" s="39" t="str">
        <f>IF(A300="","",IFERROR(VLOOKUP(A300,Scénáře!$A$4:$B$503,2,FALSE()),"ID nenalezeno"))</f>
        <v/>
      </c>
      <c r="C300" s="36"/>
      <c r="D300" s="35"/>
      <c r="E300" s="35"/>
      <c r="F300" s="11"/>
      <c r="G300" s="11"/>
      <c r="H300" s="35"/>
      <c r="I300" s="36"/>
      <c r="J300" s="35"/>
    </row>
    <row r="301" spans="1:10" x14ac:dyDescent="0.2">
      <c r="A301" s="35"/>
      <c r="B301" s="39" t="str">
        <f>IF(A301="","",IFERROR(VLOOKUP(A301,Scénáře!$A$4:$B$503,2,FALSE()),"ID nenalezeno"))</f>
        <v/>
      </c>
      <c r="C301" s="36"/>
      <c r="D301" s="35"/>
      <c r="E301" s="35"/>
      <c r="F301" s="11"/>
      <c r="G301" s="11"/>
      <c r="H301" s="35"/>
      <c r="I301" s="36"/>
      <c r="J301" s="35"/>
    </row>
    <row r="302" spans="1:10" x14ac:dyDescent="0.2">
      <c r="A302" s="35"/>
      <c r="B302" s="39" t="str">
        <f>IF(A302="","",IFERROR(VLOOKUP(A302,Scénáře!$A$4:$B$503,2,FALSE()),"ID nenalezeno"))</f>
        <v/>
      </c>
      <c r="C302" s="36"/>
      <c r="D302" s="35"/>
      <c r="E302" s="35"/>
      <c r="F302" s="11"/>
      <c r="G302" s="11"/>
      <c r="H302" s="35"/>
      <c r="I302" s="36"/>
      <c r="J302" s="35"/>
    </row>
    <row r="303" spans="1:10" x14ac:dyDescent="0.2">
      <c r="A303" s="35"/>
      <c r="B303" s="39" t="str">
        <f>IF(A303="","",IFERROR(VLOOKUP(A303,Scénáře!$A$4:$B$503,2,FALSE()),"ID nenalezeno"))</f>
        <v/>
      </c>
      <c r="C303" s="36"/>
      <c r="D303" s="35"/>
      <c r="E303" s="35"/>
      <c r="F303" s="11"/>
      <c r="G303" s="11"/>
      <c r="H303" s="35"/>
      <c r="I303" s="36"/>
      <c r="J303" s="35"/>
    </row>
    <row r="304" spans="1:10" x14ac:dyDescent="0.2">
      <c r="A304" s="35"/>
      <c r="B304" s="39" t="str">
        <f>IF(A304="","",IFERROR(VLOOKUP(A304,Scénáře!$A$4:$B$503,2,FALSE()),"ID nenalezeno"))</f>
        <v/>
      </c>
      <c r="C304" s="36"/>
      <c r="D304" s="35"/>
      <c r="E304" s="35"/>
      <c r="F304" s="11"/>
      <c r="G304" s="11"/>
      <c r="H304" s="35"/>
      <c r="I304" s="36"/>
      <c r="J304" s="35"/>
    </row>
    <row r="305" spans="1:10" x14ac:dyDescent="0.2">
      <c r="A305" s="35"/>
      <c r="B305" s="39" t="str">
        <f>IF(A305="","",IFERROR(VLOOKUP(A305,Scénáře!$A$4:$B$503,2,FALSE()),"ID nenalezeno"))</f>
        <v/>
      </c>
      <c r="C305" s="36"/>
      <c r="D305" s="35"/>
      <c r="E305" s="35"/>
      <c r="F305" s="11"/>
      <c r="G305" s="11"/>
      <c r="H305" s="35"/>
      <c r="I305" s="36"/>
      <c r="J305" s="35"/>
    </row>
    <row r="306" spans="1:10" x14ac:dyDescent="0.2">
      <c r="A306" s="35"/>
      <c r="B306" s="39" t="str">
        <f>IF(A306="","",IFERROR(VLOOKUP(A306,Scénáře!$A$4:$B$503,2,FALSE()),"ID nenalezeno"))</f>
        <v/>
      </c>
      <c r="C306" s="36"/>
      <c r="D306" s="35"/>
      <c r="E306" s="35"/>
      <c r="F306" s="11"/>
      <c r="G306" s="11"/>
      <c r="H306" s="35"/>
      <c r="I306" s="36"/>
      <c r="J306" s="35"/>
    </row>
    <row r="307" spans="1:10" x14ac:dyDescent="0.2">
      <c r="A307" s="35"/>
      <c r="B307" s="39" t="str">
        <f>IF(A307="","",IFERROR(VLOOKUP(A307,Scénáře!$A$4:$B$503,2,FALSE()),"ID nenalezeno"))</f>
        <v/>
      </c>
      <c r="C307" s="36"/>
      <c r="D307" s="35"/>
      <c r="E307" s="35"/>
      <c r="F307" s="11"/>
      <c r="G307" s="11"/>
      <c r="H307" s="35"/>
      <c r="I307" s="36"/>
      <c r="J307" s="35"/>
    </row>
    <row r="308" spans="1:10" x14ac:dyDescent="0.2">
      <c r="A308" s="35"/>
      <c r="B308" s="39" t="str">
        <f>IF(A308="","",IFERROR(VLOOKUP(A308,Scénáře!$A$4:$B$503,2,FALSE()),"ID nenalezeno"))</f>
        <v/>
      </c>
      <c r="C308" s="36"/>
      <c r="D308" s="35"/>
      <c r="E308" s="35"/>
      <c r="F308" s="11"/>
      <c r="G308" s="11"/>
      <c r="H308" s="35"/>
      <c r="I308" s="36"/>
      <c r="J308" s="35"/>
    </row>
    <row r="309" spans="1:10" x14ac:dyDescent="0.2">
      <c r="A309" s="35"/>
      <c r="B309" s="39" t="str">
        <f>IF(A309="","",IFERROR(VLOOKUP(A309,Scénáře!$A$4:$B$503,2,FALSE()),"ID nenalezeno"))</f>
        <v/>
      </c>
      <c r="C309" s="36"/>
      <c r="D309" s="35"/>
      <c r="E309" s="35"/>
      <c r="F309" s="11"/>
      <c r="G309" s="11"/>
      <c r="H309" s="35"/>
      <c r="I309" s="36"/>
      <c r="J309" s="35"/>
    </row>
    <row r="310" spans="1:10" x14ac:dyDescent="0.2">
      <c r="A310" s="35"/>
      <c r="B310" s="39" t="str">
        <f>IF(A310="","",IFERROR(VLOOKUP(A310,Scénáře!$A$4:$B$503,2,FALSE()),"ID nenalezeno"))</f>
        <v/>
      </c>
      <c r="C310" s="36"/>
      <c r="D310" s="35"/>
      <c r="E310" s="35"/>
      <c r="F310" s="11"/>
      <c r="G310" s="11"/>
      <c r="H310" s="35"/>
      <c r="I310" s="36"/>
      <c r="J310" s="35"/>
    </row>
    <row r="311" spans="1:10" x14ac:dyDescent="0.2">
      <c r="A311" s="35"/>
      <c r="B311" s="39" t="str">
        <f>IF(A311="","",IFERROR(VLOOKUP(A311,Scénáře!$A$4:$B$503,2,FALSE()),"ID nenalezeno"))</f>
        <v/>
      </c>
      <c r="C311" s="36"/>
      <c r="D311" s="35"/>
      <c r="E311" s="35"/>
      <c r="F311" s="11"/>
      <c r="G311" s="11"/>
      <c r="H311" s="35"/>
      <c r="I311" s="36"/>
      <c r="J311" s="35"/>
    </row>
    <row r="312" spans="1:10" x14ac:dyDescent="0.2">
      <c r="A312" s="35"/>
      <c r="B312" s="39" t="str">
        <f>IF(A312="","",IFERROR(VLOOKUP(A312,Scénáře!$A$4:$B$503,2,FALSE()),"ID nenalezeno"))</f>
        <v/>
      </c>
      <c r="C312" s="36"/>
      <c r="D312" s="35"/>
      <c r="E312" s="35"/>
      <c r="F312" s="11"/>
      <c r="G312" s="11"/>
      <c r="H312" s="35"/>
      <c r="I312" s="36"/>
      <c r="J312" s="35"/>
    </row>
    <row r="313" spans="1:10" x14ac:dyDescent="0.2">
      <c r="A313" s="35"/>
      <c r="B313" s="39" t="str">
        <f>IF(A313="","",IFERROR(VLOOKUP(A313,Scénáře!$A$4:$B$503,2,FALSE()),"ID nenalezeno"))</f>
        <v/>
      </c>
      <c r="C313" s="36"/>
      <c r="D313" s="35"/>
      <c r="E313" s="35"/>
      <c r="F313" s="11"/>
      <c r="G313" s="11"/>
      <c r="H313" s="35"/>
      <c r="I313" s="36"/>
      <c r="J313" s="35"/>
    </row>
    <row r="314" spans="1:10" x14ac:dyDescent="0.2">
      <c r="A314" s="35"/>
      <c r="B314" s="39" t="str">
        <f>IF(A314="","",IFERROR(VLOOKUP(A314,Scénáře!$A$4:$B$503,2,FALSE()),"ID nenalezeno"))</f>
        <v/>
      </c>
      <c r="C314" s="36"/>
      <c r="D314" s="35"/>
      <c r="E314" s="35"/>
      <c r="F314" s="11"/>
      <c r="G314" s="11"/>
      <c r="H314" s="35"/>
      <c r="I314" s="36"/>
      <c r="J314" s="35"/>
    </row>
    <row r="315" spans="1:10" x14ac:dyDescent="0.2">
      <c r="A315" s="35"/>
      <c r="B315" s="39" t="str">
        <f>IF(A315="","",IFERROR(VLOOKUP(A315,Scénáře!$A$4:$B$503,2,FALSE()),"ID nenalezeno"))</f>
        <v/>
      </c>
      <c r="C315" s="36"/>
      <c r="D315" s="35"/>
      <c r="E315" s="35"/>
      <c r="F315" s="11"/>
      <c r="G315" s="11"/>
      <c r="H315" s="35"/>
      <c r="I315" s="36"/>
      <c r="J315" s="35"/>
    </row>
    <row r="316" spans="1:10" x14ac:dyDescent="0.2">
      <c r="A316" s="35"/>
      <c r="B316" s="39" t="str">
        <f>IF(A316="","",IFERROR(VLOOKUP(A316,Scénáře!$A$4:$B$503,2,FALSE()),"ID nenalezeno"))</f>
        <v/>
      </c>
      <c r="C316" s="36"/>
      <c r="D316" s="35"/>
      <c r="E316" s="35"/>
      <c r="F316" s="11"/>
      <c r="G316" s="11"/>
      <c r="H316" s="35"/>
      <c r="I316" s="36"/>
      <c r="J316" s="35"/>
    </row>
    <row r="317" spans="1:10" x14ac:dyDescent="0.2">
      <c r="A317" s="35"/>
      <c r="B317" s="39" t="str">
        <f>IF(A317="","",IFERROR(VLOOKUP(A317,Scénáře!$A$4:$B$503,2,FALSE()),"ID nenalezeno"))</f>
        <v/>
      </c>
      <c r="C317" s="36"/>
      <c r="D317" s="35"/>
      <c r="E317" s="35"/>
      <c r="F317" s="11"/>
      <c r="G317" s="11"/>
      <c r="H317" s="35"/>
      <c r="I317" s="36"/>
      <c r="J317" s="35"/>
    </row>
    <row r="318" spans="1:10" x14ac:dyDescent="0.2">
      <c r="A318" s="35"/>
      <c r="B318" s="39" t="str">
        <f>IF(A318="","",IFERROR(VLOOKUP(A318,Scénáře!$A$4:$B$503,2,FALSE()),"ID nenalezeno"))</f>
        <v/>
      </c>
      <c r="C318" s="36"/>
      <c r="D318" s="35"/>
      <c r="E318" s="35"/>
      <c r="F318" s="11"/>
      <c r="G318" s="11"/>
      <c r="H318" s="35"/>
      <c r="I318" s="36"/>
      <c r="J318" s="35"/>
    </row>
    <row r="319" spans="1:10" x14ac:dyDescent="0.2">
      <c r="A319" s="35"/>
      <c r="B319" s="39" t="str">
        <f>IF(A319="","",IFERROR(VLOOKUP(A319,Scénáře!$A$4:$B$503,2,FALSE()),"ID nenalezeno"))</f>
        <v/>
      </c>
      <c r="C319" s="36"/>
      <c r="D319" s="35"/>
      <c r="E319" s="35"/>
      <c r="F319" s="11"/>
      <c r="G319" s="11"/>
      <c r="H319" s="35"/>
      <c r="I319" s="36"/>
      <c r="J319" s="35"/>
    </row>
    <row r="320" spans="1:10" x14ac:dyDescent="0.2">
      <c r="A320" s="35"/>
      <c r="B320" s="39" t="str">
        <f>IF(A320="","",IFERROR(VLOOKUP(A320,Scénáře!$A$4:$B$503,2,FALSE()),"ID nenalezeno"))</f>
        <v/>
      </c>
      <c r="C320" s="36"/>
      <c r="D320" s="35"/>
      <c r="E320" s="35"/>
      <c r="F320" s="11"/>
      <c r="G320" s="11"/>
      <c r="H320" s="35"/>
      <c r="I320" s="36"/>
      <c r="J320" s="35"/>
    </row>
    <row r="321" spans="1:10" x14ac:dyDescent="0.2">
      <c r="A321" s="35"/>
      <c r="B321" s="39" t="str">
        <f>IF(A321="","",IFERROR(VLOOKUP(A321,Scénáře!$A$4:$B$503,2,FALSE()),"ID nenalezeno"))</f>
        <v/>
      </c>
      <c r="C321" s="36"/>
      <c r="D321" s="35"/>
      <c r="E321" s="35"/>
      <c r="F321" s="11"/>
      <c r="G321" s="11"/>
      <c r="H321" s="35"/>
      <c r="I321" s="36"/>
      <c r="J321" s="35"/>
    </row>
    <row r="322" spans="1:10" x14ac:dyDescent="0.2">
      <c r="A322" s="35"/>
      <c r="B322" s="39" t="str">
        <f>IF(A322="","",IFERROR(VLOOKUP(A322,Scénáře!$A$4:$B$503,2,FALSE()),"ID nenalezeno"))</f>
        <v/>
      </c>
      <c r="C322" s="36"/>
      <c r="D322" s="35"/>
      <c r="E322" s="35"/>
      <c r="F322" s="11"/>
      <c r="G322" s="11"/>
      <c r="H322" s="35"/>
      <c r="I322" s="36"/>
      <c r="J322" s="35"/>
    </row>
    <row r="323" spans="1:10" x14ac:dyDescent="0.2">
      <c r="A323" s="35"/>
      <c r="B323" s="39" t="str">
        <f>IF(A323="","",IFERROR(VLOOKUP(A323,Scénáře!$A$4:$B$503,2,FALSE()),"ID nenalezeno"))</f>
        <v/>
      </c>
      <c r="C323" s="36"/>
      <c r="D323" s="35"/>
      <c r="E323" s="35"/>
      <c r="F323" s="11"/>
      <c r="G323" s="11"/>
      <c r="H323" s="35"/>
      <c r="I323" s="36"/>
      <c r="J323" s="35"/>
    </row>
    <row r="324" spans="1:10" x14ac:dyDescent="0.2">
      <c r="A324" s="35"/>
      <c r="B324" s="39" t="str">
        <f>IF(A324="","",IFERROR(VLOOKUP(A324,Scénáře!$A$4:$B$503,2,FALSE()),"ID nenalezeno"))</f>
        <v/>
      </c>
      <c r="C324" s="36"/>
      <c r="D324" s="35"/>
      <c r="E324" s="35"/>
      <c r="F324" s="11"/>
      <c r="G324" s="11"/>
      <c r="H324" s="35"/>
      <c r="I324" s="36"/>
      <c r="J324" s="35"/>
    </row>
    <row r="325" spans="1:10" x14ac:dyDescent="0.2">
      <c r="A325" s="35"/>
      <c r="B325" s="39" t="str">
        <f>IF(A325="","",IFERROR(VLOOKUP(A325,Scénáře!$A$4:$B$503,2,FALSE()),"ID nenalezeno"))</f>
        <v/>
      </c>
      <c r="C325" s="36"/>
      <c r="D325" s="35"/>
      <c r="E325" s="35"/>
      <c r="F325" s="11"/>
      <c r="G325" s="11"/>
      <c r="H325" s="35"/>
      <c r="I325" s="36"/>
      <c r="J325" s="35"/>
    </row>
    <row r="326" spans="1:10" x14ac:dyDescent="0.2">
      <c r="A326" s="35"/>
      <c r="B326" s="39" t="str">
        <f>IF(A326="","",IFERROR(VLOOKUP(A326,Scénáře!$A$4:$B$503,2,FALSE()),"ID nenalezeno"))</f>
        <v/>
      </c>
      <c r="C326" s="36"/>
      <c r="D326" s="35"/>
      <c r="E326" s="35"/>
      <c r="F326" s="11"/>
      <c r="G326" s="11"/>
      <c r="H326" s="35"/>
      <c r="I326" s="36"/>
      <c r="J326" s="35"/>
    </row>
    <row r="327" spans="1:10" x14ac:dyDescent="0.2">
      <c r="A327" s="35"/>
      <c r="B327" s="39" t="str">
        <f>IF(A327="","",IFERROR(VLOOKUP(A327,Scénáře!$A$4:$B$503,2,FALSE()),"ID nenalezeno"))</f>
        <v/>
      </c>
      <c r="C327" s="36"/>
      <c r="D327" s="35"/>
      <c r="E327" s="35"/>
      <c r="F327" s="11"/>
      <c r="G327" s="11"/>
      <c r="H327" s="35"/>
      <c r="I327" s="36"/>
      <c r="J327" s="35"/>
    </row>
    <row r="328" spans="1:10" x14ac:dyDescent="0.2">
      <c r="A328" s="35"/>
      <c r="B328" s="39" t="str">
        <f>IF(A328="","",IFERROR(VLOOKUP(A328,Scénáře!$A$4:$B$503,2,FALSE()),"ID nenalezeno"))</f>
        <v/>
      </c>
      <c r="C328" s="36"/>
      <c r="D328" s="35"/>
      <c r="E328" s="35"/>
      <c r="F328" s="11"/>
      <c r="G328" s="11"/>
      <c r="H328" s="35"/>
      <c r="I328" s="36"/>
      <c r="J328" s="35"/>
    </row>
    <row r="329" spans="1:10" x14ac:dyDescent="0.2">
      <c r="A329" s="35"/>
      <c r="B329" s="39" t="str">
        <f>IF(A329="","",IFERROR(VLOOKUP(A329,Scénáře!$A$4:$B$503,2,FALSE()),"ID nenalezeno"))</f>
        <v/>
      </c>
      <c r="C329" s="36"/>
      <c r="D329" s="35"/>
      <c r="E329" s="35"/>
      <c r="F329" s="11"/>
      <c r="G329" s="11"/>
      <c r="H329" s="35"/>
      <c r="I329" s="36"/>
      <c r="J329" s="35"/>
    </row>
    <row r="330" spans="1:10" x14ac:dyDescent="0.2">
      <c r="A330" s="35"/>
      <c r="B330" s="39" t="str">
        <f>IF(A330="","",IFERROR(VLOOKUP(A330,Scénáře!$A$4:$B$503,2,FALSE()),"ID nenalezeno"))</f>
        <v/>
      </c>
      <c r="C330" s="36"/>
      <c r="D330" s="35"/>
      <c r="E330" s="35"/>
      <c r="F330" s="11"/>
      <c r="G330" s="11"/>
      <c r="H330" s="35"/>
      <c r="I330" s="36"/>
      <c r="J330" s="35"/>
    </row>
    <row r="331" spans="1:10" x14ac:dyDescent="0.2">
      <c r="A331" s="35"/>
      <c r="B331" s="39" t="str">
        <f>IF(A331="","",IFERROR(VLOOKUP(A331,Scénáře!$A$4:$B$503,2,FALSE()),"ID nenalezeno"))</f>
        <v/>
      </c>
      <c r="C331" s="36"/>
      <c r="D331" s="35"/>
      <c r="E331" s="35"/>
      <c r="F331" s="11"/>
      <c r="G331" s="11"/>
      <c r="H331" s="35"/>
      <c r="I331" s="36"/>
      <c r="J331" s="35"/>
    </row>
    <row r="332" spans="1:10" x14ac:dyDescent="0.2">
      <c r="A332" s="35"/>
      <c r="B332" s="39" t="str">
        <f>IF(A332="","",IFERROR(VLOOKUP(A332,Scénáře!$A$4:$B$503,2,FALSE()),"ID nenalezeno"))</f>
        <v/>
      </c>
      <c r="C332" s="36"/>
      <c r="D332" s="35"/>
      <c r="E332" s="35"/>
      <c r="F332" s="11"/>
      <c r="G332" s="11"/>
      <c r="H332" s="35"/>
      <c r="I332" s="36"/>
      <c r="J332" s="35"/>
    </row>
    <row r="333" spans="1:10" x14ac:dyDescent="0.2">
      <c r="A333" s="35"/>
      <c r="B333" s="39" t="str">
        <f>IF(A333="","",IFERROR(VLOOKUP(A333,Scénáře!$A$4:$B$503,2,FALSE()),"ID nenalezeno"))</f>
        <v/>
      </c>
      <c r="C333" s="36"/>
      <c r="D333" s="35"/>
      <c r="E333" s="35"/>
      <c r="F333" s="11"/>
      <c r="G333" s="11"/>
      <c r="H333" s="35"/>
      <c r="I333" s="36"/>
      <c r="J333" s="35"/>
    </row>
    <row r="334" spans="1:10" x14ac:dyDescent="0.2">
      <c r="A334" s="35"/>
      <c r="B334" s="39" t="str">
        <f>IF(A334="","",IFERROR(VLOOKUP(A334,Scénáře!$A$4:$B$503,2,FALSE()),"ID nenalezeno"))</f>
        <v/>
      </c>
      <c r="C334" s="36"/>
      <c r="D334" s="35"/>
      <c r="E334" s="35"/>
      <c r="F334" s="11"/>
      <c r="G334" s="11"/>
      <c r="H334" s="35"/>
      <c r="I334" s="36"/>
      <c r="J334" s="35"/>
    </row>
    <row r="335" spans="1:10" x14ac:dyDescent="0.2">
      <c r="A335" s="35"/>
      <c r="B335" s="39" t="str">
        <f>IF(A335="","",IFERROR(VLOOKUP(A335,Scénáře!$A$4:$B$503,2,FALSE()),"ID nenalezeno"))</f>
        <v/>
      </c>
      <c r="C335" s="36"/>
      <c r="D335" s="35"/>
      <c r="E335" s="35"/>
      <c r="F335" s="11"/>
      <c r="G335" s="11"/>
      <c r="H335" s="35"/>
      <c r="I335" s="36"/>
      <c r="J335" s="35"/>
    </row>
    <row r="336" spans="1:10" x14ac:dyDescent="0.2">
      <c r="A336" s="35"/>
      <c r="B336" s="39" t="str">
        <f>IF(A336="","",IFERROR(VLOOKUP(A336,Scénáře!$A$4:$B$503,2,FALSE()),"ID nenalezeno"))</f>
        <v/>
      </c>
      <c r="C336" s="36"/>
      <c r="D336" s="35"/>
      <c r="E336" s="35"/>
      <c r="F336" s="11"/>
      <c r="G336" s="11"/>
      <c r="H336" s="35"/>
      <c r="I336" s="36"/>
      <c r="J336" s="35"/>
    </row>
    <row r="337" spans="1:10" x14ac:dyDescent="0.2">
      <c r="A337" s="35"/>
      <c r="B337" s="39" t="str">
        <f>IF(A337="","",IFERROR(VLOOKUP(A337,Scénáře!$A$4:$B$503,2,FALSE()),"ID nenalezeno"))</f>
        <v/>
      </c>
      <c r="C337" s="36"/>
      <c r="D337" s="35"/>
      <c r="E337" s="35"/>
      <c r="F337" s="11"/>
      <c r="G337" s="11"/>
      <c r="H337" s="35"/>
      <c r="I337" s="36"/>
      <c r="J337" s="35"/>
    </row>
    <row r="338" spans="1:10" x14ac:dyDescent="0.2">
      <c r="A338" s="35"/>
      <c r="B338" s="39" t="str">
        <f>IF(A338="","",IFERROR(VLOOKUP(A338,Scénáře!$A$4:$B$503,2,FALSE()),"ID nenalezeno"))</f>
        <v/>
      </c>
      <c r="C338" s="36"/>
      <c r="D338" s="35"/>
      <c r="E338" s="35"/>
      <c r="F338" s="11"/>
      <c r="G338" s="11"/>
      <c r="H338" s="35"/>
      <c r="I338" s="36"/>
      <c r="J338" s="35"/>
    </row>
    <row r="339" spans="1:10" x14ac:dyDescent="0.2">
      <c r="A339" s="35"/>
      <c r="B339" s="39" t="str">
        <f>IF(A339="","",IFERROR(VLOOKUP(A339,Scénáře!$A$4:$B$503,2,FALSE()),"ID nenalezeno"))</f>
        <v/>
      </c>
      <c r="C339" s="36"/>
      <c r="D339" s="35"/>
      <c r="E339" s="35"/>
      <c r="F339" s="11"/>
      <c r="G339" s="11"/>
      <c r="H339" s="35"/>
      <c r="I339" s="36"/>
      <c r="J339" s="35"/>
    </row>
    <row r="340" spans="1:10" x14ac:dyDescent="0.2">
      <c r="A340" s="35"/>
      <c r="B340" s="39" t="str">
        <f>IF(A340="","",IFERROR(VLOOKUP(A340,Scénáře!$A$4:$B$503,2,FALSE()),"ID nenalezeno"))</f>
        <v/>
      </c>
      <c r="C340" s="36"/>
      <c r="D340" s="35"/>
      <c r="E340" s="35"/>
      <c r="F340" s="11"/>
      <c r="G340" s="11"/>
      <c r="H340" s="35"/>
      <c r="I340" s="36"/>
      <c r="J340" s="35"/>
    </row>
    <row r="341" spans="1:10" x14ac:dyDescent="0.2">
      <c r="A341" s="35"/>
      <c r="B341" s="39" t="str">
        <f>IF(A341="","",IFERROR(VLOOKUP(A341,Scénáře!$A$4:$B$503,2,FALSE()),"ID nenalezeno"))</f>
        <v/>
      </c>
      <c r="C341" s="36"/>
      <c r="D341" s="35"/>
      <c r="E341" s="35"/>
      <c r="F341" s="11"/>
      <c r="G341" s="11"/>
      <c r="H341" s="35"/>
      <c r="I341" s="36"/>
      <c r="J341" s="35"/>
    </row>
    <row r="342" spans="1:10" x14ac:dyDescent="0.2">
      <c r="A342" s="35"/>
      <c r="B342" s="39" t="str">
        <f>IF(A342="","",IFERROR(VLOOKUP(A342,Scénáře!$A$4:$B$503,2,FALSE()),"ID nenalezeno"))</f>
        <v/>
      </c>
      <c r="C342" s="36"/>
      <c r="D342" s="35"/>
      <c r="E342" s="35"/>
      <c r="F342" s="11"/>
      <c r="G342" s="11"/>
      <c r="H342" s="35"/>
      <c r="I342" s="36"/>
      <c r="J342" s="35"/>
    </row>
    <row r="343" spans="1:10" x14ac:dyDescent="0.2">
      <c r="A343" s="35"/>
      <c r="B343" s="39" t="str">
        <f>IF(A343="","",IFERROR(VLOOKUP(A343,Scénáře!$A$4:$B$503,2,FALSE()),"ID nenalezeno"))</f>
        <v/>
      </c>
      <c r="C343" s="36"/>
      <c r="D343" s="35"/>
      <c r="E343" s="35"/>
      <c r="F343" s="11"/>
      <c r="G343" s="11"/>
      <c r="H343" s="35"/>
      <c r="I343" s="36"/>
      <c r="J343" s="35"/>
    </row>
    <row r="344" spans="1:10" x14ac:dyDescent="0.2">
      <c r="A344" s="35"/>
      <c r="B344" s="39" t="str">
        <f>IF(A344="","",IFERROR(VLOOKUP(A344,Scénáře!$A$4:$B$503,2,FALSE()),"ID nenalezeno"))</f>
        <v/>
      </c>
      <c r="C344" s="36"/>
      <c r="D344" s="35"/>
      <c r="E344" s="35"/>
      <c r="F344" s="11"/>
      <c r="G344" s="11"/>
      <c r="H344" s="35"/>
      <c r="I344" s="36"/>
      <c r="J344" s="35"/>
    </row>
    <row r="345" spans="1:10" x14ac:dyDescent="0.2">
      <c r="A345" s="35"/>
      <c r="B345" s="39" t="str">
        <f>IF(A345="","",IFERROR(VLOOKUP(A345,Scénáře!$A$4:$B$503,2,FALSE()),"ID nenalezeno"))</f>
        <v/>
      </c>
      <c r="C345" s="36"/>
      <c r="D345" s="35"/>
      <c r="E345" s="35"/>
      <c r="F345" s="11"/>
      <c r="G345" s="11"/>
      <c r="H345" s="35"/>
      <c r="I345" s="36"/>
      <c r="J345" s="35"/>
    </row>
    <row r="346" spans="1:10" x14ac:dyDescent="0.2">
      <c r="A346" s="35"/>
      <c r="B346" s="39" t="str">
        <f>IF(A346="","",IFERROR(VLOOKUP(A346,Scénáře!$A$4:$B$503,2,FALSE()),"ID nenalezeno"))</f>
        <v/>
      </c>
      <c r="C346" s="36"/>
      <c r="D346" s="35"/>
      <c r="E346" s="35"/>
      <c r="F346" s="11"/>
      <c r="G346" s="11"/>
      <c r="H346" s="35"/>
      <c r="I346" s="36"/>
      <c r="J346" s="35"/>
    </row>
    <row r="347" spans="1:10" x14ac:dyDescent="0.2">
      <c r="A347" s="35"/>
      <c r="B347" s="39" t="str">
        <f>IF(A347="","",IFERROR(VLOOKUP(A347,Scénáře!$A$4:$B$503,2,FALSE()),"ID nenalezeno"))</f>
        <v/>
      </c>
      <c r="C347" s="36"/>
      <c r="D347" s="35"/>
      <c r="E347" s="35"/>
      <c r="F347" s="11"/>
      <c r="G347" s="11"/>
      <c r="H347" s="35"/>
      <c r="I347" s="36"/>
      <c r="J347" s="35"/>
    </row>
    <row r="348" spans="1:10" x14ac:dyDescent="0.2">
      <c r="A348" s="35"/>
      <c r="B348" s="39" t="str">
        <f>IF(A348="","",IFERROR(VLOOKUP(A348,Scénáře!$A$4:$B$503,2,FALSE()),"ID nenalezeno"))</f>
        <v/>
      </c>
      <c r="C348" s="36"/>
      <c r="D348" s="35"/>
      <c r="E348" s="35"/>
      <c r="F348" s="11"/>
      <c r="G348" s="11"/>
      <c r="H348" s="35"/>
      <c r="I348" s="36"/>
      <c r="J348" s="35"/>
    </row>
    <row r="349" spans="1:10" x14ac:dyDescent="0.2">
      <c r="A349" s="35"/>
      <c r="B349" s="39" t="str">
        <f>IF(A349="","",IFERROR(VLOOKUP(A349,Scénáře!$A$4:$B$503,2,FALSE()),"ID nenalezeno"))</f>
        <v/>
      </c>
      <c r="C349" s="36"/>
      <c r="D349" s="35"/>
      <c r="E349" s="35"/>
      <c r="F349" s="11"/>
      <c r="G349" s="11"/>
      <c r="H349" s="35"/>
      <c r="I349" s="36"/>
      <c r="J349" s="35"/>
    </row>
    <row r="350" spans="1:10" x14ac:dyDescent="0.2">
      <c r="A350" s="35"/>
      <c r="B350" s="39" t="str">
        <f>IF(A350="","",IFERROR(VLOOKUP(A350,Scénáře!$A$4:$B$503,2,FALSE()),"ID nenalezeno"))</f>
        <v/>
      </c>
      <c r="C350" s="36"/>
      <c r="D350" s="35"/>
      <c r="E350" s="35"/>
      <c r="F350" s="11"/>
      <c r="G350" s="11"/>
      <c r="H350" s="35"/>
      <c r="I350" s="36"/>
      <c r="J350" s="35"/>
    </row>
    <row r="351" spans="1:10" x14ac:dyDescent="0.2">
      <c r="A351" s="35"/>
      <c r="B351" s="39" t="str">
        <f>IF(A351="","",IFERROR(VLOOKUP(A351,Scénáře!$A$4:$B$503,2,FALSE()),"ID nenalezeno"))</f>
        <v/>
      </c>
      <c r="C351" s="36"/>
      <c r="D351" s="35"/>
      <c r="E351" s="35"/>
      <c r="F351" s="11"/>
      <c r="G351" s="11"/>
      <c r="H351" s="35"/>
      <c r="I351" s="36"/>
      <c r="J351" s="35"/>
    </row>
    <row r="352" spans="1:10" x14ac:dyDescent="0.2">
      <c r="A352" s="35"/>
      <c r="B352" s="39" t="str">
        <f>IF(A352="","",IFERROR(VLOOKUP(A352,Scénáře!$A$4:$B$503,2,FALSE()),"ID nenalezeno"))</f>
        <v/>
      </c>
      <c r="C352" s="36"/>
      <c r="D352" s="35"/>
      <c r="E352" s="35"/>
      <c r="F352" s="11"/>
      <c r="G352" s="11"/>
      <c r="H352" s="35"/>
      <c r="I352" s="36"/>
      <c r="J352" s="35"/>
    </row>
    <row r="353" spans="1:10" x14ac:dyDescent="0.2">
      <c r="A353" s="35"/>
      <c r="B353" s="39" t="str">
        <f>IF(A353="","",IFERROR(VLOOKUP(A353,Scénáře!$A$4:$B$503,2,FALSE()),"ID nenalezeno"))</f>
        <v/>
      </c>
      <c r="C353" s="36"/>
      <c r="D353" s="35"/>
      <c r="E353" s="35"/>
      <c r="F353" s="11"/>
      <c r="G353" s="11"/>
      <c r="H353" s="35"/>
      <c r="I353" s="36"/>
      <c r="J353" s="35"/>
    </row>
    <row r="354" spans="1:10" x14ac:dyDescent="0.2">
      <c r="A354" s="35"/>
      <c r="B354" s="39" t="str">
        <f>IF(A354="","",IFERROR(VLOOKUP(A354,Scénáře!$A$4:$B$503,2,FALSE()),"ID nenalezeno"))</f>
        <v/>
      </c>
      <c r="C354" s="36"/>
      <c r="D354" s="35"/>
      <c r="E354" s="35"/>
      <c r="F354" s="11"/>
      <c r="G354" s="11"/>
      <c r="H354" s="35"/>
      <c r="I354" s="36"/>
      <c r="J354" s="35"/>
    </row>
    <row r="355" spans="1:10" x14ac:dyDescent="0.2">
      <c r="A355" s="35"/>
      <c r="B355" s="39" t="str">
        <f>IF(A355="","",IFERROR(VLOOKUP(A355,Scénáře!$A$4:$B$503,2,FALSE()),"ID nenalezeno"))</f>
        <v/>
      </c>
      <c r="C355" s="36"/>
      <c r="D355" s="35"/>
      <c r="E355" s="35"/>
      <c r="F355" s="11"/>
      <c r="G355" s="11"/>
      <c r="H355" s="35"/>
      <c r="I355" s="36"/>
      <c r="J355" s="35"/>
    </row>
    <row r="356" spans="1:10" x14ac:dyDescent="0.2">
      <c r="A356" s="35"/>
      <c r="B356" s="39" t="str">
        <f>IF(A356="","",IFERROR(VLOOKUP(A356,Scénáře!$A$4:$B$503,2,FALSE()),"ID nenalezeno"))</f>
        <v/>
      </c>
      <c r="C356" s="36"/>
      <c r="D356" s="35"/>
      <c r="E356" s="35"/>
      <c r="F356" s="11"/>
      <c r="G356" s="11"/>
      <c r="H356" s="35"/>
      <c r="I356" s="36"/>
      <c r="J356" s="35"/>
    </row>
    <row r="357" spans="1:10" x14ac:dyDescent="0.2">
      <c r="A357" s="35"/>
      <c r="B357" s="39" t="str">
        <f>IF(A357="","",IFERROR(VLOOKUP(A357,Scénáře!$A$4:$B$503,2,FALSE()),"ID nenalezeno"))</f>
        <v/>
      </c>
      <c r="C357" s="36"/>
      <c r="D357" s="35"/>
      <c r="E357" s="35"/>
      <c r="F357" s="11"/>
      <c r="G357" s="11"/>
      <c r="H357" s="35"/>
      <c r="I357" s="36"/>
      <c r="J357" s="35"/>
    </row>
    <row r="358" spans="1:10" x14ac:dyDescent="0.2">
      <c r="A358" s="35"/>
      <c r="B358" s="39" t="str">
        <f>IF(A358="","",IFERROR(VLOOKUP(A358,Scénáře!$A$4:$B$503,2,FALSE()),"ID nenalezeno"))</f>
        <v/>
      </c>
      <c r="C358" s="36"/>
      <c r="D358" s="35"/>
      <c r="E358" s="35"/>
      <c r="F358" s="11"/>
      <c r="G358" s="11"/>
      <c r="H358" s="35"/>
      <c r="I358" s="36"/>
      <c r="J358" s="35"/>
    </row>
    <row r="359" spans="1:10" x14ac:dyDescent="0.2">
      <c r="A359" s="35"/>
      <c r="B359" s="39" t="str">
        <f>IF(A359="","",IFERROR(VLOOKUP(A359,Scénáře!$A$4:$B$503,2,FALSE()),"ID nenalezeno"))</f>
        <v/>
      </c>
      <c r="C359" s="36"/>
      <c r="D359" s="35"/>
      <c r="E359" s="35"/>
      <c r="F359" s="11"/>
      <c r="G359" s="11"/>
      <c r="H359" s="35"/>
      <c r="I359" s="36"/>
      <c r="J359" s="35"/>
    </row>
    <row r="360" spans="1:10" x14ac:dyDescent="0.2">
      <c r="A360" s="35"/>
      <c r="B360" s="39" t="str">
        <f>IF(A360="","",IFERROR(VLOOKUP(A360,Scénáře!$A$4:$B$503,2,FALSE()),"ID nenalezeno"))</f>
        <v/>
      </c>
      <c r="C360" s="36"/>
      <c r="D360" s="35"/>
      <c r="E360" s="35"/>
      <c r="F360" s="11"/>
      <c r="G360" s="11"/>
      <c r="H360" s="35"/>
      <c r="I360" s="36"/>
      <c r="J360" s="35"/>
    </row>
    <row r="361" spans="1:10" x14ac:dyDescent="0.2">
      <c r="A361" s="35"/>
      <c r="B361" s="39" t="str">
        <f>IF(A361="","",IFERROR(VLOOKUP(A361,Scénáře!$A$4:$B$503,2,FALSE()),"ID nenalezeno"))</f>
        <v/>
      </c>
      <c r="C361" s="36"/>
      <c r="D361" s="35"/>
      <c r="E361" s="35"/>
      <c r="F361" s="11"/>
      <c r="G361" s="11"/>
      <c r="H361" s="35"/>
      <c r="I361" s="36"/>
      <c r="J361" s="35"/>
    </row>
    <row r="362" spans="1:10" x14ac:dyDescent="0.2">
      <c r="A362" s="35"/>
      <c r="B362" s="39" t="str">
        <f>IF(A362="","",IFERROR(VLOOKUP(A362,Scénáře!$A$4:$B$503,2,FALSE()),"ID nenalezeno"))</f>
        <v/>
      </c>
      <c r="C362" s="36"/>
      <c r="D362" s="35"/>
      <c r="E362" s="35"/>
      <c r="F362" s="11"/>
      <c r="G362" s="11"/>
      <c r="H362" s="35"/>
      <c r="I362" s="36"/>
      <c r="J362" s="35"/>
    </row>
    <row r="363" spans="1:10" x14ac:dyDescent="0.2">
      <c r="A363" s="35"/>
      <c r="B363" s="39" t="str">
        <f>IF(A363="","",IFERROR(VLOOKUP(A363,Scénáře!$A$4:$B$503,2,FALSE()),"ID nenalezeno"))</f>
        <v/>
      </c>
      <c r="C363" s="36"/>
      <c r="D363" s="35"/>
      <c r="E363" s="35"/>
      <c r="F363" s="11"/>
      <c r="G363" s="11"/>
      <c r="H363" s="35"/>
      <c r="I363" s="36"/>
      <c r="J363" s="35"/>
    </row>
    <row r="364" spans="1:10" x14ac:dyDescent="0.2">
      <c r="A364" s="35"/>
      <c r="B364" s="39" t="str">
        <f>IF(A364="","",IFERROR(VLOOKUP(A364,Scénáře!$A$4:$B$503,2,FALSE()),"ID nenalezeno"))</f>
        <v/>
      </c>
      <c r="C364" s="36"/>
      <c r="D364" s="35"/>
      <c r="E364" s="35"/>
      <c r="F364" s="11"/>
      <c r="G364" s="11"/>
      <c r="H364" s="35"/>
      <c r="I364" s="36"/>
      <c r="J364" s="35"/>
    </row>
    <row r="365" spans="1:10" x14ac:dyDescent="0.2">
      <c r="A365" s="35"/>
      <c r="B365" s="39" t="str">
        <f>IF(A365="","",IFERROR(VLOOKUP(A365,Scénáře!$A$4:$B$503,2,FALSE()),"ID nenalezeno"))</f>
        <v/>
      </c>
      <c r="C365" s="36"/>
      <c r="D365" s="35"/>
      <c r="E365" s="35"/>
      <c r="F365" s="11"/>
      <c r="G365" s="11"/>
      <c r="H365" s="35"/>
      <c r="I365" s="36"/>
      <c r="J365" s="35"/>
    </row>
    <row r="366" spans="1:10" x14ac:dyDescent="0.2">
      <c r="A366" s="35"/>
      <c r="B366" s="39" t="str">
        <f>IF(A366="","",IFERROR(VLOOKUP(A366,Scénáře!$A$4:$B$503,2,FALSE()),"ID nenalezeno"))</f>
        <v/>
      </c>
      <c r="C366" s="36"/>
      <c r="D366" s="35"/>
      <c r="E366" s="35"/>
      <c r="F366" s="11"/>
      <c r="G366" s="11"/>
      <c r="H366" s="35"/>
      <c r="I366" s="36"/>
      <c r="J366" s="35"/>
    </row>
    <row r="367" spans="1:10" x14ac:dyDescent="0.2">
      <c r="A367" s="35"/>
      <c r="B367" s="39" t="str">
        <f>IF(A367="","",IFERROR(VLOOKUP(A367,Scénáře!$A$4:$B$503,2,FALSE()),"ID nenalezeno"))</f>
        <v/>
      </c>
      <c r="C367" s="36"/>
      <c r="D367" s="35"/>
      <c r="E367" s="35"/>
      <c r="F367" s="11"/>
      <c r="G367" s="11"/>
      <c r="H367" s="35"/>
      <c r="I367" s="36"/>
      <c r="J367" s="35"/>
    </row>
    <row r="368" spans="1:10" x14ac:dyDescent="0.2">
      <c r="A368" s="35"/>
      <c r="B368" s="39" t="str">
        <f>IF(A368="","",IFERROR(VLOOKUP(A368,Scénáře!$A$4:$B$503,2,FALSE()),"ID nenalezeno"))</f>
        <v/>
      </c>
      <c r="C368" s="36"/>
      <c r="D368" s="35"/>
      <c r="E368" s="35"/>
      <c r="F368" s="11"/>
      <c r="G368" s="11"/>
      <c r="H368" s="35"/>
      <c r="I368" s="36"/>
      <c r="J368" s="35"/>
    </row>
    <row r="369" spans="1:10" x14ac:dyDescent="0.2">
      <c r="A369" s="35"/>
      <c r="B369" s="39" t="str">
        <f>IF(A369="","",IFERROR(VLOOKUP(A369,Scénáře!$A$4:$B$503,2,FALSE()),"ID nenalezeno"))</f>
        <v/>
      </c>
      <c r="C369" s="36"/>
      <c r="D369" s="35"/>
      <c r="E369" s="35"/>
      <c r="F369" s="11"/>
      <c r="G369" s="11"/>
      <c r="H369" s="35"/>
      <c r="I369" s="36"/>
      <c r="J369" s="35"/>
    </row>
    <row r="370" spans="1:10" x14ac:dyDescent="0.2">
      <c r="A370" s="35"/>
      <c r="B370" s="39" t="str">
        <f>IF(A370="","",IFERROR(VLOOKUP(A370,Scénáře!$A$4:$B$503,2,FALSE()),"ID nenalezeno"))</f>
        <v/>
      </c>
      <c r="C370" s="36"/>
      <c r="D370" s="35"/>
      <c r="E370" s="35"/>
      <c r="F370" s="11"/>
      <c r="G370" s="11"/>
      <c r="H370" s="35"/>
      <c r="I370" s="36"/>
      <c r="J370" s="35"/>
    </row>
    <row r="371" spans="1:10" x14ac:dyDescent="0.2">
      <c r="A371" s="35"/>
      <c r="B371" s="39" t="str">
        <f>IF(A371="","",IFERROR(VLOOKUP(A371,Scénáře!$A$4:$B$503,2,FALSE()),"ID nenalezeno"))</f>
        <v/>
      </c>
      <c r="C371" s="36"/>
      <c r="D371" s="35"/>
      <c r="E371" s="35"/>
      <c r="F371" s="11"/>
      <c r="G371" s="11"/>
      <c r="H371" s="35"/>
      <c r="I371" s="36"/>
      <c r="J371" s="35"/>
    </row>
    <row r="372" spans="1:10" x14ac:dyDescent="0.2">
      <c r="A372" s="35"/>
      <c r="B372" s="39" t="str">
        <f>IF(A372="","",IFERROR(VLOOKUP(A372,Scénáře!$A$4:$B$503,2,FALSE()),"ID nenalezeno"))</f>
        <v/>
      </c>
      <c r="C372" s="36"/>
      <c r="D372" s="35"/>
      <c r="E372" s="35"/>
      <c r="F372" s="11"/>
      <c r="G372" s="11"/>
      <c r="H372" s="35"/>
      <c r="I372" s="36"/>
      <c r="J372" s="35"/>
    </row>
    <row r="373" spans="1:10" x14ac:dyDescent="0.2">
      <c r="A373" s="35"/>
      <c r="B373" s="39" t="str">
        <f>IF(A373="","",IFERROR(VLOOKUP(A373,Scénáře!$A$4:$B$503,2,FALSE()),"ID nenalezeno"))</f>
        <v/>
      </c>
      <c r="C373" s="36"/>
      <c r="D373" s="35"/>
      <c r="E373" s="35"/>
      <c r="F373" s="11"/>
      <c r="G373" s="11"/>
      <c r="H373" s="35"/>
      <c r="I373" s="36"/>
      <c r="J373" s="35"/>
    </row>
    <row r="374" spans="1:10" x14ac:dyDescent="0.2">
      <c r="A374" s="35"/>
      <c r="B374" s="39" t="str">
        <f>IF(A374="","",IFERROR(VLOOKUP(A374,Scénáře!$A$4:$B$503,2,FALSE()),"ID nenalezeno"))</f>
        <v/>
      </c>
      <c r="C374" s="36"/>
      <c r="D374" s="35"/>
      <c r="E374" s="35"/>
      <c r="F374" s="11"/>
      <c r="G374" s="11"/>
      <c r="H374" s="35"/>
      <c r="I374" s="36"/>
      <c r="J374" s="35"/>
    </row>
    <row r="375" spans="1:10" x14ac:dyDescent="0.2">
      <c r="A375" s="35"/>
      <c r="B375" s="39" t="str">
        <f>IF(A375="","",IFERROR(VLOOKUP(A375,Scénáře!$A$4:$B$503,2,FALSE()),"ID nenalezeno"))</f>
        <v/>
      </c>
      <c r="C375" s="36"/>
      <c r="D375" s="35"/>
      <c r="E375" s="35"/>
      <c r="F375" s="11"/>
      <c r="G375" s="11"/>
      <c r="H375" s="35"/>
      <c r="I375" s="36"/>
      <c r="J375" s="35"/>
    </row>
    <row r="376" spans="1:10" x14ac:dyDescent="0.2">
      <c r="A376" s="35"/>
      <c r="B376" s="39" t="str">
        <f>IF(A376="","",IFERROR(VLOOKUP(A376,Scénáře!$A$4:$B$503,2,FALSE()),"ID nenalezeno"))</f>
        <v/>
      </c>
      <c r="C376" s="36"/>
      <c r="D376" s="35"/>
      <c r="E376" s="35"/>
      <c r="F376" s="11"/>
      <c r="G376" s="11"/>
      <c r="H376" s="35"/>
      <c r="I376" s="36"/>
      <c r="J376" s="35"/>
    </row>
    <row r="377" spans="1:10" x14ac:dyDescent="0.2">
      <c r="A377" s="35"/>
      <c r="B377" s="39" t="str">
        <f>IF(A377="","",IFERROR(VLOOKUP(A377,Scénáře!$A$4:$B$503,2,FALSE()),"ID nenalezeno"))</f>
        <v/>
      </c>
      <c r="C377" s="36"/>
      <c r="D377" s="35"/>
      <c r="E377" s="35"/>
      <c r="F377" s="11"/>
      <c r="G377" s="11"/>
      <c r="H377" s="35"/>
      <c r="I377" s="36"/>
      <c r="J377" s="35"/>
    </row>
    <row r="378" spans="1:10" x14ac:dyDescent="0.2">
      <c r="A378" s="35"/>
      <c r="B378" s="39" t="str">
        <f>IF(A378="","",IFERROR(VLOOKUP(A378,Scénáře!$A$4:$B$503,2,FALSE()),"ID nenalezeno"))</f>
        <v/>
      </c>
      <c r="C378" s="36"/>
      <c r="D378" s="35"/>
      <c r="E378" s="35"/>
      <c r="F378" s="11"/>
      <c r="G378" s="11"/>
      <c r="H378" s="35"/>
      <c r="I378" s="36"/>
      <c r="J378" s="35"/>
    </row>
    <row r="379" spans="1:10" x14ac:dyDescent="0.2">
      <c r="A379" s="35"/>
      <c r="B379" s="39" t="str">
        <f>IF(A379="","",IFERROR(VLOOKUP(A379,Scénáře!$A$4:$B$503,2,FALSE()),"ID nenalezeno"))</f>
        <v/>
      </c>
      <c r="C379" s="36"/>
      <c r="D379" s="35"/>
      <c r="E379" s="35"/>
      <c r="F379" s="11"/>
      <c r="G379" s="11"/>
      <c r="H379" s="35"/>
      <c r="I379" s="36"/>
      <c r="J379" s="35"/>
    </row>
    <row r="380" spans="1:10" x14ac:dyDescent="0.2">
      <c r="A380" s="35"/>
      <c r="B380" s="39" t="str">
        <f>IF(A380="","",IFERROR(VLOOKUP(A380,Scénáře!$A$4:$B$503,2,FALSE()),"ID nenalezeno"))</f>
        <v/>
      </c>
      <c r="C380" s="36"/>
      <c r="D380" s="35"/>
      <c r="E380" s="35"/>
      <c r="F380" s="11"/>
      <c r="G380" s="11"/>
      <c r="H380" s="35"/>
      <c r="I380" s="36"/>
      <c r="J380" s="35"/>
    </row>
    <row r="381" spans="1:10" x14ac:dyDescent="0.2">
      <c r="A381" s="35"/>
      <c r="B381" s="39" t="str">
        <f>IF(A381="","",IFERROR(VLOOKUP(A381,Scénáře!$A$4:$B$503,2,FALSE()),"ID nenalezeno"))</f>
        <v/>
      </c>
      <c r="C381" s="36"/>
      <c r="D381" s="35"/>
      <c r="E381" s="35"/>
      <c r="F381" s="11"/>
      <c r="G381" s="11"/>
      <c r="H381" s="35"/>
      <c r="I381" s="36"/>
      <c r="J381" s="35"/>
    </row>
    <row r="382" spans="1:10" x14ac:dyDescent="0.2">
      <c r="A382" s="35"/>
      <c r="B382" s="39" t="str">
        <f>IF(A382="","",IFERROR(VLOOKUP(A382,Scénáře!$A$4:$B$503,2,FALSE()),"ID nenalezeno"))</f>
        <v/>
      </c>
      <c r="C382" s="36"/>
      <c r="D382" s="35"/>
      <c r="E382" s="35"/>
      <c r="F382" s="11"/>
      <c r="G382" s="11"/>
      <c r="H382" s="35"/>
      <c r="I382" s="36"/>
      <c r="J382" s="35"/>
    </row>
    <row r="383" spans="1:10" x14ac:dyDescent="0.2">
      <c r="A383" s="35"/>
      <c r="B383" s="39" t="str">
        <f>IF(A383="","",IFERROR(VLOOKUP(A383,Scénáře!$A$4:$B$503,2,FALSE()),"ID nenalezeno"))</f>
        <v/>
      </c>
      <c r="C383" s="36"/>
      <c r="D383" s="35"/>
      <c r="E383" s="35"/>
      <c r="F383" s="11"/>
      <c r="G383" s="11"/>
      <c r="H383" s="35"/>
      <c r="I383" s="36"/>
      <c r="J383" s="35"/>
    </row>
    <row r="384" spans="1:10" x14ac:dyDescent="0.2">
      <c r="A384" s="35"/>
      <c r="B384" s="39" t="str">
        <f>IF(A384="","",IFERROR(VLOOKUP(A384,Scénáře!$A$4:$B$503,2,FALSE()),"ID nenalezeno"))</f>
        <v/>
      </c>
      <c r="C384" s="36"/>
      <c r="D384" s="35"/>
      <c r="E384" s="35"/>
      <c r="F384" s="11"/>
      <c r="G384" s="11"/>
      <c r="H384" s="35"/>
      <c r="I384" s="36"/>
      <c r="J384" s="35"/>
    </row>
    <row r="385" spans="1:10" x14ac:dyDescent="0.2">
      <c r="A385" s="35"/>
      <c r="B385" s="39" t="str">
        <f>IF(A385="","",IFERROR(VLOOKUP(A385,Scénáře!$A$4:$B$503,2,FALSE()),"ID nenalezeno"))</f>
        <v/>
      </c>
      <c r="C385" s="36"/>
      <c r="D385" s="35"/>
      <c r="E385" s="35"/>
      <c r="F385" s="11"/>
      <c r="G385" s="11"/>
      <c r="H385" s="35"/>
      <c r="I385" s="36"/>
      <c r="J385" s="35"/>
    </row>
    <row r="386" spans="1:10" x14ac:dyDescent="0.2">
      <c r="A386" s="35"/>
      <c r="B386" s="39" t="str">
        <f>IF(A386="","",IFERROR(VLOOKUP(A386,Scénáře!$A$4:$B$503,2,FALSE()),"ID nenalezeno"))</f>
        <v/>
      </c>
      <c r="C386" s="36"/>
      <c r="D386" s="35"/>
      <c r="E386" s="35"/>
      <c r="F386" s="11"/>
      <c r="G386" s="11"/>
      <c r="H386" s="35"/>
      <c r="I386" s="36"/>
      <c r="J386" s="35"/>
    </row>
    <row r="387" spans="1:10" x14ac:dyDescent="0.2">
      <c r="A387" s="35"/>
      <c r="B387" s="39" t="str">
        <f>IF(A387="","",IFERROR(VLOOKUP(A387,Scénáře!$A$4:$B$503,2,FALSE()),"ID nenalezeno"))</f>
        <v/>
      </c>
      <c r="C387" s="36"/>
      <c r="D387" s="35"/>
      <c r="E387" s="35"/>
      <c r="F387" s="11"/>
      <c r="G387" s="11"/>
      <c r="H387" s="35"/>
      <c r="I387" s="36"/>
      <c r="J387" s="35"/>
    </row>
    <row r="388" spans="1:10" x14ac:dyDescent="0.2">
      <c r="A388" s="35"/>
      <c r="B388" s="39" t="str">
        <f>IF(A388="","",IFERROR(VLOOKUP(A388,Scénáře!$A$4:$B$503,2,FALSE()),"ID nenalezeno"))</f>
        <v/>
      </c>
      <c r="C388" s="36"/>
      <c r="D388" s="35"/>
      <c r="E388" s="35"/>
      <c r="F388" s="11"/>
      <c r="G388" s="11"/>
      <c r="H388" s="35"/>
      <c r="I388" s="36"/>
      <c r="J388" s="35"/>
    </row>
    <row r="389" spans="1:10" x14ac:dyDescent="0.2">
      <c r="A389" s="35"/>
      <c r="B389" s="39" t="str">
        <f>IF(A389="","",IFERROR(VLOOKUP(A389,Scénáře!$A$4:$B$503,2,FALSE()),"ID nenalezeno"))</f>
        <v/>
      </c>
      <c r="C389" s="36"/>
      <c r="D389" s="35"/>
      <c r="E389" s="35"/>
      <c r="F389" s="11"/>
      <c r="G389" s="11"/>
      <c r="H389" s="35"/>
      <c r="I389" s="36"/>
      <c r="J389" s="35"/>
    </row>
    <row r="390" spans="1:10" x14ac:dyDescent="0.2">
      <c r="A390" s="35"/>
      <c r="B390" s="39" t="str">
        <f>IF(A390="","",IFERROR(VLOOKUP(A390,Scénáře!$A$4:$B$503,2,FALSE()),"ID nenalezeno"))</f>
        <v/>
      </c>
      <c r="C390" s="36"/>
      <c r="D390" s="35"/>
      <c r="E390" s="35"/>
      <c r="F390" s="11"/>
      <c r="G390" s="11"/>
      <c r="H390" s="35"/>
      <c r="I390" s="36"/>
      <c r="J390" s="35"/>
    </row>
    <row r="391" spans="1:10" x14ac:dyDescent="0.2">
      <c r="A391" s="35"/>
      <c r="B391" s="39" t="str">
        <f>IF(A391="","",IFERROR(VLOOKUP(A391,Scénáře!$A$4:$B$503,2,FALSE()),"ID nenalezeno"))</f>
        <v/>
      </c>
      <c r="C391" s="36"/>
      <c r="D391" s="35"/>
      <c r="E391" s="35"/>
      <c r="F391" s="11"/>
      <c r="G391" s="11"/>
      <c r="H391" s="35"/>
      <c r="I391" s="36"/>
      <c r="J391" s="35"/>
    </row>
    <row r="392" spans="1:10" x14ac:dyDescent="0.2">
      <c r="A392" s="35"/>
      <c r="B392" s="39" t="str">
        <f>IF(A392="","",IFERROR(VLOOKUP(A392,Scénáře!$A$4:$B$503,2,FALSE()),"ID nenalezeno"))</f>
        <v/>
      </c>
      <c r="C392" s="36"/>
      <c r="D392" s="35"/>
      <c r="E392" s="35"/>
      <c r="F392" s="11"/>
      <c r="G392" s="11"/>
      <c r="H392" s="35"/>
      <c r="I392" s="36"/>
      <c r="J392" s="35"/>
    </row>
    <row r="393" spans="1:10" x14ac:dyDescent="0.2">
      <c r="A393" s="35"/>
      <c r="B393" s="39" t="str">
        <f>IF(A393="","",IFERROR(VLOOKUP(A393,Scénáře!$A$4:$B$503,2,FALSE()),"ID nenalezeno"))</f>
        <v/>
      </c>
      <c r="C393" s="36"/>
      <c r="D393" s="35"/>
      <c r="E393" s="35"/>
      <c r="F393" s="11"/>
      <c r="G393" s="11"/>
      <c r="H393" s="35"/>
      <c r="I393" s="36"/>
      <c r="J393" s="35"/>
    </row>
    <row r="394" spans="1:10" x14ac:dyDescent="0.2">
      <c r="A394" s="35"/>
      <c r="B394" s="39" t="str">
        <f>IF(A394="","",IFERROR(VLOOKUP(A394,Scénáře!$A$4:$B$503,2,FALSE()),"ID nenalezeno"))</f>
        <v/>
      </c>
      <c r="C394" s="36"/>
      <c r="D394" s="35"/>
      <c r="E394" s="35"/>
      <c r="F394" s="11"/>
      <c r="G394" s="11"/>
      <c r="H394" s="35"/>
      <c r="I394" s="36"/>
      <c r="J394" s="35"/>
    </row>
    <row r="395" spans="1:10" x14ac:dyDescent="0.2">
      <c r="A395" s="35"/>
      <c r="B395" s="39" t="str">
        <f>IF(A395="","",IFERROR(VLOOKUP(A395,Scénáře!$A$4:$B$503,2,FALSE()),"ID nenalezeno"))</f>
        <v/>
      </c>
      <c r="C395" s="36"/>
      <c r="D395" s="35"/>
      <c r="E395" s="35"/>
      <c r="F395" s="11"/>
      <c r="G395" s="11"/>
      <c r="H395" s="35"/>
      <c r="I395" s="36"/>
      <c r="J395" s="35"/>
    </row>
    <row r="396" spans="1:10" x14ac:dyDescent="0.2">
      <c r="A396" s="35"/>
      <c r="B396" s="39" t="str">
        <f>IF(A396="","",IFERROR(VLOOKUP(A396,Scénáře!$A$4:$B$503,2,FALSE()),"ID nenalezeno"))</f>
        <v/>
      </c>
      <c r="C396" s="36"/>
      <c r="D396" s="35"/>
      <c r="E396" s="35"/>
      <c r="F396" s="11"/>
      <c r="G396" s="11"/>
      <c r="H396" s="35"/>
      <c r="I396" s="36"/>
      <c r="J396" s="35"/>
    </row>
    <row r="397" spans="1:10" x14ac:dyDescent="0.2">
      <c r="A397" s="35"/>
      <c r="B397" s="39" t="str">
        <f>IF(A397="","",IFERROR(VLOOKUP(A397,Scénáře!$A$4:$B$503,2,FALSE()),"ID nenalezeno"))</f>
        <v/>
      </c>
      <c r="C397" s="36"/>
      <c r="D397" s="35"/>
      <c r="E397" s="35"/>
      <c r="F397" s="11"/>
      <c r="G397" s="11"/>
      <c r="H397" s="35"/>
      <c r="I397" s="36"/>
      <c r="J397" s="35"/>
    </row>
    <row r="398" spans="1:10" x14ac:dyDescent="0.2">
      <c r="A398" s="35"/>
      <c r="B398" s="39" t="str">
        <f>IF(A398="","",IFERROR(VLOOKUP(A398,Scénáře!$A$4:$B$503,2,FALSE()),"ID nenalezeno"))</f>
        <v/>
      </c>
      <c r="C398" s="36"/>
      <c r="D398" s="35"/>
      <c r="E398" s="35"/>
      <c r="F398" s="11"/>
      <c r="G398" s="11"/>
      <c r="H398" s="35"/>
      <c r="I398" s="36"/>
      <c r="J398" s="35"/>
    </row>
    <row r="399" spans="1:10" x14ac:dyDescent="0.2">
      <c r="A399" s="35"/>
      <c r="B399" s="39" t="str">
        <f>IF(A399="","",IFERROR(VLOOKUP(A399,Scénáře!$A$4:$B$503,2,FALSE()),"ID nenalezeno"))</f>
        <v/>
      </c>
      <c r="C399" s="36"/>
      <c r="D399" s="35"/>
      <c r="E399" s="35"/>
      <c r="F399" s="11"/>
      <c r="G399" s="11"/>
      <c r="H399" s="35"/>
      <c r="I399" s="36"/>
      <c r="J399" s="35"/>
    </row>
    <row r="400" spans="1:10" x14ac:dyDescent="0.2">
      <c r="A400" s="35"/>
      <c r="B400" s="39" t="str">
        <f>IF(A400="","",IFERROR(VLOOKUP(A400,Scénáře!$A$4:$B$503,2,FALSE()),"ID nenalezeno"))</f>
        <v/>
      </c>
      <c r="C400" s="36"/>
      <c r="D400" s="35"/>
      <c r="E400" s="35"/>
      <c r="F400" s="11"/>
      <c r="G400" s="11"/>
      <c r="H400" s="35"/>
      <c r="I400" s="36"/>
      <c r="J400" s="35"/>
    </row>
    <row r="401" spans="1:10" x14ac:dyDescent="0.2">
      <c r="A401" s="35"/>
      <c r="B401" s="39" t="str">
        <f>IF(A401="","",IFERROR(VLOOKUP(A401,Scénáře!$A$4:$B$503,2,FALSE()),"ID nenalezeno"))</f>
        <v/>
      </c>
      <c r="C401" s="36"/>
      <c r="D401" s="35"/>
      <c r="E401" s="35"/>
      <c r="F401" s="11"/>
      <c r="G401" s="11"/>
      <c r="H401" s="35"/>
      <c r="I401" s="36"/>
      <c r="J401" s="35"/>
    </row>
    <row r="402" spans="1:10" x14ac:dyDescent="0.2">
      <c r="A402" s="35"/>
      <c r="B402" s="39" t="str">
        <f>IF(A402="","",IFERROR(VLOOKUP(A402,Scénáře!$A$4:$B$503,2,FALSE()),"ID nenalezeno"))</f>
        <v/>
      </c>
      <c r="C402" s="36"/>
      <c r="D402" s="35"/>
      <c r="E402" s="35"/>
      <c r="F402" s="11"/>
      <c r="G402" s="11"/>
      <c r="H402" s="35"/>
      <c r="I402" s="36"/>
      <c r="J402" s="35"/>
    </row>
    <row r="403" spans="1:10" x14ac:dyDescent="0.2">
      <c r="A403" s="35"/>
      <c r="B403" s="39" t="str">
        <f>IF(A403="","",IFERROR(VLOOKUP(A403,Scénáře!$A$4:$B$503,2,FALSE()),"ID nenalezeno"))</f>
        <v/>
      </c>
      <c r="C403" s="36"/>
      <c r="D403" s="35"/>
      <c r="E403" s="35"/>
      <c r="F403" s="11"/>
      <c r="G403" s="11"/>
      <c r="H403" s="35"/>
      <c r="I403" s="36"/>
      <c r="J403" s="35"/>
    </row>
    <row r="404" spans="1:10" x14ac:dyDescent="0.2">
      <c r="A404" s="35"/>
      <c r="B404" s="39" t="str">
        <f>IF(A404="","",IFERROR(VLOOKUP(A404,Scénáře!$A$4:$B$503,2,FALSE()),"ID nenalezeno"))</f>
        <v/>
      </c>
      <c r="C404" s="36"/>
      <c r="D404" s="35"/>
      <c r="E404" s="35"/>
      <c r="F404" s="11"/>
      <c r="G404" s="11"/>
      <c r="H404" s="35"/>
      <c r="I404" s="36"/>
      <c r="J404" s="35"/>
    </row>
    <row r="405" spans="1:10" x14ac:dyDescent="0.2">
      <c r="A405" s="35"/>
      <c r="B405" s="39" t="str">
        <f>IF(A405="","",IFERROR(VLOOKUP(A405,Scénáře!$A$4:$B$503,2,FALSE()),"ID nenalezeno"))</f>
        <v/>
      </c>
      <c r="C405" s="36"/>
      <c r="D405" s="35"/>
      <c r="E405" s="35"/>
      <c r="F405" s="11"/>
      <c r="G405" s="11"/>
      <c r="H405" s="35"/>
      <c r="I405" s="36"/>
      <c r="J405" s="35"/>
    </row>
    <row r="406" spans="1:10" x14ac:dyDescent="0.2">
      <c r="A406" s="35"/>
      <c r="B406" s="39" t="str">
        <f>IF(A406="","",IFERROR(VLOOKUP(A406,Scénáře!$A$4:$B$503,2,FALSE()),"ID nenalezeno"))</f>
        <v/>
      </c>
      <c r="C406" s="36"/>
      <c r="D406" s="35"/>
      <c r="E406" s="35"/>
      <c r="F406" s="11"/>
      <c r="G406" s="11"/>
      <c r="H406" s="35"/>
      <c r="I406" s="36"/>
      <c r="J406" s="35"/>
    </row>
    <row r="407" spans="1:10" x14ac:dyDescent="0.2">
      <c r="A407" s="35"/>
      <c r="B407" s="39" t="str">
        <f>IF(A407="","",IFERROR(VLOOKUP(A407,Scénáře!$A$4:$B$503,2,FALSE()),"ID nenalezeno"))</f>
        <v/>
      </c>
      <c r="C407" s="36"/>
      <c r="D407" s="35"/>
      <c r="E407" s="35"/>
      <c r="F407" s="11"/>
      <c r="G407" s="11"/>
      <c r="H407" s="35"/>
      <c r="I407" s="36"/>
      <c r="J407" s="35"/>
    </row>
    <row r="408" spans="1:10" x14ac:dyDescent="0.2">
      <c r="A408" s="35"/>
      <c r="B408" s="39" t="str">
        <f>IF(A408="","",IFERROR(VLOOKUP(A408,Scénáře!$A$4:$B$503,2,FALSE()),"ID nenalezeno"))</f>
        <v/>
      </c>
      <c r="C408" s="36"/>
      <c r="D408" s="35"/>
      <c r="E408" s="35"/>
      <c r="F408" s="11"/>
      <c r="G408" s="11"/>
      <c r="H408" s="35"/>
      <c r="I408" s="36"/>
      <c r="J408" s="35"/>
    </row>
    <row r="409" spans="1:10" x14ac:dyDescent="0.2">
      <c r="A409" s="35"/>
      <c r="B409" s="39" t="str">
        <f>IF(A409="","",IFERROR(VLOOKUP(A409,Scénáře!$A$4:$B$503,2,FALSE()),"ID nenalezeno"))</f>
        <v/>
      </c>
      <c r="C409" s="36"/>
      <c r="D409" s="35"/>
      <c r="E409" s="35"/>
      <c r="F409" s="11"/>
      <c r="G409" s="11"/>
      <c r="H409" s="35"/>
      <c r="I409" s="36"/>
      <c r="J409" s="35"/>
    </row>
    <row r="410" spans="1:10" x14ac:dyDescent="0.2">
      <c r="A410" s="35"/>
      <c r="B410" s="39" t="str">
        <f>IF(A410="","",IFERROR(VLOOKUP(A410,Scénáře!$A$4:$B$503,2,FALSE()),"ID nenalezeno"))</f>
        <v/>
      </c>
      <c r="C410" s="36"/>
      <c r="D410" s="35"/>
      <c r="E410" s="35"/>
      <c r="F410" s="11"/>
      <c r="G410" s="11"/>
      <c r="H410" s="35"/>
      <c r="I410" s="36"/>
      <c r="J410" s="35"/>
    </row>
    <row r="411" spans="1:10" x14ac:dyDescent="0.2">
      <c r="A411" s="35"/>
      <c r="B411" s="39" t="str">
        <f>IF(A411="","",IFERROR(VLOOKUP(A411,Scénáře!$A$4:$B$503,2,FALSE()),"ID nenalezeno"))</f>
        <v/>
      </c>
      <c r="C411" s="36"/>
      <c r="D411" s="35"/>
      <c r="E411" s="35"/>
      <c r="F411" s="11"/>
      <c r="G411" s="11"/>
      <c r="H411" s="35"/>
      <c r="I411" s="36"/>
      <c r="J411" s="35"/>
    </row>
    <row r="412" spans="1:10" x14ac:dyDescent="0.2">
      <c r="A412" s="35"/>
      <c r="B412" s="39" t="str">
        <f>IF(A412="","",IFERROR(VLOOKUP(A412,Scénáře!$A$4:$B$503,2,FALSE()),"ID nenalezeno"))</f>
        <v/>
      </c>
      <c r="C412" s="36"/>
      <c r="D412" s="35"/>
      <c r="E412" s="35"/>
      <c r="F412" s="11"/>
      <c r="G412" s="11"/>
      <c r="H412" s="35"/>
      <c r="I412" s="36"/>
      <c r="J412" s="35"/>
    </row>
    <row r="413" spans="1:10" x14ac:dyDescent="0.2">
      <c r="A413" s="35"/>
      <c r="B413" s="39" t="str">
        <f>IF(A413="","",IFERROR(VLOOKUP(A413,Scénáře!$A$4:$B$503,2,FALSE()),"ID nenalezeno"))</f>
        <v/>
      </c>
      <c r="C413" s="36"/>
      <c r="D413" s="35"/>
      <c r="E413" s="35"/>
      <c r="F413" s="11"/>
      <c r="G413" s="11"/>
      <c r="H413" s="35"/>
      <c r="I413" s="36"/>
      <c r="J413" s="35"/>
    </row>
    <row r="414" spans="1:10" x14ac:dyDescent="0.2">
      <c r="A414" s="35"/>
      <c r="B414" s="39" t="str">
        <f>IF(A414="","",IFERROR(VLOOKUP(A414,Scénáře!$A$4:$B$503,2,FALSE()),"ID nenalezeno"))</f>
        <v/>
      </c>
      <c r="C414" s="36"/>
      <c r="D414" s="35"/>
      <c r="E414" s="35"/>
      <c r="F414" s="11"/>
      <c r="G414" s="11"/>
      <c r="H414" s="35"/>
      <c r="I414" s="36"/>
      <c r="J414" s="35"/>
    </row>
    <row r="415" spans="1:10" x14ac:dyDescent="0.2">
      <c r="A415" s="35"/>
      <c r="B415" s="39" t="str">
        <f>IF(A415="","",IFERROR(VLOOKUP(A415,Scénáře!$A$4:$B$503,2,FALSE()),"ID nenalezeno"))</f>
        <v/>
      </c>
      <c r="C415" s="36"/>
      <c r="D415" s="35"/>
      <c r="E415" s="35"/>
      <c r="F415" s="11"/>
      <c r="G415" s="11"/>
      <c r="H415" s="35"/>
      <c r="I415" s="36"/>
      <c r="J415" s="35"/>
    </row>
    <row r="416" spans="1:10" x14ac:dyDescent="0.2">
      <c r="A416" s="35"/>
      <c r="B416" s="39" t="str">
        <f>IF(A416="","",IFERROR(VLOOKUP(A416,Scénáře!$A$4:$B$503,2,FALSE()),"ID nenalezeno"))</f>
        <v/>
      </c>
      <c r="C416" s="36"/>
      <c r="D416" s="35"/>
      <c r="E416" s="35"/>
      <c r="F416" s="11"/>
      <c r="G416" s="11"/>
      <c r="H416" s="35"/>
      <c r="I416" s="36"/>
      <c r="J416" s="35"/>
    </row>
    <row r="417" spans="1:10" x14ac:dyDescent="0.2">
      <c r="A417" s="35"/>
      <c r="B417" s="39" t="str">
        <f>IF(A417="","",IFERROR(VLOOKUP(A417,Scénáře!$A$4:$B$503,2,FALSE()),"ID nenalezeno"))</f>
        <v/>
      </c>
      <c r="C417" s="36"/>
      <c r="D417" s="35"/>
      <c r="E417" s="35"/>
      <c r="F417" s="11"/>
      <c r="G417" s="11"/>
      <c r="H417" s="35"/>
      <c r="I417" s="36"/>
      <c r="J417" s="35"/>
    </row>
    <row r="418" spans="1:10" x14ac:dyDescent="0.2">
      <c r="A418" s="35"/>
      <c r="B418" s="39" t="str">
        <f>IF(A418="","",IFERROR(VLOOKUP(A418,Scénáře!$A$4:$B$503,2,FALSE()),"ID nenalezeno"))</f>
        <v/>
      </c>
      <c r="C418" s="36"/>
      <c r="D418" s="35"/>
      <c r="E418" s="35"/>
      <c r="F418" s="11"/>
      <c r="G418" s="11"/>
      <c r="H418" s="35"/>
      <c r="I418" s="36"/>
      <c r="J418" s="35"/>
    </row>
    <row r="419" spans="1:10" x14ac:dyDescent="0.2">
      <c r="A419" s="35"/>
      <c r="B419" s="39" t="str">
        <f>IF(A419="","",IFERROR(VLOOKUP(A419,Scénáře!$A$4:$B$503,2,FALSE()),"ID nenalezeno"))</f>
        <v/>
      </c>
      <c r="C419" s="36"/>
      <c r="D419" s="35"/>
      <c r="E419" s="35"/>
      <c r="F419" s="11"/>
      <c r="G419" s="11"/>
      <c r="H419" s="35"/>
      <c r="I419" s="36"/>
      <c r="J419" s="35"/>
    </row>
    <row r="420" spans="1:10" x14ac:dyDescent="0.2">
      <c r="A420" s="35"/>
      <c r="B420" s="39" t="str">
        <f>IF(A420="","",IFERROR(VLOOKUP(A420,Scénáře!$A$4:$B$503,2,FALSE()),"ID nenalezeno"))</f>
        <v/>
      </c>
      <c r="C420" s="36"/>
      <c r="D420" s="35"/>
      <c r="E420" s="35"/>
      <c r="F420" s="11"/>
      <c r="G420" s="11"/>
      <c r="H420" s="35"/>
      <c r="I420" s="36"/>
      <c r="J420" s="35"/>
    </row>
    <row r="421" spans="1:10" x14ac:dyDescent="0.2">
      <c r="A421" s="35"/>
      <c r="B421" s="39" t="str">
        <f>IF(A421="","",IFERROR(VLOOKUP(A421,Scénáře!$A$4:$B$503,2,FALSE()),"ID nenalezeno"))</f>
        <v/>
      </c>
      <c r="C421" s="36"/>
      <c r="D421" s="35"/>
      <c r="E421" s="35"/>
      <c r="F421" s="11"/>
      <c r="G421" s="11"/>
      <c r="H421" s="35"/>
      <c r="I421" s="36"/>
      <c r="J421" s="35"/>
    </row>
    <row r="422" spans="1:10" x14ac:dyDescent="0.2">
      <c r="A422" s="35"/>
      <c r="B422" s="39" t="str">
        <f>IF(A422="","",IFERROR(VLOOKUP(A422,Scénáře!$A$4:$B$503,2,FALSE()),"ID nenalezeno"))</f>
        <v/>
      </c>
      <c r="C422" s="36"/>
      <c r="D422" s="35"/>
      <c r="E422" s="35"/>
      <c r="F422" s="11"/>
      <c r="G422" s="11"/>
      <c r="H422" s="35"/>
      <c r="I422" s="36"/>
      <c r="J422" s="35"/>
    </row>
    <row r="423" spans="1:10" x14ac:dyDescent="0.2">
      <c r="A423" s="35"/>
      <c r="B423" s="39" t="str">
        <f>IF(A423="","",IFERROR(VLOOKUP(A423,Scénáře!$A$4:$B$503,2,FALSE()),"ID nenalezeno"))</f>
        <v/>
      </c>
      <c r="C423" s="36"/>
      <c r="D423" s="35"/>
      <c r="E423" s="35"/>
      <c r="F423" s="11"/>
      <c r="G423" s="11"/>
      <c r="H423" s="35"/>
      <c r="I423" s="36"/>
      <c r="J423" s="35"/>
    </row>
    <row r="424" spans="1:10" x14ac:dyDescent="0.2">
      <c r="A424" s="35"/>
      <c r="B424" s="39" t="str">
        <f>IF(A424="","",IFERROR(VLOOKUP(A424,Scénáře!$A$4:$B$503,2,FALSE()),"ID nenalezeno"))</f>
        <v/>
      </c>
      <c r="C424" s="36"/>
      <c r="D424" s="35"/>
      <c r="E424" s="35"/>
      <c r="F424" s="11"/>
      <c r="G424" s="11"/>
      <c r="H424" s="35"/>
      <c r="I424" s="36"/>
      <c r="J424" s="35"/>
    </row>
    <row r="425" spans="1:10" x14ac:dyDescent="0.2">
      <c r="A425" s="35"/>
      <c r="B425" s="39" t="str">
        <f>IF(A425="","",IFERROR(VLOOKUP(A425,Scénáře!$A$4:$B$503,2,FALSE()),"ID nenalezeno"))</f>
        <v/>
      </c>
      <c r="C425" s="36"/>
      <c r="D425" s="35"/>
      <c r="E425" s="35"/>
      <c r="F425" s="11"/>
      <c r="G425" s="11"/>
      <c r="H425" s="35"/>
      <c r="I425" s="36"/>
      <c r="J425" s="35"/>
    </row>
    <row r="426" spans="1:10" x14ac:dyDescent="0.2">
      <c r="A426" s="35"/>
      <c r="B426" s="39" t="str">
        <f>IF(A426="","",IFERROR(VLOOKUP(A426,Scénáře!$A$4:$B$503,2,FALSE()),"ID nenalezeno"))</f>
        <v/>
      </c>
      <c r="C426" s="36"/>
      <c r="D426" s="35"/>
      <c r="E426" s="35"/>
      <c r="F426" s="11"/>
      <c r="G426" s="11"/>
      <c r="H426" s="35"/>
      <c r="I426" s="36"/>
      <c r="J426" s="35"/>
    </row>
    <row r="427" spans="1:10" x14ac:dyDescent="0.2">
      <c r="A427" s="35"/>
      <c r="B427" s="39" t="str">
        <f>IF(A427="","",IFERROR(VLOOKUP(A427,Scénáře!$A$4:$B$503,2,FALSE()),"ID nenalezeno"))</f>
        <v/>
      </c>
      <c r="C427" s="36"/>
      <c r="D427" s="35"/>
      <c r="E427" s="35"/>
      <c r="F427" s="11"/>
      <c r="G427" s="11"/>
      <c r="H427" s="35"/>
      <c r="I427" s="36"/>
      <c r="J427" s="35"/>
    </row>
    <row r="428" spans="1:10" x14ac:dyDescent="0.2">
      <c r="A428" s="35"/>
      <c r="B428" s="39" t="str">
        <f>IF(A428="","",IFERROR(VLOOKUP(A428,Scénáře!$A$4:$B$503,2,FALSE()),"ID nenalezeno"))</f>
        <v/>
      </c>
      <c r="C428" s="36"/>
      <c r="D428" s="35"/>
      <c r="E428" s="35"/>
      <c r="F428" s="11"/>
      <c r="G428" s="11"/>
      <c r="H428" s="35"/>
      <c r="I428" s="36"/>
      <c r="J428" s="35"/>
    </row>
    <row r="429" spans="1:10" x14ac:dyDescent="0.2">
      <c r="A429" s="35"/>
      <c r="B429" s="39" t="str">
        <f>IF(A429="","",IFERROR(VLOOKUP(A429,Scénáře!$A$4:$B$503,2,FALSE()),"ID nenalezeno"))</f>
        <v/>
      </c>
      <c r="C429" s="36"/>
      <c r="D429" s="35"/>
      <c r="E429" s="35"/>
      <c r="F429" s="11"/>
      <c r="G429" s="11"/>
      <c r="H429" s="35"/>
      <c r="I429" s="36"/>
      <c r="J429" s="35"/>
    </row>
    <row r="430" spans="1:10" x14ac:dyDescent="0.2">
      <c r="A430" s="35"/>
      <c r="B430" s="39" t="str">
        <f>IF(A430="","",IFERROR(VLOOKUP(A430,Scénáře!$A$4:$B$503,2,FALSE()),"ID nenalezeno"))</f>
        <v/>
      </c>
      <c r="C430" s="36"/>
      <c r="D430" s="35"/>
      <c r="E430" s="35"/>
      <c r="F430" s="11"/>
      <c r="G430" s="11"/>
      <c r="H430" s="35"/>
      <c r="I430" s="36"/>
      <c r="J430" s="35"/>
    </row>
    <row r="431" spans="1:10" x14ac:dyDescent="0.2">
      <c r="A431" s="35"/>
      <c r="B431" s="39" t="str">
        <f>IF(A431="","",IFERROR(VLOOKUP(A431,Scénáře!$A$4:$B$503,2,FALSE()),"ID nenalezeno"))</f>
        <v/>
      </c>
      <c r="C431" s="36"/>
      <c r="D431" s="35"/>
      <c r="E431" s="35"/>
      <c r="F431" s="11"/>
      <c r="G431" s="11"/>
      <c r="H431" s="35"/>
      <c r="I431" s="36"/>
      <c r="J431" s="35"/>
    </row>
    <row r="432" spans="1:10" x14ac:dyDescent="0.2">
      <c r="A432" s="35"/>
      <c r="B432" s="39" t="str">
        <f>IF(A432="","",IFERROR(VLOOKUP(A432,Scénáře!$A$4:$B$503,2,FALSE()),"ID nenalezeno"))</f>
        <v/>
      </c>
      <c r="C432" s="36"/>
      <c r="D432" s="35"/>
      <c r="E432" s="35"/>
      <c r="F432" s="11"/>
      <c r="G432" s="11"/>
      <c r="H432" s="35"/>
      <c r="I432" s="36"/>
      <c r="J432" s="35"/>
    </row>
    <row r="433" spans="1:10" x14ac:dyDescent="0.2">
      <c r="A433" s="35"/>
      <c r="B433" s="39" t="str">
        <f>IF(A433="","",IFERROR(VLOOKUP(A433,Scénáře!$A$4:$B$503,2,FALSE()),"ID nenalezeno"))</f>
        <v/>
      </c>
      <c r="C433" s="36"/>
      <c r="D433" s="35"/>
      <c r="E433" s="35"/>
      <c r="F433" s="11"/>
      <c r="G433" s="11"/>
      <c r="H433" s="35"/>
      <c r="I433" s="36"/>
      <c r="J433" s="35"/>
    </row>
    <row r="434" spans="1:10" x14ac:dyDescent="0.2">
      <c r="A434" s="35"/>
      <c r="B434" s="39" t="str">
        <f>IF(A434="","",IFERROR(VLOOKUP(A434,Scénáře!$A$4:$B$503,2,FALSE()),"ID nenalezeno"))</f>
        <v/>
      </c>
      <c r="C434" s="36"/>
      <c r="D434" s="35"/>
      <c r="E434" s="35"/>
      <c r="F434" s="11"/>
      <c r="G434" s="11"/>
      <c r="H434" s="35"/>
      <c r="I434" s="36"/>
      <c r="J434" s="35"/>
    </row>
    <row r="435" spans="1:10" x14ac:dyDescent="0.2">
      <c r="A435" s="35"/>
      <c r="B435" s="39" t="str">
        <f>IF(A435="","",IFERROR(VLOOKUP(A435,Scénáře!$A$4:$B$503,2,FALSE()),"ID nenalezeno"))</f>
        <v/>
      </c>
      <c r="C435" s="36"/>
      <c r="D435" s="35"/>
      <c r="E435" s="35"/>
      <c r="F435" s="11"/>
      <c r="G435" s="11"/>
      <c r="H435" s="35"/>
      <c r="I435" s="36"/>
      <c r="J435" s="35"/>
    </row>
    <row r="436" spans="1:10" x14ac:dyDescent="0.2">
      <c r="A436" s="35"/>
      <c r="B436" s="39" t="str">
        <f>IF(A436="","",IFERROR(VLOOKUP(A436,Scénáře!$A$4:$B$503,2,FALSE()),"ID nenalezeno"))</f>
        <v/>
      </c>
      <c r="C436" s="36"/>
      <c r="D436" s="35"/>
      <c r="E436" s="35"/>
      <c r="F436" s="11"/>
      <c r="G436" s="11"/>
      <c r="H436" s="35"/>
      <c r="I436" s="36"/>
      <c r="J436" s="35"/>
    </row>
    <row r="437" spans="1:10" x14ac:dyDescent="0.2">
      <c r="A437" s="35"/>
      <c r="B437" s="39" t="str">
        <f>IF(A437="","",IFERROR(VLOOKUP(A437,Scénáře!$A$4:$B$503,2,FALSE()),"ID nenalezeno"))</f>
        <v/>
      </c>
      <c r="C437" s="36"/>
      <c r="D437" s="35"/>
      <c r="E437" s="35"/>
      <c r="F437" s="11"/>
      <c r="G437" s="11"/>
      <c r="H437" s="35"/>
      <c r="I437" s="36"/>
      <c r="J437" s="35"/>
    </row>
    <row r="438" spans="1:10" x14ac:dyDescent="0.2">
      <c r="A438" s="35"/>
      <c r="B438" s="39" t="str">
        <f>IF(A438="","",IFERROR(VLOOKUP(A438,Scénáře!$A$4:$B$503,2,FALSE()),"ID nenalezeno"))</f>
        <v/>
      </c>
      <c r="C438" s="36"/>
      <c r="D438" s="35"/>
      <c r="E438" s="35"/>
      <c r="F438" s="11"/>
      <c r="G438" s="11"/>
      <c r="H438" s="35"/>
      <c r="I438" s="36"/>
      <c r="J438" s="35"/>
    </row>
    <row r="439" spans="1:10" x14ac:dyDescent="0.2">
      <c r="A439" s="35"/>
      <c r="B439" s="39" t="str">
        <f>IF(A439="","",IFERROR(VLOOKUP(A439,Scénáře!$A$4:$B$503,2,FALSE()),"ID nenalezeno"))</f>
        <v/>
      </c>
      <c r="C439" s="36"/>
      <c r="D439" s="35"/>
      <c r="E439" s="35"/>
      <c r="F439" s="11"/>
      <c r="G439" s="11"/>
      <c r="H439" s="35"/>
      <c r="I439" s="36"/>
      <c r="J439" s="35"/>
    </row>
    <row r="440" spans="1:10" x14ac:dyDescent="0.2">
      <c r="A440" s="35"/>
      <c r="B440" s="39" t="str">
        <f>IF(A440="","",IFERROR(VLOOKUP(A440,Scénáře!$A$4:$B$503,2,FALSE()),"ID nenalezeno"))</f>
        <v/>
      </c>
      <c r="C440" s="36"/>
      <c r="D440" s="35"/>
      <c r="E440" s="35"/>
      <c r="F440" s="11"/>
      <c r="G440" s="11"/>
      <c r="H440" s="35"/>
      <c r="I440" s="36"/>
      <c r="J440" s="35"/>
    </row>
    <row r="441" spans="1:10" x14ac:dyDescent="0.2">
      <c r="A441" s="35"/>
      <c r="B441" s="39" t="str">
        <f>IF(A441="","",IFERROR(VLOOKUP(A441,Scénáře!$A$4:$B$503,2,FALSE()),"ID nenalezeno"))</f>
        <v/>
      </c>
      <c r="C441" s="36"/>
      <c r="D441" s="35"/>
      <c r="E441" s="35"/>
      <c r="F441" s="11"/>
      <c r="G441" s="11"/>
      <c r="H441" s="35"/>
      <c r="I441" s="36"/>
      <c r="J441" s="35"/>
    </row>
    <row r="442" spans="1:10" x14ac:dyDescent="0.2">
      <c r="A442" s="35"/>
      <c r="B442" s="39" t="str">
        <f>IF(A442="","",IFERROR(VLOOKUP(A442,Scénáře!$A$4:$B$503,2,FALSE()),"ID nenalezeno"))</f>
        <v/>
      </c>
      <c r="C442" s="36"/>
      <c r="D442" s="35"/>
      <c r="E442" s="35"/>
      <c r="F442" s="11"/>
      <c r="G442" s="11"/>
      <c r="H442" s="35"/>
      <c r="I442" s="36"/>
      <c r="J442" s="35"/>
    </row>
    <row r="443" spans="1:10" x14ac:dyDescent="0.2">
      <c r="A443" s="35"/>
      <c r="B443" s="39" t="str">
        <f>IF(A443="","",IFERROR(VLOOKUP(A443,Scénáře!$A$4:$B$503,2,FALSE()),"ID nenalezeno"))</f>
        <v/>
      </c>
      <c r="C443" s="36"/>
      <c r="D443" s="35"/>
      <c r="E443" s="35"/>
      <c r="F443" s="11"/>
      <c r="G443" s="11"/>
      <c r="H443" s="35"/>
      <c r="I443" s="36"/>
      <c r="J443" s="35"/>
    </row>
    <row r="444" spans="1:10" x14ac:dyDescent="0.2">
      <c r="A444" s="35"/>
      <c r="B444" s="39" t="str">
        <f>IF(A444="","",IFERROR(VLOOKUP(A444,Scénáře!$A$4:$B$503,2,FALSE()),"ID nenalezeno"))</f>
        <v/>
      </c>
      <c r="C444" s="36"/>
      <c r="D444" s="35"/>
      <c r="E444" s="35"/>
      <c r="F444" s="11"/>
      <c r="G444" s="11"/>
      <c r="H444" s="35"/>
      <c r="I444" s="36"/>
      <c r="J444" s="35"/>
    </row>
    <row r="445" spans="1:10" x14ac:dyDescent="0.2">
      <c r="A445" s="35"/>
      <c r="B445" s="39" t="str">
        <f>IF(A445="","",IFERROR(VLOOKUP(A445,Scénáře!$A$4:$B$503,2,FALSE()),"ID nenalezeno"))</f>
        <v/>
      </c>
      <c r="C445" s="36"/>
      <c r="D445" s="35"/>
      <c r="E445" s="35"/>
      <c r="F445" s="11"/>
      <c r="G445" s="11"/>
      <c r="H445" s="35"/>
      <c r="I445" s="36"/>
      <c r="J445" s="35"/>
    </row>
    <row r="446" spans="1:10" x14ac:dyDescent="0.2">
      <c r="A446" s="35"/>
      <c r="B446" s="39" t="str">
        <f>IF(A446="","",IFERROR(VLOOKUP(A446,Scénáře!$A$4:$B$503,2,FALSE()),"ID nenalezeno"))</f>
        <v/>
      </c>
      <c r="C446" s="36"/>
      <c r="D446" s="35"/>
      <c r="E446" s="35"/>
      <c r="F446" s="11"/>
      <c r="G446" s="11"/>
      <c r="H446" s="35"/>
      <c r="I446" s="36"/>
      <c r="J446" s="35"/>
    </row>
    <row r="447" spans="1:10" x14ac:dyDescent="0.2">
      <c r="A447" s="35"/>
      <c r="B447" s="39" t="str">
        <f>IF(A447="","",IFERROR(VLOOKUP(A447,Scénáře!$A$4:$B$503,2,FALSE()),"ID nenalezeno"))</f>
        <v/>
      </c>
      <c r="C447" s="36"/>
      <c r="D447" s="35"/>
      <c r="E447" s="35"/>
      <c r="F447" s="11"/>
      <c r="G447" s="11"/>
      <c r="H447" s="35"/>
      <c r="I447" s="36"/>
      <c r="J447" s="35"/>
    </row>
    <row r="448" spans="1:10" x14ac:dyDescent="0.2">
      <c r="A448" s="35"/>
      <c r="B448" s="39" t="str">
        <f>IF(A448="","",IFERROR(VLOOKUP(A448,Scénáře!$A$4:$B$503,2,FALSE()),"ID nenalezeno"))</f>
        <v/>
      </c>
      <c r="C448" s="36"/>
      <c r="D448" s="35"/>
      <c r="E448" s="35"/>
      <c r="F448" s="11"/>
      <c r="G448" s="11"/>
      <c r="H448" s="35"/>
      <c r="I448" s="36"/>
      <c r="J448" s="35"/>
    </row>
    <row r="449" spans="1:10" x14ac:dyDescent="0.2">
      <c r="A449" s="35"/>
      <c r="B449" s="39" t="str">
        <f>IF(A449="","",IFERROR(VLOOKUP(A449,Scénáře!$A$4:$B$503,2,FALSE()),"ID nenalezeno"))</f>
        <v/>
      </c>
      <c r="C449" s="36"/>
      <c r="D449" s="35"/>
      <c r="E449" s="35"/>
      <c r="F449" s="11"/>
      <c r="G449" s="11"/>
      <c r="H449" s="35"/>
      <c r="I449" s="36"/>
      <c r="J449" s="35"/>
    </row>
    <row r="450" spans="1:10" x14ac:dyDescent="0.2">
      <c r="A450" s="35"/>
      <c r="B450" s="39" t="str">
        <f>IF(A450="","",IFERROR(VLOOKUP(A450,Scénáře!$A$4:$B$503,2,FALSE()),"ID nenalezeno"))</f>
        <v/>
      </c>
      <c r="C450" s="36"/>
      <c r="D450" s="35"/>
      <c r="E450" s="35"/>
      <c r="F450" s="11"/>
      <c r="G450" s="11"/>
      <c r="H450" s="35"/>
      <c r="I450" s="36"/>
      <c r="J450" s="35"/>
    </row>
    <row r="451" spans="1:10" x14ac:dyDescent="0.2">
      <c r="A451" s="35"/>
      <c r="B451" s="39" t="str">
        <f>IF(A451="","",IFERROR(VLOOKUP(A451,Scénáře!$A$4:$B$503,2,FALSE()),"ID nenalezeno"))</f>
        <v/>
      </c>
      <c r="C451" s="36"/>
      <c r="D451" s="35"/>
      <c r="E451" s="35"/>
      <c r="F451" s="11"/>
      <c r="G451" s="11"/>
      <c r="H451" s="35"/>
      <c r="I451" s="36"/>
      <c r="J451" s="35"/>
    </row>
    <row r="452" spans="1:10" x14ac:dyDescent="0.2">
      <c r="A452" s="35"/>
      <c r="B452" s="39" t="str">
        <f>IF(A452="","",IFERROR(VLOOKUP(A452,Scénáře!$A$4:$B$503,2,FALSE()),"ID nenalezeno"))</f>
        <v/>
      </c>
      <c r="C452" s="36"/>
      <c r="D452" s="35"/>
      <c r="E452" s="35"/>
      <c r="F452" s="11"/>
      <c r="G452" s="11"/>
      <c r="H452" s="35"/>
      <c r="I452" s="36"/>
      <c r="J452" s="35"/>
    </row>
    <row r="453" spans="1:10" x14ac:dyDescent="0.2">
      <c r="A453" s="35"/>
      <c r="B453" s="39" t="str">
        <f>IF(A453="","",IFERROR(VLOOKUP(A453,Scénáře!$A$4:$B$503,2,FALSE()),"ID nenalezeno"))</f>
        <v/>
      </c>
      <c r="C453" s="36"/>
      <c r="D453" s="35"/>
      <c r="E453" s="35"/>
      <c r="F453" s="11"/>
      <c r="G453" s="11"/>
      <c r="H453" s="35"/>
      <c r="I453" s="36"/>
      <c r="J453" s="35"/>
    </row>
    <row r="454" spans="1:10" x14ac:dyDescent="0.2">
      <c r="A454" s="35"/>
      <c r="B454" s="39" t="str">
        <f>IF(A454="","",IFERROR(VLOOKUP(A454,Scénáře!$A$4:$B$503,2,FALSE()),"ID nenalezeno"))</f>
        <v/>
      </c>
      <c r="C454" s="36"/>
      <c r="D454" s="35"/>
      <c r="E454" s="35"/>
      <c r="F454" s="11"/>
      <c r="G454" s="11"/>
      <c r="H454" s="35"/>
      <c r="I454" s="36"/>
      <c r="J454" s="35"/>
    </row>
    <row r="455" spans="1:10" x14ac:dyDescent="0.2">
      <c r="A455" s="35"/>
      <c r="B455" s="39" t="str">
        <f>IF(A455="","",IFERROR(VLOOKUP(A455,Scénáře!$A$4:$B$503,2,FALSE()),"ID nenalezeno"))</f>
        <v/>
      </c>
      <c r="C455" s="36"/>
      <c r="D455" s="35"/>
      <c r="E455" s="35"/>
      <c r="F455" s="11"/>
      <c r="G455" s="11"/>
      <c r="H455" s="35"/>
      <c r="I455" s="36"/>
      <c r="J455" s="35"/>
    </row>
    <row r="456" spans="1:10" x14ac:dyDescent="0.2">
      <c r="A456" s="35"/>
      <c r="B456" s="39" t="str">
        <f>IF(A456="","",IFERROR(VLOOKUP(A456,Scénáře!$A$4:$B$503,2,FALSE()),"ID nenalezeno"))</f>
        <v/>
      </c>
      <c r="C456" s="36"/>
      <c r="D456" s="35"/>
      <c r="E456" s="35"/>
      <c r="F456" s="11"/>
      <c r="G456" s="11"/>
      <c r="H456" s="35"/>
      <c r="I456" s="36"/>
      <c r="J456" s="35"/>
    </row>
    <row r="457" spans="1:10" x14ac:dyDescent="0.2">
      <c r="A457" s="35"/>
      <c r="B457" s="39" t="str">
        <f>IF(A457="","",IFERROR(VLOOKUP(A457,Scénáře!$A$4:$B$503,2,FALSE()),"ID nenalezeno"))</f>
        <v/>
      </c>
      <c r="C457" s="36"/>
      <c r="D457" s="35"/>
      <c r="E457" s="35"/>
      <c r="F457" s="11"/>
      <c r="G457" s="11"/>
      <c r="H457" s="35"/>
      <c r="I457" s="36"/>
      <c r="J457" s="35"/>
    </row>
    <row r="458" spans="1:10" x14ac:dyDescent="0.2">
      <c r="A458" s="35"/>
      <c r="B458" s="39" t="str">
        <f>IF(A458="","",IFERROR(VLOOKUP(A458,Scénáře!$A$4:$B$503,2,FALSE()),"ID nenalezeno"))</f>
        <v/>
      </c>
      <c r="C458" s="36"/>
      <c r="D458" s="35"/>
      <c r="E458" s="35"/>
      <c r="F458" s="11"/>
      <c r="G458" s="11"/>
      <c r="H458" s="35"/>
      <c r="I458" s="36"/>
      <c r="J458" s="35"/>
    </row>
    <row r="459" spans="1:10" x14ac:dyDescent="0.2">
      <c r="A459" s="35"/>
      <c r="B459" s="39" t="str">
        <f>IF(A459="","",IFERROR(VLOOKUP(A459,Scénáře!$A$4:$B$503,2,FALSE()),"ID nenalezeno"))</f>
        <v/>
      </c>
      <c r="C459" s="36"/>
      <c r="D459" s="35"/>
      <c r="E459" s="35"/>
      <c r="F459" s="11"/>
      <c r="G459" s="11"/>
      <c r="H459" s="35"/>
      <c r="I459" s="36"/>
      <c r="J459" s="35"/>
    </row>
    <row r="460" spans="1:10" x14ac:dyDescent="0.2">
      <c r="A460" s="35"/>
      <c r="B460" s="39" t="str">
        <f>IF(A460="","",IFERROR(VLOOKUP(A460,Scénáře!$A$4:$B$503,2,FALSE()),"ID nenalezeno"))</f>
        <v/>
      </c>
      <c r="C460" s="36"/>
      <c r="D460" s="35"/>
      <c r="E460" s="35"/>
      <c r="F460" s="11"/>
      <c r="G460" s="11"/>
      <c r="H460" s="35"/>
      <c r="I460" s="36"/>
      <c r="J460" s="35"/>
    </row>
    <row r="461" spans="1:10" x14ac:dyDescent="0.2">
      <c r="A461" s="35"/>
      <c r="B461" s="39" t="str">
        <f>IF(A461="","",IFERROR(VLOOKUP(A461,Scénáře!$A$4:$B$503,2,FALSE()),"ID nenalezeno"))</f>
        <v/>
      </c>
      <c r="C461" s="36"/>
      <c r="D461" s="35"/>
      <c r="E461" s="35"/>
      <c r="F461" s="11"/>
      <c r="G461" s="11"/>
      <c r="H461" s="35"/>
      <c r="I461" s="36"/>
      <c r="J461" s="35"/>
    </row>
    <row r="462" spans="1:10" x14ac:dyDescent="0.2">
      <c r="A462" s="35"/>
      <c r="B462" s="39" t="str">
        <f>IF(A462="","",IFERROR(VLOOKUP(A462,Scénáře!$A$4:$B$503,2,FALSE()),"ID nenalezeno"))</f>
        <v/>
      </c>
      <c r="C462" s="36"/>
      <c r="D462" s="35"/>
      <c r="E462" s="35"/>
      <c r="F462" s="11"/>
      <c r="G462" s="11"/>
      <c r="H462" s="35"/>
      <c r="I462" s="36"/>
      <c r="J462" s="35"/>
    </row>
    <row r="463" spans="1:10" x14ac:dyDescent="0.2">
      <c r="A463" s="35"/>
      <c r="B463" s="39" t="str">
        <f>IF(A463="","",IFERROR(VLOOKUP(A463,Scénáře!$A$4:$B$503,2,FALSE()),"ID nenalezeno"))</f>
        <v/>
      </c>
      <c r="C463" s="36"/>
      <c r="D463" s="35"/>
      <c r="E463" s="35"/>
      <c r="F463" s="11"/>
      <c r="G463" s="11"/>
      <c r="H463" s="35"/>
      <c r="I463" s="36"/>
      <c r="J463" s="35"/>
    </row>
    <row r="464" spans="1:10" x14ac:dyDescent="0.2">
      <c r="A464" s="35"/>
      <c r="B464" s="39" t="str">
        <f>IF(A464="","",IFERROR(VLOOKUP(A464,Scénáře!$A$4:$B$503,2,FALSE()),"ID nenalezeno"))</f>
        <v/>
      </c>
      <c r="C464" s="36"/>
      <c r="D464" s="35"/>
      <c r="E464" s="35"/>
      <c r="F464" s="11"/>
      <c r="G464" s="11"/>
      <c r="H464" s="35"/>
      <c r="I464" s="36"/>
      <c r="J464" s="35"/>
    </row>
    <row r="465" spans="1:10" x14ac:dyDescent="0.2">
      <c r="A465" s="35"/>
      <c r="B465" s="39" t="str">
        <f>IF(A465="","",IFERROR(VLOOKUP(A465,Scénáře!$A$4:$B$503,2,FALSE()),"ID nenalezeno"))</f>
        <v/>
      </c>
      <c r="C465" s="36"/>
      <c r="D465" s="35"/>
      <c r="E465" s="35"/>
      <c r="F465" s="11"/>
      <c r="G465" s="11"/>
      <c r="H465" s="35"/>
      <c r="I465" s="36"/>
      <c r="J465" s="35"/>
    </row>
    <row r="466" spans="1:10" x14ac:dyDescent="0.2">
      <c r="A466" s="35"/>
      <c r="B466" s="39" t="str">
        <f>IF(A466="","",IFERROR(VLOOKUP(A466,Scénáře!$A$4:$B$503,2,FALSE()),"ID nenalezeno"))</f>
        <v/>
      </c>
      <c r="C466" s="36"/>
      <c r="D466" s="35"/>
      <c r="E466" s="35"/>
      <c r="F466" s="11"/>
      <c r="G466" s="11"/>
      <c r="H466" s="35"/>
      <c r="I466" s="36"/>
      <c r="J466" s="35"/>
    </row>
    <row r="467" spans="1:10" x14ac:dyDescent="0.2">
      <c r="A467" s="35"/>
      <c r="B467" s="39" t="str">
        <f>IF(A467="","",IFERROR(VLOOKUP(A467,Scénáře!$A$4:$B$503,2,FALSE()),"ID nenalezeno"))</f>
        <v/>
      </c>
      <c r="C467" s="36"/>
      <c r="D467" s="35"/>
      <c r="E467" s="35"/>
      <c r="F467" s="11"/>
      <c r="G467" s="11"/>
      <c r="H467" s="35"/>
      <c r="I467" s="36"/>
      <c r="J467" s="35"/>
    </row>
    <row r="468" spans="1:10" x14ac:dyDescent="0.2">
      <c r="A468" s="35"/>
      <c r="B468" s="39" t="str">
        <f>IF(A468="","",IFERROR(VLOOKUP(A468,Scénáře!$A$4:$B$503,2,FALSE()),"ID nenalezeno"))</f>
        <v/>
      </c>
      <c r="C468" s="36"/>
      <c r="D468" s="35"/>
      <c r="E468" s="35"/>
      <c r="F468" s="11"/>
      <c r="G468" s="11"/>
      <c r="H468" s="35"/>
      <c r="I468" s="36"/>
      <c r="J468" s="35"/>
    </row>
    <row r="469" spans="1:10" x14ac:dyDescent="0.2">
      <c r="A469" s="35"/>
      <c r="B469" s="39" t="str">
        <f>IF(A469="","",IFERROR(VLOOKUP(A469,Scénáře!$A$4:$B$503,2,FALSE()),"ID nenalezeno"))</f>
        <v/>
      </c>
      <c r="C469" s="36"/>
      <c r="D469" s="35"/>
      <c r="E469" s="35"/>
      <c r="F469" s="11"/>
      <c r="G469" s="11"/>
      <c r="H469" s="35"/>
      <c r="I469" s="36"/>
      <c r="J469" s="35"/>
    </row>
    <row r="470" spans="1:10" x14ac:dyDescent="0.2">
      <c r="A470" s="35"/>
      <c r="B470" s="39" t="str">
        <f>IF(A470="","",IFERROR(VLOOKUP(A470,Scénáře!$A$4:$B$503,2,FALSE()),"ID nenalezeno"))</f>
        <v/>
      </c>
      <c r="C470" s="36"/>
      <c r="D470" s="35"/>
      <c r="E470" s="35"/>
      <c r="F470" s="11"/>
      <c r="G470" s="11"/>
      <c r="H470" s="35"/>
      <c r="I470" s="36"/>
      <c r="J470" s="35"/>
    </row>
    <row r="471" spans="1:10" x14ac:dyDescent="0.2">
      <c r="A471" s="35"/>
      <c r="B471" s="39" t="str">
        <f>IF(A471="","",IFERROR(VLOOKUP(A471,Scénáře!$A$4:$B$503,2,FALSE()),"ID nenalezeno"))</f>
        <v/>
      </c>
      <c r="C471" s="36"/>
      <c r="D471" s="35"/>
      <c r="E471" s="35"/>
      <c r="F471" s="11"/>
      <c r="G471" s="11"/>
      <c r="H471" s="35"/>
      <c r="I471" s="36"/>
      <c r="J471" s="35"/>
    </row>
    <row r="472" spans="1:10" x14ac:dyDescent="0.2">
      <c r="A472" s="35"/>
      <c r="B472" s="39" t="str">
        <f>IF(A472="","",IFERROR(VLOOKUP(A472,Scénáře!$A$4:$B$503,2,FALSE()),"ID nenalezeno"))</f>
        <v/>
      </c>
      <c r="C472" s="36"/>
      <c r="D472" s="35"/>
      <c r="E472" s="35"/>
      <c r="F472" s="11"/>
      <c r="G472" s="11"/>
      <c r="H472" s="35"/>
      <c r="I472" s="36"/>
      <c r="J472" s="35"/>
    </row>
    <row r="473" spans="1:10" x14ac:dyDescent="0.2">
      <c r="A473" s="35"/>
      <c r="B473" s="39" t="str">
        <f>IF(A473="","",IFERROR(VLOOKUP(A473,Scénáře!$A$4:$B$503,2,FALSE()),"ID nenalezeno"))</f>
        <v/>
      </c>
      <c r="C473" s="36"/>
      <c r="D473" s="35"/>
      <c r="E473" s="35"/>
      <c r="F473" s="11"/>
      <c r="G473" s="11"/>
      <c r="H473" s="35"/>
      <c r="I473" s="36"/>
      <c r="J473" s="35"/>
    </row>
    <row r="474" spans="1:10" x14ac:dyDescent="0.2">
      <c r="A474" s="35"/>
      <c r="B474" s="39" t="str">
        <f>IF(A474="","",IFERROR(VLOOKUP(A474,Scénáře!$A$4:$B$503,2,FALSE()),"ID nenalezeno"))</f>
        <v/>
      </c>
      <c r="C474" s="36"/>
      <c r="D474" s="35"/>
      <c r="E474" s="35"/>
      <c r="F474" s="11"/>
      <c r="G474" s="11"/>
      <c r="H474" s="35"/>
      <c r="I474" s="36"/>
      <c r="J474" s="35"/>
    </row>
    <row r="475" spans="1:10" x14ac:dyDescent="0.2">
      <c r="A475" s="35"/>
      <c r="B475" s="39" t="str">
        <f>IF(A475="","",IFERROR(VLOOKUP(A475,Scénáře!$A$4:$B$503,2,FALSE()),"ID nenalezeno"))</f>
        <v/>
      </c>
      <c r="C475" s="36"/>
      <c r="D475" s="35"/>
      <c r="E475" s="35"/>
      <c r="F475" s="11"/>
      <c r="G475" s="11"/>
      <c r="H475" s="35"/>
      <c r="I475" s="36"/>
      <c r="J475" s="35"/>
    </row>
    <row r="476" spans="1:10" x14ac:dyDescent="0.2">
      <c r="A476" s="35"/>
      <c r="B476" s="39" t="str">
        <f>IF(A476="","",IFERROR(VLOOKUP(A476,Scénáře!$A$4:$B$503,2,FALSE()),"ID nenalezeno"))</f>
        <v/>
      </c>
      <c r="C476" s="36"/>
      <c r="D476" s="35"/>
      <c r="E476" s="35"/>
      <c r="F476" s="11"/>
      <c r="G476" s="11"/>
      <c r="H476" s="35"/>
      <c r="I476" s="36"/>
      <c r="J476" s="35"/>
    </row>
    <row r="477" spans="1:10" x14ac:dyDescent="0.2">
      <c r="A477" s="35"/>
      <c r="B477" s="39" t="str">
        <f>IF(A477="","",IFERROR(VLOOKUP(A477,Scénáře!$A$4:$B$503,2,FALSE()),"ID nenalezeno"))</f>
        <v/>
      </c>
      <c r="C477" s="36"/>
      <c r="D477" s="35"/>
      <c r="E477" s="35"/>
      <c r="F477" s="11"/>
      <c r="G477" s="11"/>
      <c r="H477" s="35"/>
      <c r="I477" s="36"/>
      <c r="J477" s="35"/>
    </row>
    <row r="478" spans="1:10" x14ac:dyDescent="0.2">
      <c r="A478" s="35"/>
      <c r="B478" s="39" t="str">
        <f>IF(A478="","",IFERROR(VLOOKUP(A478,Scénáře!$A$4:$B$503,2,FALSE()),"ID nenalezeno"))</f>
        <v/>
      </c>
      <c r="C478" s="36"/>
      <c r="D478" s="35"/>
      <c r="E478" s="35"/>
      <c r="F478" s="11"/>
      <c r="G478" s="11"/>
      <c r="H478" s="35"/>
      <c r="I478" s="36"/>
      <c r="J478" s="35"/>
    </row>
    <row r="479" spans="1:10" x14ac:dyDescent="0.2">
      <c r="A479" s="35"/>
      <c r="B479" s="39" t="str">
        <f>IF(A479="","",IFERROR(VLOOKUP(A479,Scénáře!$A$4:$B$503,2,FALSE()),"ID nenalezeno"))</f>
        <v/>
      </c>
      <c r="C479" s="36"/>
      <c r="D479" s="35"/>
      <c r="E479" s="35"/>
      <c r="F479" s="11"/>
      <c r="G479" s="11"/>
      <c r="H479" s="35"/>
      <c r="I479" s="36"/>
      <c r="J479" s="35"/>
    </row>
    <row r="480" spans="1:10" x14ac:dyDescent="0.2">
      <c r="A480" s="35"/>
      <c r="B480" s="39" t="str">
        <f>IF(A480="","",IFERROR(VLOOKUP(A480,Scénáře!$A$4:$B$503,2,FALSE()),"ID nenalezeno"))</f>
        <v/>
      </c>
      <c r="C480" s="36"/>
      <c r="D480" s="35"/>
      <c r="E480" s="35"/>
      <c r="F480" s="11"/>
      <c r="G480" s="11"/>
      <c r="H480" s="35"/>
      <c r="I480" s="36"/>
      <c r="J480" s="35"/>
    </row>
    <row r="481" spans="1:10" x14ac:dyDescent="0.2">
      <c r="A481" s="35"/>
      <c r="B481" s="39" t="str">
        <f>IF(A481="","",IFERROR(VLOOKUP(A481,Scénáře!$A$4:$B$503,2,FALSE()),"ID nenalezeno"))</f>
        <v/>
      </c>
      <c r="C481" s="36"/>
      <c r="D481" s="35"/>
      <c r="E481" s="35"/>
      <c r="F481" s="11"/>
      <c r="G481" s="11"/>
      <c r="H481" s="35"/>
      <c r="I481" s="36"/>
      <c r="J481" s="35"/>
    </row>
    <row r="482" spans="1:10" x14ac:dyDescent="0.2">
      <c r="A482" s="35"/>
      <c r="B482" s="39" t="str">
        <f>IF(A482="","",IFERROR(VLOOKUP(A482,Scénáře!$A$4:$B$503,2,FALSE()),"ID nenalezeno"))</f>
        <v/>
      </c>
      <c r="C482" s="36"/>
      <c r="D482" s="35"/>
      <c r="E482" s="35"/>
      <c r="F482" s="11"/>
      <c r="G482" s="11"/>
      <c r="H482" s="35"/>
      <c r="I482" s="36"/>
      <c r="J482" s="35"/>
    </row>
    <row r="483" spans="1:10" x14ac:dyDescent="0.2">
      <c r="A483" s="35"/>
      <c r="B483" s="39" t="str">
        <f>IF(A483="","",IFERROR(VLOOKUP(A483,Scénáře!$A$4:$B$503,2,FALSE()),"ID nenalezeno"))</f>
        <v/>
      </c>
      <c r="C483" s="36"/>
      <c r="D483" s="35"/>
      <c r="E483" s="35"/>
      <c r="F483" s="11"/>
      <c r="G483" s="11"/>
      <c r="H483" s="35"/>
      <c r="I483" s="36"/>
      <c r="J483" s="35"/>
    </row>
    <row r="484" spans="1:10" x14ac:dyDescent="0.2">
      <c r="A484" s="35"/>
      <c r="B484" s="39" t="str">
        <f>IF(A484="","",IFERROR(VLOOKUP(A484,Scénáře!$A$4:$B$503,2,FALSE()),"ID nenalezeno"))</f>
        <v/>
      </c>
      <c r="C484" s="36"/>
      <c r="D484" s="35"/>
      <c r="E484" s="35"/>
      <c r="F484" s="11"/>
      <c r="G484" s="11"/>
      <c r="H484" s="35"/>
      <c r="I484" s="36"/>
      <c r="J484" s="35"/>
    </row>
    <row r="485" spans="1:10" x14ac:dyDescent="0.2">
      <c r="A485" s="35"/>
      <c r="B485" s="39" t="str">
        <f>IF(A485="","",IFERROR(VLOOKUP(A485,Scénáře!$A$4:$B$503,2,FALSE()),"ID nenalezeno"))</f>
        <v/>
      </c>
      <c r="C485" s="36"/>
      <c r="D485" s="35"/>
      <c r="E485" s="35"/>
      <c r="F485" s="11"/>
      <c r="G485" s="11"/>
      <c r="H485" s="35"/>
      <c r="I485" s="36"/>
      <c r="J485" s="35"/>
    </row>
    <row r="486" spans="1:10" x14ac:dyDescent="0.2">
      <c r="A486" s="35"/>
      <c r="B486" s="39" t="str">
        <f>IF(A486="","",IFERROR(VLOOKUP(A486,Scénáře!$A$4:$B$503,2,FALSE()),"ID nenalezeno"))</f>
        <v/>
      </c>
      <c r="C486" s="36"/>
      <c r="D486" s="35"/>
      <c r="E486" s="35"/>
      <c r="F486" s="11"/>
      <c r="G486" s="11"/>
      <c r="H486" s="35"/>
      <c r="I486" s="36"/>
      <c r="J486" s="35"/>
    </row>
    <row r="487" spans="1:10" x14ac:dyDescent="0.2">
      <c r="A487" s="35"/>
      <c r="B487" s="39" t="str">
        <f>IF(A487="","",IFERROR(VLOOKUP(A487,Scénáře!$A$4:$B$503,2,FALSE()),"ID nenalezeno"))</f>
        <v/>
      </c>
      <c r="C487" s="36"/>
      <c r="D487" s="35"/>
      <c r="E487" s="35"/>
      <c r="F487" s="11"/>
      <c r="G487" s="11"/>
      <c r="H487" s="35"/>
      <c r="I487" s="36"/>
      <c r="J487" s="35"/>
    </row>
    <row r="488" spans="1:10" x14ac:dyDescent="0.2">
      <c r="A488" s="35"/>
      <c r="B488" s="39" t="str">
        <f>IF(A488="","",IFERROR(VLOOKUP(A488,Scénáře!$A$4:$B$503,2,FALSE()),"ID nenalezeno"))</f>
        <v/>
      </c>
      <c r="C488" s="36"/>
      <c r="D488" s="35"/>
      <c r="E488" s="35"/>
      <c r="F488" s="11"/>
      <c r="G488" s="11"/>
      <c r="H488" s="35"/>
      <c r="I488" s="36"/>
      <c r="J488" s="35"/>
    </row>
    <row r="489" spans="1:10" x14ac:dyDescent="0.2">
      <c r="A489" s="35"/>
      <c r="B489" s="39" t="str">
        <f>IF(A489="","",IFERROR(VLOOKUP(A489,Scénáře!$A$4:$B$503,2,FALSE()),"ID nenalezeno"))</f>
        <v/>
      </c>
      <c r="C489" s="36"/>
      <c r="D489" s="35"/>
      <c r="E489" s="35"/>
      <c r="F489" s="11"/>
      <c r="G489" s="11"/>
      <c r="H489" s="35"/>
      <c r="I489" s="36"/>
      <c r="J489" s="35"/>
    </row>
    <row r="490" spans="1:10" x14ac:dyDescent="0.2">
      <c r="A490" s="35"/>
      <c r="B490" s="39" t="str">
        <f>IF(A490="","",IFERROR(VLOOKUP(A490,Scénáře!$A$4:$B$503,2,FALSE()),"ID nenalezeno"))</f>
        <v/>
      </c>
      <c r="C490" s="36"/>
      <c r="D490" s="35"/>
      <c r="E490" s="35"/>
      <c r="F490" s="11"/>
      <c r="G490" s="11"/>
      <c r="H490" s="35"/>
      <c r="I490" s="36"/>
      <c r="J490" s="35"/>
    </row>
    <row r="491" spans="1:10" x14ac:dyDescent="0.2">
      <c r="A491" s="35"/>
      <c r="B491" s="39" t="str">
        <f>IF(A491="","",IFERROR(VLOOKUP(A491,Scénáře!$A$4:$B$503,2,FALSE()),"ID nenalezeno"))</f>
        <v/>
      </c>
      <c r="C491" s="36"/>
      <c r="D491" s="35"/>
      <c r="E491" s="35"/>
      <c r="F491" s="11"/>
      <c r="G491" s="11"/>
      <c r="H491" s="35"/>
      <c r="I491" s="36"/>
      <c r="J491" s="35"/>
    </row>
    <row r="492" spans="1:10" x14ac:dyDescent="0.2">
      <c r="A492" s="35"/>
      <c r="B492" s="39" t="str">
        <f>IF(A492="","",IFERROR(VLOOKUP(A492,Scénáře!$A$4:$B$503,2,FALSE()),"ID nenalezeno"))</f>
        <v/>
      </c>
      <c r="C492" s="36"/>
      <c r="D492" s="35"/>
      <c r="E492" s="35"/>
      <c r="F492" s="11"/>
      <c r="G492" s="11"/>
      <c r="H492" s="35"/>
      <c r="I492" s="36"/>
      <c r="J492" s="35"/>
    </row>
    <row r="493" spans="1:10" x14ac:dyDescent="0.2">
      <c r="A493" s="35"/>
      <c r="B493" s="39" t="str">
        <f>IF(A493="","",IFERROR(VLOOKUP(A493,Scénáře!$A$4:$B$503,2,FALSE()),"ID nenalezeno"))</f>
        <v/>
      </c>
      <c r="C493" s="36"/>
      <c r="D493" s="35"/>
      <c r="E493" s="35"/>
      <c r="F493" s="11"/>
      <c r="G493" s="11"/>
      <c r="H493" s="35"/>
      <c r="I493" s="36"/>
      <c r="J493" s="35"/>
    </row>
    <row r="494" spans="1:10" x14ac:dyDescent="0.2">
      <c r="A494" s="35"/>
      <c r="B494" s="39" t="str">
        <f>IF(A494="","",IFERROR(VLOOKUP(A494,Scénáře!$A$4:$B$503,2,FALSE()),"ID nenalezeno"))</f>
        <v/>
      </c>
      <c r="C494" s="36"/>
      <c r="D494" s="35"/>
      <c r="E494" s="35"/>
      <c r="F494" s="11"/>
      <c r="G494" s="11"/>
      <c r="H494" s="35"/>
      <c r="I494" s="36"/>
      <c r="J494" s="35"/>
    </row>
    <row r="495" spans="1:10" x14ac:dyDescent="0.2">
      <c r="A495" s="35"/>
      <c r="B495" s="39" t="str">
        <f>IF(A495="","",IFERROR(VLOOKUP(A495,Scénáře!$A$4:$B$503,2,FALSE()),"ID nenalezeno"))</f>
        <v/>
      </c>
      <c r="C495" s="36"/>
      <c r="D495" s="35"/>
      <c r="E495" s="35"/>
      <c r="F495" s="11"/>
      <c r="G495" s="11"/>
      <c r="H495" s="35"/>
      <c r="I495" s="36"/>
      <c r="J495" s="35"/>
    </row>
    <row r="496" spans="1:10" x14ac:dyDescent="0.2">
      <c r="A496" s="35"/>
      <c r="B496" s="39" t="str">
        <f>IF(A496="","",IFERROR(VLOOKUP(A496,Scénáře!$A$4:$B$503,2,FALSE()),"ID nenalezeno"))</f>
        <v/>
      </c>
      <c r="C496" s="36"/>
      <c r="D496" s="35"/>
      <c r="E496" s="35"/>
      <c r="F496" s="11"/>
      <c r="G496" s="11"/>
      <c r="H496" s="35"/>
      <c r="I496" s="36"/>
      <c r="J496" s="35"/>
    </row>
    <row r="497" spans="1:10" x14ac:dyDescent="0.2">
      <c r="A497" s="35"/>
      <c r="B497" s="39" t="str">
        <f>IF(A497="","",IFERROR(VLOOKUP(A497,Scénáře!$A$4:$B$503,2,FALSE()),"ID nenalezeno"))</f>
        <v/>
      </c>
      <c r="C497" s="36"/>
      <c r="D497" s="35"/>
      <c r="E497" s="35"/>
      <c r="F497" s="11"/>
      <c r="G497" s="11"/>
      <c r="H497" s="35"/>
      <c r="I497" s="36"/>
      <c r="J497" s="35"/>
    </row>
    <row r="498" spans="1:10" x14ac:dyDescent="0.2">
      <c r="A498" s="35"/>
      <c r="B498" s="39" t="str">
        <f>IF(A498="","",IFERROR(VLOOKUP(A498,Scénáře!$A$4:$B$503,2,FALSE()),"ID nenalezeno"))</f>
        <v/>
      </c>
      <c r="C498" s="36"/>
      <c r="D498" s="35"/>
      <c r="E498" s="35"/>
      <c r="F498" s="11"/>
      <c r="G498" s="11"/>
      <c r="H498" s="35"/>
      <c r="I498" s="36"/>
      <c r="J498" s="35"/>
    </row>
    <row r="499" spans="1:10" x14ac:dyDescent="0.2">
      <c r="A499" s="35"/>
      <c r="B499" s="39" t="str">
        <f>IF(A499="","",IFERROR(VLOOKUP(A499,Scénáře!$A$4:$B$503,2,FALSE()),"ID nenalezeno"))</f>
        <v/>
      </c>
      <c r="C499" s="36"/>
      <c r="D499" s="35"/>
      <c r="E499" s="35"/>
      <c r="F499" s="11"/>
      <c r="G499" s="11"/>
      <c r="H499" s="35"/>
      <c r="I499" s="36"/>
      <c r="J499" s="35"/>
    </row>
    <row r="500" spans="1:10" x14ac:dyDescent="0.2">
      <c r="A500" s="35"/>
      <c r="B500" s="39" t="str">
        <f>IF(A500="","",IFERROR(VLOOKUP(A500,Scénáře!$A$4:$B$503,2,FALSE()),"ID nenalezeno"))</f>
        <v/>
      </c>
      <c r="C500" s="36"/>
      <c r="D500" s="35"/>
      <c r="E500" s="35"/>
      <c r="F500" s="11"/>
      <c r="G500" s="11"/>
      <c r="H500" s="35"/>
      <c r="I500" s="36"/>
      <c r="J500" s="35"/>
    </row>
    <row r="501" spans="1:10" x14ac:dyDescent="0.2">
      <c r="A501" s="35"/>
      <c r="B501" s="39" t="str">
        <f>IF(A501="","",IFERROR(VLOOKUP(A501,Scénáře!$A$4:$B$503,2,FALSE()),"ID nenalezeno"))</f>
        <v/>
      </c>
      <c r="C501" s="36"/>
      <c r="D501" s="35"/>
      <c r="E501" s="35"/>
      <c r="F501" s="11"/>
      <c r="G501" s="11"/>
      <c r="H501" s="35"/>
      <c r="I501" s="36"/>
      <c r="J501" s="35"/>
    </row>
    <row r="502" spans="1:10" x14ac:dyDescent="0.2">
      <c r="A502" s="35"/>
      <c r="B502" s="39" t="str">
        <f>IF(A502="","",IFERROR(VLOOKUP(A502,Scénáře!$A$4:$B$503,2,FALSE()),"ID nenalezeno"))</f>
        <v/>
      </c>
      <c r="C502" s="36"/>
      <c r="D502" s="35"/>
      <c r="E502" s="35"/>
      <c r="F502" s="11"/>
      <c r="G502" s="11"/>
      <c r="H502" s="35"/>
      <c r="I502" s="36"/>
      <c r="J502" s="35"/>
    </row>
    <row r="503" spans="1:10" x14ac:dyDescent="0.2">
      <c r="A503" s="35"/>
      <c r="B503" s="39" t="str">
        <f>IF(A503="","",IFERROR(VLOOKUP(A503,Scénáře!$A$4:$B$503,2,FALSE()),"ID nenalezeno"))</f>
        <v/>
      </c>
      <c r="C503" s="36"/>
      <c r="D503" s="35"/>
      <c r="E503" s="35"/>
      <c r="F503" s="11"/>
      <c r="G503" s="11"/>
      <c r="H503" s="35"/>
      <c r="I503" s="36"/>
      <c r="J503" s="35"/>
    </row>
  </sheetData>
  <autoFilter ref="A3:J503" xr:uid="{00000000-0009-0000-0000-000003000000}"/>
  <mergeCells count="2">
    <mergeCell ref="A2:F2"/>
    <mergeCell ref="G2:J2"/>
  </mergeCells>
  <conditionalFormatting sqref="A4:A503">
    <cfRule type="expression" dxfId="15" priority="5">
      <formula>AND($A4&lt;&gt;"",$J4="")</formula>
    </cfRule>
  </conditionalFormatting>
  <conditionalFormatting sqref="J4:J503">
    <cfRule type="expression" dxfId="14" priority="2">
      <formula>$J4="Nevyřešeno"</formula>
    </cfRule>
    <cfRule type="expression" dxfId="13" priority="3">
      <formula>$J4="Zapracováno"</formula>
    </cfRule>
    <cfRule type="expression" dxfId="12" priority="4">
      <formula>$J4="Uzavřeno"</formula>
    </cfRule>
  </conditionalFormatting>
  <dataValidations count="1">
    <dataValidation type="date" operator="greaterThan" allowBlank="1" showErrorMessage="1" errorTitle="Neplatné datum" error="Zadejte datum ve formátu DD.MM.RRRR." sqref="C4:C503 I4:I503" xr:uid="{00000000-0002-0000-0300-000000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Neplatná hodnota" error="Vyberte hodnotu z rozbalovacího seznamu." xr:uid="{00000000-0002-0000-0300-000001000000}">
          <x14:formula1>
            <xm:f>Scénáře!$A$4:$A$503</xm:f>
          </x14:formula1>
          <x14:formula2>
            <xm:f>0</xm:f>
          </x14:formula2>
          <xm:sqref>A4:A503</xm:sqref>
        </x14:dataValidation>
        <x14:dataValidation type="list" allowBlank="1" showErrorMessage="1" errorTitle="Neplatná hodnota" error="Vyberte hodnotu z rozbalovacího seznamu." xr:uid="{00000000-0002-0000-0300-000002000000}">
          <x14:formula1>
            <xm:f>Nastavení!$J$4:$J$8</xm:f>
          </x14:formula1>
          <x14:formula2>
            <xm:f>0</xm:f>
          </x14:formula2>
          <xm:sqref>D4:D503</xm:sqref>
        </x14:dataValidation>
        <x14:dataValidation type="list" allowBlank="1" showErrorMessage="1" errorTitle="Neplatná hodnota" error="Vyberte hodnotu z rozbalovacího seznamu." xr:uid="{00000000-0002-0000-0300-000003000000}">
          <x14:formula1>
            <xm:f>Nastavení!$R$4:$R$8</xm:f>
          </x14:formula1>
          <x14:formula2>
            <xm:f>0</xm:f>
          </x14:formula2>
          <xm:sqref>E4:E503</xm:sqref>
        </x14:dataValidation>
        <x14:dataValidation type="list" allowBlank="1" showErrorMessage="1" errorTitle="Neplatná hodnota" error="Vyberte hodnotu z rozbalovacího seznamu." xr:uid="{00000000-0002-0000-0300-000004000000}">
          <x14:formula1>
            <xm:f>Nastavení!$I$4:$I$18</xm:f>
          </x14:formula1>
          <x14:formula2>
            <xm:f>0</xm:f>
          </x14:formula2>
          <xm:sqref>H4:H503</xm:sqref>
        </x14:dataValidation>
        <x14:dataValidation type="list" allowBlank="1" showErrorMessage="1" errorTitle="Neplatná hodnota" error="Vyberte hodnotu z rozbalovacího seznamu." xr:uid="{00000000-0002-0000-0300-000005000000}">
          <x14:formula1>
            <xm:f>Nastavení!$Q$4:$Q$6</xm:f>
          </x14:formula1>
          <x14:formula2>
            <xm:f>0</xm:f>
          </x14:formula2>
          <xm:sqref>J4:J503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H5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0" customWidth="1"/>
    <col min="2" max="2" width="32" customWidth="1"/>
    <col min="3" max="3" width="12" customWidth="1"/>
    <col min="4" max="4" width="14" customWidth="1"/>
    <col min="5" max="5" width="13" customWidth="1"/>
    <col min="6" max="6" width="18" customWidth="1"/>
    <col min="7" max="7" width="45" customWidth="1"/>
    <col min="8" max="8" width="40" customWidth="1"/>
  </cols>
  <sheetData>
    <row r="1" spans="1:8" ht="20" x14ac:dyDescent="0.2">
      <c r="A1" s="7" t="s">
        <v>269</v>
      </c>
    </row>
    <row r="3" spans="1:8" ht="39.75" customHeight="1" x14ac:dyDescent="0.2">
      <c r="A3" s="33" t="s">
        <v>126</v>
      </c>
      <c r="B3" s="34" t="s">
        <v>248</v>
      </c>
      <c r="C3" s="34" t="s">
        <v>270</v>
      </c>
      <c r="D3" s="33" t="s">
        <v>67</v>
      </c>
      <c r="E3" s="33" t="s">
        <v>271</v>
      </c>
      <c r="F3" s="33" t="s">
        <v>272</v>
      </c>
      <c r="G3" s="33" t="s">
        <v>273</v>
      </c>
      <c r="H3" s="33" t="s">
        <v>274</v>
      </c>
    </row>
    <row r="4" spans="1:8" ht="28" x14ac:dyDescent="0.2">
      <c r="A4" s="35" t="s">
        <v>158</v>
      </c>
      <c r="B4" s="39" t="str">
        <f>IF(A4="","",IFERROR(VLOOKUP(A4,Scénáře!$A$4:$B$503,2,FALSE()),"ID nenalezeno"))</f>
        <v>UKÁZKA – Proč jsme vzali asistentku bez praxe</v>
      </c>
      <c r="C4" s="37" t="str">
        <f>IF(A4="","",IFERROR(VLOOKUP(A4,Scénáře!$A$4:$C$503,3,FALSE())&amp;"",""))</f>
        <v/>
      </c>
      <c r="D4" s="35" t="s">
        <v>163</v>
      </c>
      <c r="E4" s="36">
        <v>46305</v>
      </c>
      <c r="F4" s="35" t="s">
        <v>275</v>
      </c>
      <c r="G4" s="11" t="s">
        <v>276</v>
      </c>
      <c r="H4" s="11"/>
    </row>
    <row r="5" spans="1:8" ht="28" x14ac:dyDescent="0.2">
      <c r="A5" s="35" t="s">
        <v>158</v>
      </c>
      <c r="B5" s="39" t="str">
        <f>IF(A5="","",IFERROR(VLOOKUP(A5,Scénáře!$A$4:$B$503,2,FALSE()),"ID nenalezeno"))</f>
        <v>UKÁZKA – Proč jsme vzali asistentku bez praxe</v>
      </c>
      <c r="C5" s="37" t="str">
        <f>IF(A5="","",IFERROR(VLOOKUP(A5,Scénáře!$A$4:$C$503,3,FALSE())&amp;"",""))</f>
        <v/>
      </c>
      <c r="D5" s="35" t="s">
        <v>75</v>
      </c>
      <c r="E5" s="36">
        <v>46307</v>
      </c>
      <c r="F5" s="35" t="s">
        <v>140</v>
      </c>
      <c r="G5" s="11" t="s">
        <v>276</v>
      </c>
      <c r="H5" s="11" t="s">
        <v>277</v>
      </c>
    </row>
    <row r="6" spans="1:8" ht="28" x14ac:dyDescent="0.2">
      <c r="A6" s="35" t="s">
        <v>174</v>
      </c>
      <c r="B6" s="39" t="str">
        <f>IF(A6="","",IFERROR(VLOOKUP(A6,Scénáře!$A$4:$B$503,2,FALSE()),"ID nenalezeno"))</f>
        <v>UKÁZKA – Ranní rutina před schůzkou s klientem</v>
      </c>
      <c r="C6" s="37" t="str">
        <f>IF(A6="","",IFERROR(VLOOKUP(A6,Scénáře!$A$4:$C$503,3,FALSE())&amp;"",""))</f>
        <v/>
      </c>
      <c r="D6" s="35" t="s">
        <v>75</v>
      </c>
      <c r="E6" s="36">
        <v>46305</v>
      </c>
      <c r="F6" s="35" t="s">
        <v>275</v>
      </c>
      <c r="G6" s="11" t="s">
        <v>276</v>
      </c>
      <c r="H6" s="11"/>
    </row>
    <row r="7" spans="1:8" x14ac:dyDescent="0.2">
      <c r="A7" s="35"/>
      <c r="B7" s="39" t="str">
        <f>IF(A7="","",IFERROR(VLOOKUP(A7,Scénáře!$A$4:$B$503,2,FALSE()),"ID nenalezeno"))</f>
        <v/>
      </c>
      <c r="C7" s="37" t="str">
        <f>IF(A7="","",IFERROR(VLOOKUP(A7,Scénáře!$A$4:$C$503,3,FALSE())&amp;"",""))</f>
        <v/>
      </c>
      <c r="D7" s="35"/>
      <c r="E7" s="36"/>
      <c r="F7" s="35"/>
      <c r="G7" s="11"/>
      <c r="H7" s="11"/>
    </row>
    <row r="8" spans="1:8" x14ac:dyDescent="0.2">
      <c r="A8" s="35"/>
      <c r="B8" s="39" t="str">
        <f>IF(A8="","",IFERROR(VLOOKUP(A8,Scénáře!$A$4:$B$503,2,FALSE()),"ID nenalezeno"))</f>
        <v/>
      </c>
      <c r="C8" s="37" t="str">
        <f>IF(A8="","",IFERROR(VLOOKUP(A8,Scénáře!$A$4:$C$503,3,FALSE())&amp;"",""))</f>
        <v/>
      </c>
      <c r="D8" s="35"/>
      <c r="E8" s="36"/>
      <c r="F8" s="35"/>
      <c r="G8" s="11"/>
      <c r="H8" s="11"/>
    </row>
    <row r="9" spans="1:8" x14ac:dyDescent="0.2">
      <c r="A9" s="35"/>
      <c r="B9" s="39" t="str">
        <f>IF(A9="","",IFERROR(VLOOKUP(A9,Scénáře!$A$4:$B$503,2,FALSE()),"ID nenalezeno"))</f>
        <v/>
      </c>
      <c r="C9" s="37" t="str">
        <f>IF(A9="","",IFERROR(VLOOKUP(A9,Scénáře!$A$4:$C$503,3,FALSE())&amp;"",""))</f>
        <v/>
      </c>
      <c r="D9" s="35"/>
      <c r="E9" s="36"/>
      <c r="F9" s="35"/>
      <c r="G9" s="11"/>
      <c r="H9" s="11"/>
    </row>
    <row r="10" spans="1:8" x14ac:dyDescent="0.2">
      <c r="A10" s="35"/>
      <c r="B10" s="39" t="str">
        <f>IF(A10="","",IFERROR(VLOOKUP(A10,Scénáře!$A$4:$B$503,2,FALSE()),"ID nenalezeno"))</f>
        <v/>
      </c>
      <c r="C10" s="37" t="str">
        <f>IF(A10="","",IFERROR(VLOOKUP(A10,Scénáře!$A$4:$C$503,3,FALSE())&amp;"",""))</f>
        <v/>
      </c>
      <c r="D10" s="35"/>
      <c r="E10" s="36"/>
      <c r="F10" s="35"/>
      <c r="G10" s="11"/>
      <c r="H10" s="11"/>
    </row>
    <row r="11" spans="1:8" x14ac:dyDescent="0.2">
      <c r="A11" s="35"/>
      <c r="B11" s="39" t="str">
        <f>IF(A11="","",IFERROR(VLOOKUP(A11,Scénáře!$A$4:$B$503,2,FALSE()),"ID nenalezeno"))</f>
        <v/>
      </c>
      <c r="C11" s="37" t="str">
        <f>IF(A11="","",IFERROR(VLOOKUP(A11,Scénáře!$A$4:$C$503,3,FALSE())&amp;"",""))</f>
        <v/>
      </c>
      <c r="D11" s="35"/>
      <c r="E11" s="36"/>
      <c r="F11" s="35"/>
      <c r="G11" s="11"/>
      <c r="H11" s="11"/>
    </row>
    <row r="12" spans="1:8" x14ac:dyDescent="0.2">
      <c r="A12" s="35"/>
      <c r="B12" s="39" t="str">
        <f>IF(A12="","",IFERROR(VLOOKUP(A12,Scénáře!$A$4:$B$503,2,FALSE()),"ID nenalezeno"))</f>
        <v/>
      </c>
      <c r="C12" s="37" t="str">
        <f>IF(A12="","",IFERROR(VLOOKUP(A12,Scénáře!$A$4:$C$503,3,FALSE())&amp;"",""))</f>
        <v/>
      </c>
      <c r="D12" s="35"/>
      <c r="E12" s="36"/>
      <c r="F12" s="35"/>
      <c r="G12" s="11"/>
      <c r="H12" s="11"/>
    </row>
    <row r="13" spans="1:8" x14ac:dyDescent="0.2">
      <c r="A13" s="35"/>
      <c r="B13" s="39" t="str">
        <f>IF(A13="","",IFERROR(VLOOKUP(A13,Scénáře!$A$4:$B$503,2,FALSE()),"ID nenalezeno"))</f>
        <v/>
      </c>
      <c r="C13" s="37" t="str">
        <f>IF(A13="","",IFERROR(VLOOKUP(A13,Scénáře!$A$4:$C$503,3,FALSE())&amp;"",""))</f>
        <v/>
      </c>
      <c r="D13" s="35"/>
      <c r="E13" s="36"/>
      <c r="F13" s="35"/>
      <c r="G13" s="11"/>
      <c r="H13" s="11"/>
    </row>
    <row r="14" spans="1:8" x14ac:dyDescent="0.2">
      <c r="A14" s="35"/>
      <c r="B14" s="39" t="str">
        <f>IF(A14="","",IFERROR(VLOOKUP(A14,Scénáře!$A$4:$B$503,2,FALSE()),"ID nenalezeno"))</f>
        <v/>
      </c>
      <c r="C14" s="37" t="str">
        <f>IF(A14="","",IFERROR(VLOOKUP(A14,Scénáře!$A$4:$C$503,3,FALSE())&amp;"",""))</f>
        <v/>
      </c>
      <c r="D14" s="35"/>
      <c r="E14" s="36"/>
      <c r="F14" s="35"/>
      <c r="G14" s="11"/>
      <c r="H14" s="11"/>
    </row>
    <row r="15" spans="1:8" x14ac:dyDescent="0.2">
      <c r="A15" s="35"/>
      <c r="B15" s="39" t="str">
        <f>IF(A15="","",IFERROR(VLOOKUP(A15,Scénáře!$A$4:$B$503,2,FALSE()),"ID nenalezeno"))</f>
        <v/>
      </c>
      <c r="C15" s="37" t="str">
        <f>IF(A15="","",IFERROR(VLOOKUP(A15,Scénáře!$A$4:$C$503,3,FALSE())&amp;"",""))</f>
        <v/>
      </c>
      <c r="D15" s="35"/>
      <c r="E15" s="36"/>
      <c r="F15" s="35"/>
      <c r="G15" s="11"/>
      <c r="H15" s="11"/>
    </row>
    <row r="16" spans="1:8" x14ac:dyDescent="0.2">
      <c r="A16" s="35"/>
      <c r="B16" s="39" t="str">
        <f>IF(A16="","",IFERROR(VLOOKUP(A16,Scénáře!$A$4:$B$503,2,FALSE()),"ID nenalezeno"))</f>
        <v/>
      </c>
      <c r="C16" s="37" t="str">
        <f>IF(A16="","",IFERROR(VLOOKUP(A16,Scénáře!$A$4:$C$503,3,FALSE())&amp;"",""))</f>
        <v/>
      </c>
      <c r="D16" s="35"/>
      <c r="E16" s="36"/>
      <c r="F16" s="35"/>
      <c r="G16" s="11"/>
      <c r="H16" s="11"/>
    </row>
    <row r="17" spans="1:8" x14ac:dyDescent="0.2">
      <c r="A17" s="35"/>
      <c r="B17" s="39" t="str">
        <f>IF(A17="","",IFERROR(VLOOKUP(A17,Scénáře!$A$4:$B$503,2,FALSE()),"ID nenalezeno"))</f>
        <v/>
      </c>
      <c r="C17" s="37" t="str">
        <f>IF(A17="","",IFERROR(VLOOKUP(A17,Scénáře!$A$4:$C$503,3,FALSE())&amp;"",""))</f>
        <v/>
      </c>
      <c r="D17" s="35"/>
      <c r="E17" s="36"/>
      <c r="F17" s="35"/>
      <c r="G17" s="11"/>
      <c r="H17" s="11"/>
    </row>
    <row r="18" spans="1:8" x14ac:dyDescent="0.2">
      <c r="A18" s="35"/>
      <c r="B18" s="39" t="str">
        <f>IF(A18="","",IFERROR(VLOOKUP(A18,Scénáře!$A$4:$B$503,2,FALSE()),"ID nenalezeno"))</f>
        <v/>
      </c>
      <c r="C18" s="37" t="str">
        <f>IF(A18="","",IFERROR(VLOOKUP(A18,Scénáře!$A$4:$C$503,3,FALSE())&amp;"",""))</f>
        <v/>
      </c>
      <c r="D18" s="35"/>
      <c r="E18" s="36"/>
      <c r="F18" s="35"/>
      <c r="G18" s="11"/>
      <c r="H18" s="11"/>
    </row>
    <row r="19" spans="1:8" x14ac:dyDescent="0.2">
      <c r="A19" s="35"/>
      <c r="B19" s="39" t="str">
        <f>IF(A19="","",IFERROR(VLOOKUP(A19,Scénáře!$A$4:$B$503,2,FALSE()),"ID nenalezeno"))</f>
        <v/>
      </c>
      <c r="C19" s="37" t="str">
        <f>IF(A19="","",IFERROR(VLOOKUP(A19,Scénáře!$A$4:$C$503,3,FALSE())&amp;"",""))</f>
        <v/>
      </c>
      <c r="D19" s="35"/>
      <c r="E19" s="36"/>
      <c r="F19" s="35"/>
      <c r="G19" s="11"/>
      <c r="H19" s="11"/>
    </row>
    <row r="20" spans="1:8" x14ac:dyDescent="0.2">
      <c r="A20" s="35"/>
      <c r="B20" s="39" t="str">
        <f>IF(A20="","",IFERROR(VLOOKUP(A20,Scénáře!$A$4:$B$503,2,FALSE()),"ID nenalezeno"))</f>
        <v/>
      </c>
      <c r="C20" s="37" t="str">
        <f>IF(A20="","",IFERROR(VLOOKUP(A20,Scénáře!$A$4:$C$503,3,FALSE())&amp;"",""))</f>
        <v/>
      </c>
      <c r="D20" s="35"/>
      <c r="E20" s="36"/>
      <c r="F20" s="35"/>
      <c r="G20" s="11"/>
      <c r="H20" s="11"/>
    </row>
    <row r="21" spans="1:8" x14ac:dyDescent="0.2">
      <c r="A21" s="35"/>
      <c r="B21" s="39" t="str">
        <f>IF(A21="","",IFERROR(VLOOKUP(A21,Scénáře!$A$4:$B$503,2,FALSE()),"ID nenalezeno"))</f>
        <v/>
      </c>
      <c r="C21" s="37" t="str">
        <f>IF(A21="","",IFERROR(VLOOKUP(A21,Scénáře!$A$4:$C$503,3,FALSE())&amp;"",""))</f>
        <v/>
      </c>
      <c r="D21" s="35"/>
      <c r="E21" s="36"/>
      <c r="F21" s="35"/>
      <c r="G21" s="11"/>
      <c r="H21" s="11"/>
    </row>
    <row r="22" spans="1:8" x14ac:dyDescent="0.2">
      <c r="A22" s="35"/>
      <c r="B22" s="39" t="str">
        <f>IF(A22="","",IFERROR(VLOOKUP(A22,Scénáře!$A$4:$B$503,2,FALSE()),"ID nenalezeno"))</f>
        <v/>
      </c>
      <c r="C22" s="37" t="str">
        <f>IF(A22="","",IFERROR(VLOOKUP(A22,Scénáře!$A$4:$C$503,3,FALSE())&amp;"",""))</f>
        <v/>
      </c>
      <c r="D22" s="35"/>
      <c r="E22" s="36"/>
      <c r="F22" s="35"/>
      <c r="G22" s="11"/>
      <c r="H22" s="11"/>
    </row>
    <row r="23" spans="1:8" x14ac:dyDescent="0.2">
      <c r="A23" s="35"/>
      <c r="B23" s="39" t="str">
        <f>IF(A23="","",IFERROR(VLOOKUP(A23,Scénáře!$A$4:$B$503,2,FALSE()),"ID nenalezeno"))</f>
        <v/>
      </c>
      <c r="C23" s="37" t="str">
        <f>IF(A23="","",IFERROR(VLOOKUP(A23,Scénáře!$A$4:$C$503,3,FALSE())&amp;"",""))</f>
        <v/>
      </c>
      <c r="D23" s="35"/>
      <c r="E23" s="36"/>
      <c r="F23" s="35"/>
      <c r="G23" s="11"/>
      <c r="H23" s="11"/>
    </row>
    <row r="24" spans="1:8" x14ac:dyDescent="0.2">
      <c r="A24" s="35"/>
      <c r="B24" s="39" t="str">
        <f>IF(A24="","",IFERROR(VLOOKUP(A24,Scénáře!$A$4:$B$503,2,FALSE()),"ID nenalezeno"))</f>
        <v/>
      </c>
      <c r="C24" s="37" t="str">
        <f>IF(A24="","",IFERROR(VLOOKUP(A24,Scénáře!$A$4:$C$503,3,FALSE())&amp;"",""))</f>
        <v/>
      </c>
      <c r="D24" s="35"/>
      <c r="E24" s="36"/>
      <c r="F24" s="35"/>
      <c r="G24" s="11"/>
      <c r="H24" s="11"/>
    </row>
    <row r="25" spans="1:8" x14ac:dyDescent="0.2">
      <c r="A25" s="35"/>
      <c r="B25" s="39" t="str">
        <f>IF(A25="","",IFERROR(VLOOKUP(A25,Scénáře!$A$4:$B$503,2,FALSE()),"ID nenalezeno"))</f>
        <v/>
      </c>
      <c r="C25" s="37" t="str">
        <f>IF(A25="","",IFERROR(VLOOKUP(A25,Scénáře!$A$4:$C$503,3,FALSE())&amp;"",""))</f>
        <v/>
      </c>
      <c r="D25" s="35"/>
      <c r="E25" s="36"/>
      <c r="F25" s="35"/>
      <c r="G25" s="11"/>
      <c r="H25" s="11"/>
    </row>
    <row r="26" spans="1:8" x14ac:dyDescent="0.2">
      <c r="A26" s="35"/>
      <c r="B26" s="39" t="str">
        <f>IF(A26="","",IFERROR(VLOOKUP(A26,Scénáře!$A$4:$B$503,2,FALSE()),"ID nenalezeno"))</f>
        <v/>
      </c>
      <c r="C26" s="37" t="str">
        <f>IF(A26="","",IFERROR(VLOOKUP(A26,Scénáře!$A$4:$C$503,3,FALSE())&amp;"",""))</f>
        <v/>
      </c>
      <c r="D26" s="35"/>
      <c r="E26" s="36"/>
      <c r="F26" s="35"/>
      <c r="G26" s="11"/>
      <c r="H26" s="11"/>
    </row>
    <row r="27" spans="1:8" x14ac:dyDescent="0.2">
      <c r="A27" s="35"/>
      <c r="B27" s="39" t="str">
        <f>IF(A27="","",IFERROR(VLOOKUP(A27,Scénáře!$A$4:$B$503,2,FALSE()),"ID nenalezeno"))</f>
        <v/>
      </c>
      <c r="C27" s="37" t="str">
        <f>IF(A27="","",IFERROR(VLOOKUP(A27,Scénáře!$A$4:$C$503,3,FALSE())&amp;"",""))</f>
        <v/>
      </c>
      <c r="D27" s="35"/>
      <c r="E27" s="36"/>
      <c r="F27" s="35"/>
      <c r="G27" s="11"/>
      <c r="H27" s="11"/>
    </row>
    <row r="28" spans="1:8" x14ac:dyDescent="0.2">
      <c r="A28" s="35"/>
      <c r="B28" s="39" t="str">
        <f>IF(A28="","",IFERROR(VLOOKUP(A28,Scénáře!$A$4:$B$503,2,FALSE()),"ID nenalezeno"))</f>
        <v/>
      </c>
      <c r="C28" s="37" t="str">
        <f>IF(A28="","",IFERROR(VLOOKUP(A28,Scénáře!$A$4:$C$503,3,FALSE())&amp;"",""))</f>
        <v/>
      </c>
      <c r="D28" s="35"/>
      <c r="E28" s="36"/>
      <c r="F28" s="35"/>
      <c r="G28" s="11"/>
      <c r="H28" s="11"/>
    </row>
    <row r="29" spans="1:8" x14ac:dyDescent="0.2">
      <c r="A29" s="35"/>
      <c r="B29" s="39" t="str">
        <f>IF(A29="","",IFERROR(VLOOKUP(A29,Scénáře!$A$4:$B$503,2,FALSE()),"ID nenalezeno"))</f>
        <v/>
      </c>
      <c r="C29" s="37" t="str">
        <f>IF(A29="","",IFERROR(VLOOKUP(A29,Scénáře!$A$4:$C$503,3,FALSE())&amp;"",""))</f>
        <v/>
      </c>
      <c r="D29" s="35"/>
      <c r="E29" s="36"/>
      <c r="F29" s="35"/>
      <c r="G29" s="11"/>
      <c r="H29" s="11"/>
    </row>
    <row r="30" spans="1:8" x14ac:dyDescent="0.2">
      <c r="A30" s="35"/>
      <c r="B30" s="39" t="str">
        <f>IF(A30="","",IFERROR(VLOOKUP(A30,Scénáře!$A$4:$B$503,2,FALSE()),"ID nenalezeno"))</f>
        <v/>
      </c>
      <c r="C30" s="37" t="str">
        <f>IF(A30="","",IFERROR(VLOOKUP(A30,Scénáře!$A$4:$C$503,3,FALSE())&amp;"",""))</f>
        <v/>
      </c>
      <c r="D30" s="35"/>
      <c r="E30" s="36"/>
      <c r="F30" s="35"/>
      <c r="G30" s="11"/>
      <c r="H30" s="11"/>
    </row>
    <row r="31" spans="1:8" x14ac:dyDescent="0.2">
      <c r="A31" s="35"/>
      <c r="B31" s="39" t="str">
        <f>IF(A31="","",IFERROR(VLOOKUP(A31,Scénáře!$A$4:$B$503,2,FALSE()),"ID nenalezeno"))</f>
        <v/>
      </c>
      <c r="C31" s="37" t="str">
        <f>IF(A31="","",IFERROR(VLOOKUP(A31,Scénáře!$A$4:$C$503,3,FALSE())&amp;"",""))</f>
        <v/>
      </c>
      <c r="D31" s="35"/>
      <c r="E31" s="36"/>
      <c r="F31" s="35"/>
      <c r="G31" s="11"/>
      <c r="H31" s="11"/>
    </row>
    <row r="32" spans="1:8" x14ac:dyDescent="0.2">
      <c r="A32" s="35"/>
      <c r="B32" s="39" t="str">
        <f>IF(A32="","",IFERROR(VLOOKUP(A32,Scénáře!$A$4:$B$503,2,FALSE()),"ID nenalezeno"))</f>
        <v/>
      </c>
      <c r="C32" s="37" t="str">
        <f>IF(A32="","",IFERROR(VLOOKUP(A32,Scénáře!$A$4:$C$503,3,FALSE())&amp;"",""))</f>
        <v/>
      </c>
      <c r="D32" s="35"/>
      <c r="E32" s="36"/>
      <c r="F32" s="35"/>
      <c r="G32" s="11"/>
      <c r="H32" s="11"/>
    </row>
    <row r="33" spans="1:8" x14ac:dyDescent="0.2">
      <c r="A33" s="35"/>
      <c r="B33" s="39" t="str">
        <f>IF(A33="","",IFERROR(VLOOKUP(A33,Scénáře!$A$4:$B$503,2,FALSE()),"ID nenalezeno"))</f>
        <v/>
      </c>
      <c r="C33" s="37" t="str">
        <f>IF(A33="","",IFERROR(VLOOKUP(A33,Scénáře!$A$4:$C$503,3,FALSE())&amp;"",""))</f>
        <v/>
      </c>
      <c r="D33" s="35"/>
      <c r="E33" s="36"/>
      <c r="F33" s="35"/>
      <c r="G33" s="11"/>
      <c r="H33" s="11"/>
    </row>
    <row r="34" spans="1:8" x14ac:dyDescent="0.2">
      <c r="A34" s="35"/>
      <c r="B34" s="39" t="str">
        <f>IF(A34="","",IFERROR(VLOOKUP(A34,Scénáře!$A$4:$B$503,2,FALSE()),"ID nenalezeno"))</f>
        <v/>
      </c>
      <c r="C34" s="37" t="str">
        <f>IF(A34="","",IFERROR(VLOOKUP(A34,Scénáře!$A$4:$C$503,3,FALSE())&amp;"",""))</f>
        <v/>
      </c>
      <c r="D34" s="35"/>
      <c r="E34" s="36"/>
      <c r="F34" s="35"/>
      <c r="G34" s="11"/>
      <c r="H34" s="11"/>
    </row>
    <row r="35" spans="1:8" x14ac:dyDescent="0.2">
      <c r="A35" s="35"/>
      <c r="B35" s="39" t="str">
        <f>IF(A35="","",IFERROR(VLOOKUP(A35,Scénáře!$A$4:$B$503,2,FALSE()),"ID nenalezeno"))</f>
        <v/>
      </c>
      <c r="C35" s="37" t="str">
        <f>IF(A35="","",IFERROR(VLOOKUP(A35,Scénáře!$A$4:$C$503,3,FALSE())&amp;"",""))</f>
        <v/>
      </c>
      <c r="D35" s="35"/>
      <c r="E35" s="36"/>
      <c r="F35" s="35"/>
      <c r="G35" s="11"/>
      <c r="H35" s="11"/>
    </row>
    <row r="36" spans="1:8" x14ac:dyDescent="0.2">
      <c r="A36" s="35"/>
      <c r="B36" s="39" t="str">
        <f>IF(A36="","",IFERROR(VLOOKUP(A36,Scénáře!$A$4:$B$503,2,FALSE()),"ID nenalezeno"))</f>
        <v/>
      </c>
      <c r="C36" s="37" t="str">
        <f>IF(A36="","",IFERROR(VLOOKUP(A36,Scénáře!$A$4:$C$503,3,FALSE())&amp;"",""))</f>
        <v/>
      </c>
      <c r="D36" s="35"/>
      <c r="E36" s="36"/>
      <c r="F36" s="35"/>
      <c r="G36" s="11"/>
      <c r="H36" s="11"/>
    </row>
    <row r="37" spans="1:8" x14ac:dyDescent="0.2">
      <c r="A37" s="35"/>
      <c r="B37" s="39" t="str">
        <f>IF(A37="","",IFERROR(VLOOKUP(A37,Scénáře!$A$4:$B$503,2,FALSE()),"ID nenalezeno"))</f>
        <v/>
      </c>
      <c r="C37" s="37" t="str">
        <f>IF(A37="","",IFERROR(VLOOKUP(A37,Scénáře!$A$4:$C$503,3,FALSE())&amp;"",""))</f>
        <v/>
      </c>
      <c r="D37" s="35"/>
      <c r="E37" s="36"/>
      <c r="F37" s="35"/>
      <c r="G37" s="11"/>
      <c r="H37" s="11"/>
    </row>
    <row r="38" spans="1:8" x14ac:dyDescent="0.2">
      <c r="A38" s="35"/>
      <c r="B38" s="39" t="str">
        <f>IF(A38="","",IFERROR(VLOOKUP(A38,Scénáře!$A$4:$B$503,2,FALSE()),"ID nenalezeno"))</f>
        <v/>
      </c>
      <c r="C38" s="37" t="str">
        <f>IF(A38="","",IFERROR(VLOOKUP(A38,Scénáře!$A$4:$C$503,3,FALSE())&amp;"",""))</f>
        <v/>
      </c>
      <c r="D38" s="35"/>
      <c r="E38" s="36"/>
      <c r="F38" s="35"/>
      <c r="G38" s="11"/>
      <c r="H38" s="11"/>
    </row>
    <row r="39" spans="1:8" x14ac:dyDescent="0.2">
      <c r="A39" s="35"/>
      <c r="B39" s="39" t="str">
        <f>IF(A39="","",IFERROR(VLOOKUP(A39,Scénáře!$A$4:$B$503,2,FALSE()),"ID nenalezeno"))</f>
        <v/>
      </c>
      <c r="C39" s="37" t="str">
        <f>IF(A39="","",IFERROR(VLOOKUP(A39,Scénáře!$A$4:$C$503,3,FALSE())&amp;"",""))</f>
        <v/>
      </c>
      <c r="D39" s="35"/>
      <c r="E39" s="36"/>
      <c r="F39" s="35"/>
      <c r="G39" s="11"/>
      <c r="H39" s="11"/>
    </row>
    <row r="40" spans="1:8" x14ac:dyDescent="0.2">
      <c r="A40" s="35"/>
      <c r="B40" s="39" t="str">
        <f>IF(A40="","",IFERROR(VLOOKUP(A40,Scénáře!$A$4:$B$503,2,FALSE()),"ID nenalezeno"))</f>
        <v/>
      </c>
      <c r="C40" s="37" t="str">
        <f>IF(A40="","",IFERROR(VLOOKUP(A40,Scénáře!$A$4:$C$503,3,FALSE())&amp;"",""))</f>
        <v/>
      </c>
      <c r="D40" s="35"/>
      <c r="E40" s="36"/>
      <c r="F40" s="35"/>
      <c r="G40" s="11"/>
      <c r="H40" s="11"/>
    </row>
    <row r="41" spans="1:8" x14ac:dyDescent="0.2">
      <c r="A41" s="35"/>
      <c r="B41" s="39" t="str">
        <f>IF(A41="","",IFERROR(VLOOKUP(A41,Scénáře!$A$4:$B$503,2,FALSE()),"ID nenalezeno"))</f>
        <v/>
      </c>
      <c r="C41" s="37" t="str">
        <f>IF(A41="","",IFERROR(VLOOKUP(A41,Scénáře!$A$4:$C$503,3,FALSE())&amp;"",""))</f>
        <v/>
      </c>
      <c r="D41" s="35"/>
      <c r="E41" s="36"/>
      <c r="F41" s="35"/>
      <c r="G41" s="11"/>
      <c r="H41" s="11"/>
    </row>
    <row r="42" spans="1:8" x14ac:dyDescent="0.2">
      <c r="A42" s="35"/>
      <c r="B42" s="39" t="str">
        <f>IF(A42="","",IFERROR(VLOOKUP(A42,Scénáře!$A$4:$B$503,2,FALSE()),"ID nenalezeno"))</f>
        <v/>
      </c>
      <c r="C42" s="37" t="str">
        <f>IF(A42="","",IFERROR(VLOOKUP(A42,Scénáře!$A$4:$C$503,3,FALSE())&amp;"",""))</f>
        <v/>
      </c>
      <c r="D42" s="35"/>
      <c r="E42" s="36"/>
      <c r="F42" s="35"/>
      <c r="G42" s="11"/>
      <c r="H42" s="11"/>
    </row>
    <row r="43" spans="1:8" x14ac:dyDescent="0.2">
      <c r="A43" s="35"/>
      <c r="B43" s="39" t="str">
        <f>IF(A43="","",IFERROR(VLOOKUP(A43,Scénáře!$A$4:$B$503,2,FALSE()),"ID nenalezeno"))</f>
        <v/>
      </c>
      <c r="C43" s="37" t="str">
        <f>IF(A43="","",IFERROR(VLOOKUP(A43,Scénáře!$A$4:$C$503,3,FALSE())&amp;"",""))</f>
        <v/>
      </c>
      <c r="D43" s="35"/>
      <c r="E43" s="36"/>
      <c r="F43" s="35"/>
      <c r="G43" s="11"/>
      <c r="H43" s="11"/>
    </row>
    <row r="44" spans="1:8" x14ac:dyDescent="0.2">
      <c r="A44" s="35"/>
      <c r="B44" s="39" t="str">
        <f>IF(A44="","",IFERROR(VLOOKUP(A44,Scénáře!$A$4:$B$503,2,FALSE()),"ID nenalezeno"))</f>
        <v/>
      </c>
      <c r="C44" s="37" t="str">
        <f>IF(A44="","",IFERROR(VLOOKUP(A44,Scénáře!$A$4:$C$503,3,FALSE())&amp;"",""))</f>
        <v/>
      </c>
      <c r="D44" s="35"/>
      <c r="E44" s="36"/>
      <c r="F44" s="35"/>
      <c r="G44" s="11"/>
      <c r="H44" s="11"/>
    </row>
    <row r="45" spans="1:8" x14ac:dyDescent="0.2">
      <c r="A45" s="35"/>
      <c r="B45" s="39" t="str">
        <f>IF(A45="","",IFERROR(VLOOKUP(A45,Scénáře!$A$4:$B$503,2,FALSE()),"ID nenalezeno"))</f>
        <v/>
      </c>
      <c r="C45" s="37" t="str">
        <f>IF(A45="","",IFERROR(VLOOKUP(A45,Scénáře!$A$4:$C$503,3,FALSE())&amp;"",""))</f>
        <v/>
      </c>
      <c r="D45" s="35"/>
      <c r="E45" s="36"/>
      <c r="F45" s="35"/>
      <c r="G45" s="11"/>
      <c r="H45" s="11"/>
    </row>
    <row r="46" spans="1:8" x14ac:dyDescent="0.2">
      <c r="A46" s="35"/>
      <c r="B46" s="39" t="str">
        <f>IF(A46="","",IFERROR(VLOOKUP(A46,Scénáře!$A$4:$B$503,2,FALSE()),"ID nenalezeno"))</f>
        <v/>
      </c>
      <c r="C46" s="37" t="str">
        <f>IF(A46="","",IFERROR(VLOOKUP(A46,Scénáře!$A$4:$C$503,3,FALSE())&amp;"",""))</f>
        <v/>
      </c>
      <c r="D46" s="35"/>
      <c r="E46" s="36"/>
      <c r="F46" s="35"/>
      <c r="G46" s="11"/>
      <c r="H46" s="11"/>
    </row>
    <row r="47" spans="1:8" x14ac:dyDescent="0.2">
      <c r="A47" s="35"/>
      <c r="B47" s="39" t="str">
        <f>IF(A47="","",IFERROR(VLOOKUP(A47,Scénáře!$A$4:$B$503,2,FALSE()),"ID nenalezeno"))</f>
        <v/>
      </c>
      <c r="C47" s="37" t="str">
        <f>IF(A47="","",IFERROR(VLOOKUP(A47,Scénáře!$A$4:$C$503,3,FALSE())&amp;"",""))</f>
        <v/>
      </c>
      <c r="D47" s="35"/>
      <c r="E47" s="36"/>
      <c r="F47" s="35"/>
      <c r="G47" s="11"/>
      <c r="H47" s="11"/>
    </row>
    <row r="48" spans="1:8" x14ac:dyDescent="0.2">
      <c r="A48" s="35"/>
      <c r="B48" s="39" t="str">
        <f>IF(A48="","",IFERROR(VLOOKUP(A48,Scénáře!$A$4:$B$503,2,FALSE()),"ID nenalezeno"))</f>
        <v/>
      </c>
      <c r="C48" s="37" t="str">
        <f>IF(A48="","",IFERROR(VLOOKUP(A48,Scénáře!$A$4:$C$503,3,FALSE())&amp;"",""))</f>
        <v/>
      </c>
      <c r="D48" s="35"/>
      <c r="E48" s="36"/>
      <c r="F48" s="35"/>
      <c r="G48" s="11"/>
      <c r="H48" s="11"/>
    </row>
    <row r="49" spans="1:8" x14ac:dyDescent="0.2">
      <c r="A49" s="35"/>
      <c r="B49" s="39" t="str">
        <f>IF(A49="","",IFERROR(VLOOKUP(A49,Scénáře!$A$4:$B$503,2,FALSE()),"ID nenalezeno"))</f>
        <v/>
      </c>
      <c r="C49" s="37" t="str">
        <f>IF(A49="","",IFERROR(VLOOKUP(A49,Scénáře!$A$4:$C$503,3,FALSE())&amp;"",""))</f>
        <v/>
      </c>
      <c r="D49" s="35"/>
      <c r="E49" s="36"/>
      <c r="F49" s="35"/>
      <c r="G49" s="11"/>
      <c r="H49" s="11"/>
    </row>
    <row r="50" spans="1:8" x14ac:dyDescent="0.2">
      <c r="A50" s="35"/>
      <c r="B50" s="39" t="str">
        <f>IF(A50="","",IFERROR(VLOOKUP(A50,Scénáře!$A$4:$B$503,2,FALSE()),"ID nenalezeno"))</f>
        <v/>
      </c>
      <c r="C50" s="37" t="str">
        <f>IF(A50="","",IFERROR(VLOOKUP(A50,Scénáře!$A$4:$C$503,3,FALSE())&amp;"",""))</f>
        <v/>
      </c>
      <c r="D50" s="35"/>
      <c r="E50" s="36"/>
      <c r="F50" s="35"/>
      <c r="G50" s="11"/>
      <c r="H50" s="11"/>
    </row>
    <row r="51" spans="1:8" x14ac:dyDescent="0.2">
      <c r="A51" s="35"/>
      <c r="B51" s="39" t="str">
        <f>IF(A51="","",IFERROR(VLOOKUP(A51,Scénáře!$A$4:$B$503,2,FALSE()),"ID nenalezeno"))</f>
        <v/>
      </c>
      <c r="C51" s="37" t="str">
        <f>IF(A51="","",IFERROR(VLOOKUP(A51,Scénáře!$A$4:$C$503,3,FALSE())&amp;"",""))</f>
        <v/>
      </c>
      <c r="D51" s="35"/>
      <c r="E51" s="36"/>
      <c r="F51" s="35"/>
      <c r="G51" s="11"/>
      <c r="H51" s="11"/>
    </row>
    <row r="52" spans="1:8" x14ac:dyDescent="0.2">
      <c r="A52" s="35"/>
      <c r="B52" s="39" t="str">
        <f>IF(A52="","",IFERROR(VLOOKUP(A52,Scénáře!$A$4:$B$503,2,FALSE()),"ID nenalezeno"))</f>
        <v/>
      </c>
      <c r="C52" s="37" t="str">
        <f>IF(A52="","",IFERROR(VLOOKUP(A52,Scénáře!$A$4:$C$503,3,FALSE())&amp;"",""))</f>
        <v/>
      </c>
      <c r="D52" s="35"/>
      <c r="E52" s="36"/>
      <c r="F52" s="35"/>
      <c r="G52" s="11"/>
      <c r="H52" s="11"/>
    </row>
    <row r="53" spans="1:8" x14ac:dyDescent="0.2">
      <c r="A53" s="35"/>
      <c r="B53" s="39" t="str">
        <f>IF(A53="","",IFERROR(VLOOKUP(A53,Scénáře!$A$4:$B$503,2,FALSE()),"ID nenalezeno"))</f>
        <v/>
      </c>
      <c r="C53" s="37" t="str">
        <f>IF(A53="","",IFERROR(VLOOKUP(A53,Scénáře!$A$4:$C$503,3,FALSE())&amp;"",""))</f>
        <v/>
      </c>
      <c r="D53" s="35"/>
      <c r="E53" s="36"/>
      <c r="F53" s="35"/>
      <c r="G53" s="11"/>
      <c r="H53" s="11"/>
    </row>
    <row r="54" spans="1:8" x14ac:dyDescent="0.2">
      <c r="A54" s="35"/>
      <c r="B54" s="39" t="str">
        <f>IF(A54="","",IFERROR(VLOOKUP(A54,Scénáře!$A$4:$B$503,2,FALSE()),"ID nenalezeno"))</f>
        <v/>
      </c>
      <c r="C54" s="37" t="str">
        <f>IF(A54="","",IFERROR(VLOOKUP(A54,Scénáře!$A$4:$C$503,3,FALSE())&amp;"",""))</f>
        <v/>
      </c>
      <c r="D54" s="35"/>
      <c r="E54" s="36"/>
      <c r="F54" s="35"/>
      <c r="G54" s="11"/>
      <c r="H54" s="11"/>
    </row>
    <row r="55" spans="1:8" x14ac:dyDescent="0.2">
      <c r="A55" s="35"/>
      <c r="B55" s="39" t="str">
        <f>IF(A55="","",IFERROR(VLOOKUP(A55,Scénáře!$A$4:$B$503,2,FALSE()),"ID nenalezeno"))</f>
        <v/>
      </c>
      <c r="C55" s="37" t="str">
        <f>IF(A55="","",IFERROR(VLOOKUP(A55,Scénáře!$A$4:$C$503,3,FALSE())&amp;"",""))</f>
        <v/>
      </c>
      <c r="D55" s="35"/>
      <c r="E55" s="36"/>
      <c r="F55" s="35"/>
      <c r="G55" s="11"/>
      <c r="H55" s="11"/>
    </row>
    <row r="56" spans="1:8" x14ac:dyDescent="0.2">
      <c r="A56" s="35"/>
      <c r="B56" s="39" t="str">
        <f>IF(A56="","",IFERROR(VLOOKUP(A56,Scénáře!$A$4:$B$503,2,FALSE()),"ID nenalezeno"))</f>
        <v/>
      </c>
      <c r="C56" s="37" t="str">
        <f>IF(A56="","",IFERROR(VLOOKUP(A56,Scénáře!$A$4:$C$503,3,FALSE())&amp;"",""))</f>
        <v/>
      </c>
      <c r="D56" s="35"/>
      <c r="E56" s="36"/>
      <c r="F56" s="35"/>
      <c r="G56" s="11"/>
      <c r="H56" s="11"/>
    </row>
    <row r="57" spans="1:8" x14ac:dyDescent="0.2">
      <c r="A57" s="35"/>
      <c r="B57" s="39" t="str">
        <f>IF(A57="","",IFERROR(VLOOKUP(A57,Scénáře!$A$4:$B$503,2,FALSE()),"ID nenalezeno"))</f>
        <v/>
      </c>
      <c r="C57" s="37" t="str">
        <f>IF(A57="","",IFERROR(VLOOKUP(A57,Scénáře!$A$4:$C$503,3,FALSE())&amp;"",""))</f>
        <v/>
      </c>
      <c r="D57" s="35"/>
      <c r="E57" s="36"/>
      <c r="F57" s="35"/>
      <c r="G57" s="11"/>
      <c r="H57" s="11"/>
    </row>
    <row r="58" spans="1:8" x14ac:dyDescent="0.2">
      <c r="A58" s="35"/>
      <c r="B58" s="39" t="str">
        <f>IF(A58="","",IFERROR(VLOOKUP(A58,Scénáře!$A$4:$B$503,2,FALSE()),"ID nenalezeno"))</f>
        <v/>
      </c>
      <c r="C58" s="37" t="str">
        <f>IF(A58="","",IFERROR(VLOOKUP(A58,Scénáře!$A$4:$C$503,3,FALSE())&amp;"",""))</f>
        <v/>
      </c>
      <c r="D58" s="35"/>
      <c r="E58" s="36"/>
      <c r="F58" s="35"/>
      <c r="G58" s="11"/>
      <c r="H58" s="11"/>
    </row>
    <row r="59" spans="1:8" x14ac:dyDescent="0.2">
      <c r="A59" s="35"/>
      <c r="B59" s="39" t="str">
        <f>IF(A59="","",IFERROR(VLOOKUP(A59,Scénáře!$A$4:$B$503,2,FALSE()),"ID nenalezeno"))</f>
        <v/>
      </c>
      <c r="C59" s="37" t="str">
        <f>IF(A59="","",IFERROR(VLOOKUP(A59,Scénáře!$A$4:$C$503,3,FALSE())&amp;"",""))</f>
        <v/>
      </c>
      <c r="D59" s="35"/>
      <c r="E59" s="36"/>
      <c r="F59" s="35"/>
      <c r="G59" s="11"/>
      <c r="H59" s="11"/>
    </row>
    <row r="60" spans="1:8" x14ac:dyDescent="0.2">
      <c r="A60" s="35"/>
      <c r="B60" s="39" t="str">
        <f>IF(A60="","",IFERROR(VLOOKUP(A60,Scénáře!$A$4:$B$503,2,FALSE()),"ID nenalezeno"))</f>
        <v/>
      </c>
      <c r="C60" s="37" t="str">
        <f>IF(A60="","",IFERROR(VLOOKUP(A60,Scénáře!$A$4:$C$503,3,FALSE())&amp;"",""))</f>
        <v/>
      </c>
      <c r="D60" s="35"/>
      <c r="E60" s="36"/>
      <c r="F60" s="35"/>
      <c r="G60" s="11"/>
      <c r="H60" s="11"/>
    </row>
    <row r="61" spans="1:8" x14ac:dyDescent="0.2">
      <c r="A61" s="35"/>
      <c r="B61" s="39" t="str">
        <f>IF(A61="","",IFERROR(VLOOKUP(A61,Scénáře!$A$4:$B$503,2,FALSE()),"ID nenalezeno"))</f>
        <v/>
      </c>
      <c r="C61" s="37" t="str">
        <f>IF(A61="","",IFERROR(VLOOKUP(A61,Scénáře!$A$4:$C$503,3,FALSE())&amp;"",""))</f>
        <v/>
      </c>
      <c r="D61" s="35"/>
      <c r="E61" s="36"/>
      <c r="F61" s="35"/>
      <c r="G61" s="11"/>
      <c r="H61" s="11"/>
    </row>
    <row r="62" spans="1:8" x14ac:dyDescent="0.2">
      <c r="A62" s="35"/>
      <c r="B62" s="39" t="str">
        <f>IF(A62="","",IFERROR(VLOOKUP(A62,Scénáře!$A$4:$B$503,2,FALSE()),"ID nenalezeno"))</f>
        <v/>
      </c>
      <c r="C62" s="37" t="str">
        <f>IF(A62="","",IFERROR(VLOOKUP(A62,Scénáře!$A$4:$C$503,3,FALSE())&amp;"",""))</f>
        <v/>
      </c>
      <c r="D62" s="35"/>
      <c r="E62" s="36"/>
      <c r="F62" s="35"/>
      <c r="G62" s="11"/>
      <c r="H62" s="11"/>
    </row>
    <row r="63" spans="1:8" x14ac:dyDescent="0.2">
      <c r="A63" s="35"/>
      <c r="B63" s="39" t="str">
        <f>IF(A63="","",IFERROR(VLOOKUP(A63,Scénáře!$A$4:$B$503,2,FALSE()),"ID nenalezeno"))</f>
        <v/>
      </c>
      <c r="C63" s="37" t="str">
        <f>IF(A63="","",IFERROR(VLOOKUP(A63,Scénáře!$A$4:$C$503,3,FALSE())&amp;"",""))</f>
        <v/>
      </c>
      <c r="D63" s="35"/>
      <c r="E63" s="36"/>
      <c r="F63" s="35"/>
      <c r="G63" s="11"/>
      <c r="H63" s="11"/>
    </row>
    <row r="64" spans="1:8" x14ac:dyDescent="0.2">
      <c r="A64" s="35"/>
      <c r="B64" s="39" t="str">
        <f>IF(A64="","",IFERROR(VLOOKUP(A64,Scénáře!$A$4:$B$503,2,FALSE()),"ID nenalezeno"))</f>
        <v/>
      </c>
      <c r="C64" s="37" t="str">
        <f>IF(A64="","",IFERROR(VLOOKUP(A64,Scénáře!$A$4:$C$503,3,FALSE())&amp;"",""))</f>
        <v/>
      </c>
      <c r="D64" s="35"/>
      <c r="E64" s="36"/>
      <c r="F64" s="35"/>
      <c r="G64" s="11"/>
      <c r="H64" s="11"/>
    </row>
    <row r="65" spans="1:8" x14ac:dyDescent="0.2">
      <c r="A65" s="35"/>
      <c r="B65" s="39" t="str">
        <f>IF(A65="","",IFERROR(VLOOKUP(A65,Scénáře!$A$4:$B$503,2,FALSE()),"ID nenalezeno"))</f>
        <v/>
      </c>
      <c r="C65" s="37" t="str">
        <f>IF(A65="","",IFERROR(VLOOKUP(A65,Scénáře!$A$4:$C$503,3,FALSE())&amp;"",""))</f>
        <v/>
      </c>
      <c r="D65" s="35"/>
      <c r="E65" s="36"/>
      <c r="F65" s="35"/>
      <c r="G65" s="11"/>
      <c r="H65" s="11"/>
    </row>
    <row r="66" spans="1:8" x14ac:dyDescent="0.2">
      <c r="A66" s="35"/>
      <c r="B66" s="39" t="str">
        <f>IF(A66="","",IFERROR(VLOOKUP(A66,Scénáře!$A$4:$B$503,2,FALSE()),"ID nenalezeno"))</f>
        <v/>
      </c>
      <c r="C66" s="37" t="str">
        <f>IF(A66="","",IFERROR(VLOOKUP(A66,Scénáře!$A$4:$C$503,3,FALSE())&amp;"",""))</f>
        <v/>
      </c>
      <c r="D66" s="35"/>
      <c r="E66" s="36"/>
      <c r="F66" s="35"/>
      <c r="G66" s="11"/>
      <c r="H66" s="11"/>
    </row>
    <row r="67" spans="1:8" x14ac:dyDescent="0.2">
      <c r="A67" s="35"/>
      <c r="B67" s="39" t="str">
        <f>IF(A67="","",IFERROR(VLOOKUP(A67,Scénáře!$A$4:$B$503,2,FALSE()),"ID nenalezeno"))</f>
        <v/>
      </c>
      <c r="C67" s="37" t="str">
        <f>IF(A67="","",IFERROR(VLOOKUP(A67,Scénáře!$A$4:$C$503,3,FALSE())&amp;"",""))</f>
        <v/>
      </c>
      <c r="D67" s="35"/>
      <c r="E67" s="36"/>
      <c r="F67" s="35"/>
      <c r="G67" s="11"/>
      <c r="H67" s="11"/>
    </row>
    <row r="68" spans="1:8" x14ac:dyDescent="0.2">
      <c r="A68" s="35"/>
      <c r="B68" s="39" t="str">
        <f>IF(A68="","",IFERROR(VLOOKUP(A68,Scénáře!$A$4:$B$503,2,FALSE()),"ID nenalezeno"))</f>
        <v/>
      </c>
      <c r="C68" s="37" t="str">
        <f>IF(A68="","",IFERROR(VLOOKUP(A68,Scénáře!$A$4:$C$503,3,FALSE())&amp;"",""))</f>
        <v/>
      </c>
      <c r="D68" s="35"/>
      <c r="E68" s="36"/>
      <c r="F68" s="35"/>
      <c r="G68" s="11"/>
      <c r="H68" s="11"/>
    </row>
    <row r="69" spans="1:8" x14ac:dyDescent="0.2">
      <c r="A69" s="35"/>
      <c r="B69" s="39" t="str">
        <f>IF(A69="","",IFERROR(VLOOKUP(A69,Scénáře!$A$4:$B$503,2,FALSE()),"ID nenalezeno"))</f>
        <v/>
      </c>
      <c r="C69" s="37" t="str">
        <f>IF(A69="","",IFERROR(VLOOKUP(A69,Scénáře!$A$4:$C$503,3,FALSE())&amp;"",""))</f>
        <v/>
      </c>
      <c r="D69" s="35"/>
      <c r="E69" s="36"/>
      <c r="F69" s="35"/>
      <c r="G69" s="11"/>
      <c r="H69" s="11"/>
    </row>
    <row r="70" spans="1:8" x14ac:dyDescent="0.2">
      <c r="A70" s="35"/>
      <c r="B70" s="39" t="str">
        <f>IF(A70="","",IFERROR(VLOOKUP(A70,Scénáře!$A$4:$B$503,2,FALSE()),"ID nenalezeno"))</f>
        <v/>
      </c>
      <c r="C70" s="37" t="str">
        <f>IF(A70="","",IFERROR(VLOOKUP(A70,Scénáře!$A$4:$C$503,3,FALSE())&amp;"",""))</f>
        <v/>
      </c>
      <c r="D70" s="35"/>
      <c r="E70" s="36"/>
      <c r="F70" s="35"/>
      <c r="G70" s="11"/>
      <c r="H70" s="11"/>
    </row>
    <row r="71" spans="1:8" x14ac:dyDescent="0.2">
      <c r="A71" s="35"/>
      <c r="B71" s="39" t="str">
        <f>IF(A71="","",IFERROR(VLOOKUP(A71,Scénáře!$A$4:$B$503,2,FALSE()),"ID nenalezeno"))</f>
        <v/>
      </c>
      <c r="C71" s="37" t="str">
        <f>IF(A71="","",IFERROR(VLOOKUP(A71,Scénáře!$A$4:$C$503,3,FALSE())&amp;"",""))</f>
        <v/>
      </c>
      <c r="D71" s="35"/>
      <c r="E71" s="36"/>
      <c r="F71" s="35"/>
      <c r="G71" s="11"/>
      <c r="H71" s="11"/>
    </row>
    <row r="72" spans="1:8" x14ac:dyDescent="0.2">
      <c r="A72" s="35"/>
      <c r="B72" s="39" t="str">
        <f>IF(A72="","",IFERROR(VLOOKUP(A72,Scénáře!$A$4:$B$503,2,FALSE()),"ID nenalezeno"))</f>
        <v/>
      </c>
      <c r="C72" s="37" t="str">
        <f>IF(A72="","",IFERROR(VLOOKUP(A72,Scénáře!$A$4:$C$503,3,FALSE())&amp;"",""))</f>
        <v/>
      </c>
      <c r="D72" s="35"/>
      <c r="E72" s="36"/>
      <c r="F72" s="35"/>
      <c r="G72" s="11"/>
      <c r="H72" s="11"/>
    </row>
    <row r="73" spans="1:8" x14ac:dyDescent="0.2">
      <c r="A73" s="35"/>
      <c r="B73" s="39" t="str">
        <f>IF(A73="","",IFERROR(VLOOKUP(A73,Scénáře!$A$4:$B$503,2,FALSE()),"ID nenalezeno"))</f>
        <v/>
      </c>
      <c r="C73" s="37" t="str">
        <f>IF(A73="","",IFERROR(VLOOKUP(A73,Scénáře!$A$4:$C$503,3,FALSE())&amp;"",""))</f>
        <v/>
      </c>
      <c r="D73" s="35"/>
      <c r="E73" s="36"/>
      <c r="F73" s="35"/>
      <c r="G73" s="11"/>
      <c r="H73" s="11"/>
    </row>
    <row r="74" spans="1:8" x14ac:dyDescent="0.2">
      <c r="A74" s="35"/>
      <c r="B74" s="39" t="str">
        <f>IF(A74="","",IFERROR(VLOOKUP(A74,Scénáře!$A$4:$B$503,2,FALSE()),"ID nenalezeno"))</f>
        <v/>
      </c>
      <c r="C74" s="37" t="str">
        <f>IF(A74="","",IFERROR(VLOOKUP(A74,Scénáře!$A$4:$C$503,3,FALSE())&amp;"",""))</f>
        <v/>
      </c>
      <c r="D74" s="35"/>
      <c r="E74" s="36"/>
      <c r="F74" s="35"/>
      <c r="G74" s="11"/>
      <c r="H74" s="11"/>
    </row>
    <row r="75" spans="1:8" x14ac:dyDescent="0.2">
      <c r="A75" s="35"/>
      <c r="B75" s="39" t="str">
        <f>IF(A75="","",IFERROR(VLOOKUP(A75,Scénáře!$A$4:$B$503,2,FALSE()),"ID nenalezeno"))</f>
        <v/>
      </c>
      <c r="C75" s="37" t="str">
        <f>IF(A75="","",IFERROR(VLOOKUP(A75,Scénáře!$A$4:$C$503,3,FALSE())&amp;"",""))</f>
        <v/>
      </c>
      <c r="D75" s="35"/>
      <c r="E75" s="36"/>
      <c r="F75" s="35"/>
      <c r="G75" s="11"/>
      <c r="H75" s="11"/>
    </row>
    <row r="76" spans="1:8" x14ac:dyDescent="0.2">
      <c r="A76" s="35"/>
      <c r="B76" s="39" t="str">
        <f>IF(A76="","",IFERROR(VLOOKUP(A76,Scénáře!$A$4:$B$503,2,FALSE()),"ID nenalezeno"))</f>
        <v/>
      </c>
      <c r="C76" s="37" t="str">
        <f>IF(A76="","",IFERROR(VLOOKUP(A76,Scénáře!$A$4:$C$503,3,FALSE())&amp;"",""))</f>
        <v/>
      </c>
      <c r="D76" s="35"/>
      <c r="E76" s="36"/>
      <c r="F76" s="35"/>
      <c r="G76" s="11"/>
      <c r="H76" s="11"/>
    </row>
    <row r="77" spans="1:8" x14ac:dyDescent="0.2">
      <c r="A77" s="35"/>
      <c r="B77" s="39" t="str">
        <f>IF(A77="","",IFERROR(VLOOKUP(A77,Scénáře!$A$4:$B$503,2,FALSE()),"ID nenalezeno"))</f>
        <v/>
      </c>
      <c r="C77" s="37" t="str">
        <f>IF(A77="","",IFERROR(VLOOKUP(A77,Scénáře!$A$4:$C$503,3,FALSE())&amp;"",""))</f>
        <v/>
      </c>
      <c r="D77" s="35"/>
      <c r="E77" s="36"/>
      <c r="F77" s="35"/>
      <c r="G77" s="11"/>
      <c r="H77" s="11"/>
    </row>
    <row r="78" spans="1:8" x14ac:dyDescent="0.2">
      <c r="A78" s="35"/>
      <c r="B78" s="39" t="str">
        <f>IF(A78="","",IFERROR(VLOOKUP(A78,Scénáře!$A$4:$B$503,2,FALSE()),"ID nenalezeno"))</f>
        <v/>
      </c>
      <c r="C78" s="37" t="str">
        <f>IF(A78="","",IFERROR(VLOOKUP(A78,Scénáře!$A$4:$C$503,3,FALSE())&amp;"",""))</f>
        <v/>
      </c>
      <c r="D78" s="35"/>
      <c r="E78" s="36"/>
      <c r="F78" s="35"/>
      <c r="G78" s="11"/>
      <c r="H78" s="11"/>
    </row>
    <row r="79" spans="1:8" x14ac:dyDescent="0.2">
      <c r="A79" s="35"/>
      <c r="B79" s="39" t="str">
        <f>IF(A79="","",IFERROR(VLOOKUP(A79,Scénáře!$A$4:$B$503,2,FALSE()),"ID nenalezeno"))</f>
        <v/>
      </c>
      <c r="C79" s="37" t="str">
        <f>IF(A79="","",IFERROR(VLOOKUP(A79,Scénáře!$A$4:$C$503,3,FALSE())&amp;"",""))</f>
        <v/>
      </c>
      <c r="D79" s="35"/>
      <c r="E79" s="36"/>
      <c r="F79" s="35"/>
      <c r="G79" s="11"/>
      <c r="H79" s="11"/>
    </row>
    <row r="80" spans="1:8" x14ac:dyDescent="0.2">
      <c r="A80" s="35"/>
      <c r="B80" s="39" t="str">
        <f>IF(A80="","",IFERROR(VLOOKUP(A80,Scénáře!$A$4:$B$503,2,FALSE()),"ID nenalezeno"))</f>
        <v/>
      </c>
      <c r="C80" s="37" t="str">
        <f>IF(A80="","",IFERROR(VLOOKUP(A80,Scénáře!$A$4:$C$503,3,FALSE())&amp;"",""))</f>
        <v/>
      </c>
      <c r="D80" s="35"/>
      <c r="E80" s="36"/>
      <c r="F80" s="35"/>
      <c r="G80" s="11"/>
      <c r="H80" s="11"/>
    </row>
    <row r="81" spans="1:8" x14ac:dyDescent="0.2">
      <c r="A81" s="35"/>
      <c r="B81" s="39" t="str">
        <f>IF(A81="","",IFERROR(VLOOKUP(A81,Scénáře!$A$4:$B$503,2,FALSE()),"ID nenalezeno"))</f>
        <v/>
      </c>
      <c r="C81" s="37" t="str">
        <f>IF(A81="","",IFERROR(VLOOKUP(A81,Scénáře!$A$4:$C$503,3,FALSE())&amp;"",""))</f>
        <v/>
      </c>
      <c r="D81" s="35"/>
      <c r="E81" s="36"/>
      <c r="F81" s="35"/>
      <c r="G81" s="11"/>
      <c r="H81" s="11"/>
    </row>
    <row r="82" spans="1:8" x14ac:dyDescent="0.2">
      <c r="A82" s="35"/>
      <c r="B82" s="39" t="str">
        <f>IF(A82="","",IFERROR(VLOOKUP(A82,Scénáře!$A$4:$B$503,2,FALSE()),"ID nenalezeno"))</f>
        <v/>
      </c>
      <c r="C82" s="37" t="str">
        <f>IF(A82="","",IFERROR(VLOOKUP(A82,Scénáře!$A$4:$C$503,3,FALSE())&amp;"",""))</f>
        <v/>
      </c>
      <c r="D82" s="35"/>
      <c r="E82" s="36"/>
      <c r="F82" s="35"/>
      <c r="G82" s="11"/>
      <c r="H82" s="11"/>
    </row>
    <row r="83" spans="1:8" x14ac:dyDescent="0.2">
      <c r="A83" s="35"/>
      <c r="B83" s="39" t="str">
        <f>IF(A83="","",IFERROR(VLOOKUP(A83,Scénáře!$A$4:$B$503,2,FALSE()),"ID nenalezeno"))</f>
        <v/>
      </c>
      <c r="C83" s="37" t="str">
        <f>IF(A83="","",IFERROR(VLOOKUP(A83,Scénáře!$A$4:$C$503,3,FALSE())&amp;"",""))</f>
        <v/>
      </c>
      <c r="D83" s="35"/>
      <c r="E83" s="36"/>
      <c r="F83" s="35"/>
      <c r="G83" s="11"/>
      <c r="H83" s="11"/>
    </row>
    <row r="84" spans="1:8" x14ac:dyDescent="0.2">
      <c r="A84" s="35"/>
      <c r="B84" s="39" t="str">
        <f>IF(A84="","",IFERROR(VLOOKUP(A84,Scénáře!$A$4:$B$503,2,FALSE()),"ID nenalezeno"))</f>
        <v/>
      </c>
      <c r="C84" s="37" t="str">
        <f>IF(A84="","",IFERROR(VLOOKUP(A84,Scénáře!$A$4:$C$503,3,FALSE())&amp;"",""))</f>
        <v/>
      </c>
      <c r="D84" s="35"/>
      <c r="E84" s="36"/>
      <c r="F84" s="35"/>
      <c r="G84" s="11"/>
      <c r="H84" s="11"/>
    </row>
    <row r="85" spans="1:8" x14ac:dyDescent="0.2">
      <c r="A85" s="35"/>
      <c r="B85" s="39" t="str">
        <f>IF(A85="","",IFERROR(VLOOKUP(A85,Scénáře!$A$4:$B$503,2,FALSE()),"ID nenalezeno"))</f>
        <v/>
      </c>
      <c r="C85" s="37" t="str">
        <f>IF(A85="","",IFERROR(VLOOKUP(A85,Scénáře!$A$4:$C$503,3,FALSE())&amp;"",""))</f>
        <v/>
      </c>
      <c r="D85" s="35"/>
      <c r="E85" s="36"/>
      <c r="F85" s="35"/>
      <c r="G85" s="11"/>
      <c r="H85" s="11"/>
    </row>
    <row r="86" spans="1:8" x14ac:dyDescent="0.2">
      <c r="A86" s="35"/>
      <c r="B86" s="39" t="str">
        <f>IF(A86="","",IFERROR(VLOOKUP(A86,Scénáře!$A$4:$B$503,2,FALSE()),"ID nenalezeno"))</f>
        <v/>
      </c>
      <c r="C86" s="37" t="str">
        <f>IF(A86="","",IFERROR(VLOOKUP(A86,Scénáře!$A$4:$C$503,3,FALSE())&amp;"",""))</f>
        <v/>
      </c>
      <c r="D86" s="35"/>
      <c r="E86" s="36"/>
      <c r="F86" s="35"/>
      <c r="G86" s="11"/>
      <c r="H86" s="11"/>
    </row>
    <row r="87" spans="1:8" x14ac:dyDescent="0.2">
      <c r="A87" s="35"/>
      <c r="B87" s="39" t="str">
        <f>IF(A87="","",IFERROR(VLOOKUP(A87,Scénáře!$A$4:$B$503,2,FALSE()),"ID nenalezeno"))</f>
        <v/>
      </c>
      <c r="C87" s="37" t="str">
        <f>IF(A87="","",IFERROR(VLOOKUP(A87,Scénáře!$A$4:$C$503,3,FALSE())&amp;"",""))</f>
        <v/>
      </c>
      <c r="D87" s="35"/>
      <c r="E87" s="36"/>
      <c r="F87" s="35"/>
      <c r="G87" s="11"/>
      <c r="H87" s="11"/>
    </row>
    <row r="88" spans="1:8" x14ac:dyDescent="0.2">
      <c r="A88" s="35"/>
      <c r="B88" s="39" t="str">
        <f>IF(A88="","",IFERROR(VLOOKUP(A88,Scénáře!$A$4:$B$503,2,FALSE()),"ID nenalezeno"))</f>
        <v/>
      </c>
      <c r="C88" s="37" t="str">
        <f>IF(A88="","",IFERROR(VLOOKUP(A88,Scénáře!$A$4:$C$503,3,FALSE())&amp;"",""))</f>
        <v/>
      </c>
      <c r="D88" s="35"/>
      <c r="E88" s="36"/>
      <c r="F88" s="35"/>
      <c r="G88" s="11"/>
      <c r="H88" s="11"/>
    </row>
    <row r="89" spans="1:8" x14ac:dyDescent="0.2">
      <c r="A89" s="35"/>
      <c r="B89" s="39" t="str">
        <f>IF(A89="","",IFERROR(VLOOKUP(A89,Scénáře!$A$4:$B$503,2,FALSE()),"ID nenalezeno"))</f>
        <v/>
      </c>
      <c r="C89" s="37" t="str">
        <f>IF(A89="","",IFERROR(VLOOKUP(A89,Scénáře!$A$4:$C$503,3,FALSE())&amp;"",""))</f>
        <v/>
      </c>
      <c r="D89" s="35"/>
      <c r="E89" s="36"/>
      <c r="F89" s="35"/>
      <c r="G89" s="11"/>
      <c r="H89" s="11"/>
    </row>
    <row r="90" spans="1:8" x14ac:dyDescent="0.2">
      <c r="A90" s="35"/>
      <c r="B90" s="39" t="str">
        <f>IF(A90="","",IFERROR(VLOOKUP(A90,Scénáře!$A$4:$B$503,2,FALSE()),"ID nenalezeno"))</f>
        <v/>
      </c>
      <c r="C90" s="37" t="str">
        <f>IF(A90="","",IFERROR(VLOOKUP(A90,Scénáře!$A$4:$C$503,3,FALSE())&amp;"",""))</f>
        <v/>
      </c>
      <c r="D90" s="35"/>
      <c r="E90" s="36"/>
      <c r="F90" s="35"/>
      <c r="G90" s="11"/>
      <c r="H90" s="11"/>
    </row>
    <row r="91" spans="1:8" x14ac:dyDescent="0.2">
      <c r="A91" s="35"/>
      <c r="B91" s="39" t="str">
        <f>IF(A91="","",IFERROR(VLOOKUP(A91,Scénáře!$A$4:$B$503,2,FALSE()),"ID nenalezeno"))</f>
        <v/>
      </c>
      <c r="C91" s="37" t="str">
        <f>IF(A91="","",IFERROR(VLOOKUP(A91,Scénáře!$A$4:$C$503,3,FALSE())&amp;"",""))</f>
        <v/>
      </c>
      <c r="D91" s="35"/>
      <c r="E91" s="36"/>
      <c r="F91" s="35"/>
      <c r="G91" s="11"/>
      <c r="H91" s="11"/>
    </row>
    <row r="92" spans="1:8" x14ac:dyDescent="0.2">
      <c r="A92" s="35"/>
      <c r="B92" s="39" t="str">
        <f>IF(A92="","",IFERROR(VLOOKUP(A92,Scénáře!$A$4:$B$503,2,FALSE()),"ID nenalezeno"))</f>
        <v/>
      </c>
      <c r="C92" s="37" t="str">
        <f>IF(A92="","",IFERROR(VLOOKUP(A92,Scénáře!$A$4:$C$503,3,FALSE())&amp;"",""))</f>
        <v/>
      </c>
      <c r="D92" s="35"/>
      <c r="E92" s="36"/>
      <c r="F92" s="35"/>
      <c r="G92" s="11"/>
      <c r="H92" s="11"/>
    </row>
    <row r="93" spans="1:8" x14ac:dyDescent="0.2">
      <c r="A93" s="35"/>
      <c r="B93" s="39" t="str">
        <f>IF(A93="","",IFERROR(VLOOKUP(A93,Scénáře!$A$4:$B$503,2,FALSE()),"ID nenalezeno"))</f>
        <v/>
      </c>
      <c r="C93" s="37" t="str">
        <f>IF(A93="","",IFERROR(VLOOKUP(A93,Scénáře!$A$4:$C$503,3,FALSE())&amp;"",""))</f>
        <v/>
      </c>
      <c r="D93" s="35"/>
      <c r="E93" s="36"/>
      <c r="F93" s="35"/>
      <c r="G93" s="11"/>
      <c r="H93" s="11"/>
    </row>
    <row r="94" spans="1:8" x14ac:dyDescent="0.2">
      <c r="A94" s="35"/>
      <c r="B94" s="39" t="str">
        <f>IF(A94="","",IFERROR(VLOOKUP(A94,Scénáře!$A$4:$B$503,2,FALSE()),"ID nenalezeno"))</f>
        <v/>
      </c>
      <c r="C94" s="37" t="str">
        <f>IF(A94="","",IFERROR(VLOOKUP(A94,Scénáře!$A$4:$C$503,3,FALSE())&amp;"",""))</f>
        <v/>
      </c>
      <c r="D94" s="35"/>
      <c r="E94" s="36"/>
      <c r="F94" s="35"/>
      <c r="G94" s="11"/>
      <c r="H94" s="11"/>
    </row>
    <row r="95" spans="1:8" x14ac:dyDescent="0.2">
      <c r="A95" s="35"/>
      <c r="B95" s="39" t="str">
        <f>IF(A95="","",IFERROR(VLOOKUP(A95,Scénáře!$A$4:$B$503,2,FALSE()),"ID nenalezeno"))</f>
        <v/>
      </c>
      <c r="C95" s="37" t="str">
        <f>IF(A95="","",IFERROR(VLOOKUP(A95,Scénáře!$A$4:$C$503,3,FALSE())&amp;"",""))</f>
        <v/>
      </c>
      <c r="D95" s="35"/>
      <c r="E95" s="36"/>
      <c r="F95" s="35"/>
      <c r="G95" s="11"/>
      <c r="H95" s="11"/>
    </row>
    <row r="96" spans="1:8" x14ac:dyDescent="0.2">
      <c r="A96" s="35"/>
      <c r="B96" s="39" t="str">
        <f>IF(A96="","",IFERROR(VLOOKUP(A96,Scénáře!$A$4:$B$503,2,FALSE()),"ID nenalezeno"))</f>
        <v/>
      </c>
      <c r="C96" s="37" t="str">
        <f>IF(A96="","",IFERROR(VLOOKUP(A96,Scénáře!$A$4:$C$503,3,FALSE())&amp;"",""))</f>
        <v/>
      </c>
      <c r="D96" s="35"/>
      <c r="E96" s="36"/>
      <c r="F96" s="35"/>
      <c r="G96" s="11"/>
      <c r="H96" s="11"/>
    </row>
    <row r="97" spans="1:8" x14ac:dyDescent="0.2">
      <c r="A97" s="35"/>
      <c r="B97" s="39" t="str">
        <f>IF(A97="","",IFERROR(VLOOKUP(A97,Scénáře!$A$4:$B$503,2,FALSE()),"ID nenalezeno"))</f>
        <v/>
      </c>
      <c r="C97" s="37" t="str">
        <f>IF(A97="","",IFERROR(VLOOKUP(A97,Scénáře!$A$4:$C$503,3,FALSE())&amp;"",""))</f>
        <v/>
      </c>
      <c r="D97" s="35"/>
      <c r="E97" s="36"/>
      <c r="F97" s="35"/>
      <c r="G97" s="11"/>
      <c r="H97" s="11"/>
    </row>
    <row r="98" spans="1:8" x14ac:dyDescent="0.2">
      <c r="A98" s="35"/>
      <c r="B98" s="39" t="str">
        <f>IF(A98="","",IFERROR(VLOOKUP(A98,Scénáře!$A$4:$B$503,2,FALSE()),"ID nenalezeno"))</f>
        <v/>
      </c>
      <c r="C98" s="37" t="str">
        <f>IF(A98="","",IFERROR(VLOOKUP(A98,Scénáře!$A$4:$C$503,3,FALSE())&amp;"",""))</f>
        <v/>
      </c>
      <c r="D98" s="35"/>
      <c r="E98" s="36"/>
      <c r="F98" s="35"/>
      <c r="G98" s="11"/>
      <c r="H98" s="11"/>
    </row>
    <row r="99" spans="1:8" x14ac:dyDescent="0.2">
      <c r="A99" s="35"/>
      <c r="B99" s="39" t="str">
        <f>IF(A99="","",IFERROR(VLOOKUP(A99,Scénáře!$A$4:$B$503,2,FALSE()),"ID nenalezeno"))</f>
        <v/>
      </c>
      <c r="C99" s="37" t="str">
        <f>IF(A99="","",IFERROR(VLOOKUP(A99,Scénáře!$A$4:$C$503,3,FALSE())&amp;"",""))</f>
        <v/>
      </c>
      <c r="D99" s="35"/>
      <c r="E99" s="36"/>
      <c r="F99" s="35"/>
      <c r="G99" s="11"/>
      <c r="H99" s="11"/>
    </row>
    <row r="100" spans="1:8" x14ac:dyDescent="0.2">
      <c r="A100" s="35"/>
      <c r="B100" s="39" t="str">
        <f>IF(A100="","",IFERROR(VLOOKUP(A100,Scénáře!$A$4:$B$503,2,FALSE()),"ID nenalezeno"))</f>
        <v/>
      </c>
      <c r="C100" s="37" t="str">
        <f>IF(A100="","",IFERROR(VLOOKUP(A100,Scénáře!$A$4:$C$503,3,FALSE())&amp;"",""))</f>
        <v/>
      </c>
      <c r="D100" s="35"/>
      <c r="E100" s="36"/>
      <c r="F100" s="35"/>
      <c r="G100" s="11"/>
      <c r="H100" s="11"/>
    </row>
    <row r="101" spans="1:8" x14ac:dyDescent="0.2">
      <c r="A101" s="35"/>
      <c r="B101" s="39" t="str">
        <f>IF(A101="","",IFERROR(VLOOKUP(A101,Scénáře!$A$4:$B$503,2,FALSE()),"ID nenalezeno"))</f>
        <v/>
      </c>
      <c r="C101" s="37" t="str">
        <f>IF(A101="","",IFERROR(VLOOKUP(A101,Scénáře!$A$4:$C$503,3,FALSE())&amp;"",""))</f>
        <v/>
      </c>
      <c r="D101" s="35"/>
      <c r="E101" s="36"/>
      <c r="F101" s="35"/>
      <c r="G101" s="11"/>
      <c r="H101" s="11"/>
    </row>
    <row r="102" spans="1:8" x14ac:dyDescent="0.2">
      <c r="A102" s="35"/>
      <c r="B102" s="39" t="str">
        <f>IF(A102="","",IFERROR(VLOOKUP(A102,Scénáře!$A$4:$B$503,2,FALSE()),"ID nenalezeno"))</f>
        <v/>
      </c>
      <c r="C102" s="37" t="str">
        <f>IF(A102="","",IFERROR(VLOOKUP(A102,Scénáře!$A$4:$C$503,3,FALSE())&amp;"",""))</f>
        <v/>
      </c>
      <c r="D102" s="35"/>
      <c r="E102" s="36"/>
      <c r="F102" s="35"/>
      <c r="G102" s="11"/>
      <c r="H102" s="11"/>
    </row>
    <row r="103" spans="1:8" x14ac:dyDescent="0.2">
      <c r="A103" s="35"/>
      <c r="B103" s="39" t="str">
        <f>IF(A103="","",IFERROR(VLOOKUP(A103,Scénáře!$A$4:$B$503,2,FALSE()),"ID nenalezeno"))</f>
        <v/>
      </c>
      <c r="C103" s="37" t="str">
        <f>IF(A103="","",IFERROR(VLOOKUP(A103,Scénáře!$A$4:$C$503,3,FALSE())&amp;"",""))</f>
        <v/>
      </c>
      <c r="D103" s="35"/>
      <c r="E103" s="36"/>
      <c r="F103" s="35"/>
      <c r="G103" s="11"/>
      <c r="H103" s="11"/>
    </row>
    <row r="104" spans="1:8" x14ac:dyDescent="0.2">
      <c r="A104" s="35"/>
      <c r="B104" s="39" t="str">
        <f>IF(A104="","",IFERROR(VLOOKUP(A104,Scénáře!$A$4:$B$503,2,FALSE()),"ID nenalezeno"))</f>
        <v/>
      </c>
      <c r="C104" s="37" t="str">
        <f>IF(A104="","",IFERROR(VLOOKUP(A104,Scénáře!$A$4:$C$503,3,FALSE())&amp;"",""))</f>
        <v/>
      </c>
      <c r="D104" s="35"/>
      <c r="E104" s="36"/>
      <c r="F104" s="35"/>
      <c r="G104" s="11"/>
      <c r="H104" s="11"/>
    </row>
    <row r="105" spans="1:8" x14ac:dyDescent="0.2">
      <c r="A105" s="35"/>
      <c r="B105" s="39" t="str">
        <f>IF(A105="","",IFERROR(VLOOKUP(A105,Scénáře!$A$4:$B$503,2,FALSE()),"ID nenalezeno"))</f>
        <v/>
      </c>
      <c r="C105" s="37" t="str">
        <f>IF(A105="","",IFERROR(VLOOKUP(A105,Scénáře!$A$4:$C$503,3,FALSE())&amp;"",""))</f>
        <v/>
      </c>
      <c r="D105" s="35"/>
      <c r="E105" s="36"/>
      <c r="F105" s="35"/>
      <c r="G105" s="11"/>
      <c r="H105" s="11"/>
    </row>
    <row r="106" spans="1:8" x14ac:dyDescent="0.2">
      <c r="A106" s="35"/>
      <c r="B106" s="39" t="str">
        <f>IF(A106="","",IFERROR(VLOOKUP(A106,Scénáře!$A$4:$B$503,2,FALSE()),"ID nenalezeno"))</f>
        <v/>
      </c>
      <c r="C106" s="37" t="str">
        <f>IF(A106="","",IFERROR(VLOOKUP(A106,Scénáře!$A$4:$C$503,3,FALSE())&amp;"",""))</f>
        <v/>
      </c>
      <c r="D106" s="35"/>
      <c r="E106" s="36"/>
      <c r="F106" s="35"/>
      <c r="G106" s="11"/>
      <c r="H106" s="11"/>
    </row>
    <row r="107" spans="1:8" x14ac:dyDescent="0.2">
      <c r="A107" s="35"/>
      <c r="B107" s="39" t="str">
        <f>IF(A107="","",IFERROR(VLOOKUP(A107,Scénáře!$A$4:$B$503,2,FALSE()),"ID nenalezeno"))</f>
        <v/>
      </c>
      <c r="C107" s="37" t="str">
        <f>IF(A107="","",IFERROR(VLOOKUP(A107,Scénáře!$A$4:$C$503,3,FALSE())&amp;"",""))</f>
        <v/>
      </c>
      <c r="D107" s="35"/>
      <c r="E107" s="36"/>
      <c r="F107" s="35"/>
      <c r="G107" s="11"/>
      <c r="H107" s="11"/>
    </row>
    <row r="108" spans="1:8" x14ac:dyDescent="0.2">
      <c r="A108" s="35"/>
      <c r="B108" s="39" t="str">
        <f>IF(A108="","",IFERROR(VLOOKUP(A108,Scénáře!$A$4:$B$503,2,FALSE()),"ID nenalezeno"))</f>
        <v/>
      </c>
      <c r="C108" s="37" t="str">
        <f>IF(A108="","",IFERROR(VLOOKUP(A108,Scénáře!$A$4:$C$503,3,FALSE())&amp;"",""))</f>
        <v/>
      </c>
      <c r="D108" s="35"/>
      <c r="E108" s="36"/>
      <c r="F108" s="35"/>
      <c r="G108" s="11"/>
      <c r="H108" s="11"/>
    </row>
    <row r="109" spans="1:8" x14ac:dyDescent="0.2">
      <c r="A109" s="35"/>
      <c r="B109" s="39" t="str">
        <f>IF(A109="","",IFERROR(VLOOKUP(A109,Scénáře!$A$4:$B$503,2,FALSE()),"ID nenalezeno"))</f>
        <v/>
      </c>
      <c r="C109" s="37" t="str">
        <f>IF(A109="","",IFERROR(VLOOKUP(A109,Scénáře!$A$4:$C$503,3,FALSE())&amp;"",""))</f>
        <v/>
      </c>
      <c r="D109" s="35"/>
      <c r="E109" s="36"/>
      <c r="F109" s="35"/>
      <c r="G109" s="11"/>
      <c r="H109" s="11"/>
    </row>
    <row r="110" spans="1:8" x14ac:dyDescent="0.2">
      <c r="A110" s="35"/>
      <c r="B110" s="39" t="str">
        <f>IF(A110="","",IFERROR(VLOOKUP(A110,Scénáře!$A$4:$B$503,2,FALSE()),"ID nenalezeno"))</f>
        <v/>
      </c>
      <c r="C110" s="37" t="str">
        <f>IF(A110="","",IFERROR(VLOOKUP(A110,Scénáře!$A$4:$C$503,3,FALSE())&amp;"",""))</f>
        <v/>
      </c>
      <c r="D110" s="35"/>
      <c r="E110" s="36"/>
      <c r="F110" s="35"/>
      <c r="G110" s="11"/>
      <c r="H110" s="11"/>
    </row>
    <row r="111" spans="1:8" x14ac:dyDescent="0.2">
      <c r="A111" s="35"/>
      <c r="B111" s="39" t="str">
        <f>IF(A111="","",IFERROR(VLOOKUP(A111,Scénáře!$A$4:$B$503,2,FALSE()),"ID nenalezeno"))</f>
        <v/>
      </c>
      <c r="C111" s="37" t="str">
        <f>IF(A111="","",IFERROR(VLOOKUP(A111,Scénáře!$A$4:$C$503,3,FALSE())&amp;"",""))</f>
        <v/>
      </c>
      <c r="D111" s="35"/>
      <c r="E111" s="36"/>
      <c r="F111" s="35"/>
      <c r="G111" s="11"/>
      <c r="H111" s="11"/>
    </row>
    <row r="112" spans="1:8" x14ac:dyDescent="0.2">
      <c r="A112" s="35"/>
      <c r="B112" s="39" t="str">
        <f>IF(A112="","",IFERROR(VLOOKUP(A112,Scénáře!$A$4:$B$503,2,FALSE()),"ID nenalezeno"))</f>
        <v/>
      </c>
      <c r="C112" s="37" t="str">
        <f>IF(A112="","",IFERROR(VLOOKUP(A112,Scénáře!$A$4:$C$503,3,FALSE())&amp;"",""))</f>
        <v/>
      </c>
      <c r="D112" s="35"/>
      <c r="E112" s="36"/>
      <c r="F112" s="35"/>
      <c r="G112" s="11"/>
      <c r="H112" s="11"/>
    </row>
    <row r="113" spans="1:8" x14ac:dyDescent="0.2">
      <c r="A113" s="35"/>
      <c r="B113" s="39" t="str">
        <f>IF(A113="","",IFERROR(VLOOKUP(A113,Scénáře!$A$4:$B$503,2,FALSE()),"ID nenalezeno"))</f>
        <v/>
      </c>
      <c r="C113" s="37" t="str">
        <f>IF(A113="","",IFERROR(VLOOKUP(A113,Scénáře!$A$4:$C$503,3,FALSE())&amp;"",""))</f>
        <v/>
      </c>
      <c r="D113" s="35"/>
      <c r="E113" s="36"/>
      <c r="F113" s="35"/>
      <c r="G113" s="11"/>
      <c r="H113" s="11"/>
    </row>
    <row r="114" spans="1:8" x14ac:dyDescent="0.2">
      <c r="A114" s="35"/>
      <c r="B114" s="39" t="str">
        <f>IF(A114="","",IFERROR(VLOOKUP(A114,Scénáře!$A$4:$B$503,2,FALSE()),"ID nenalezeno"))</f>
        <v/>
      </c>
      <c r="C114" s="37" t="str">
        <f>IF(A114="","",IFERROR(VLOOKUP(A114,Scénáře!$A$4:$C$503,3,FALSE())&amp;"",""))</f>
        <v/>
      </c>
      <c r="D114" s="35"/>
      <c r="E114" s="36"/>
      <c r="F114" s="35"/>
      <c r="G114" s="11"/>
      <c r="H114" s="11"/>
    </row>
    <row r="115" spans="1:8" x14ac:dyDescent="0.2">
      <c r="A115" s="35"/>
      <c r="B115" s="39" t="str">
        <f>IF(A115="","",IFERROR(VLOOKUP(A115,Scénáře!$A$4:$B$503,2,FALSE()),"ID nenalezeno"))</f>
        <v/>
      </c>
      <c r="C115" s="37" t="str">
        <f>IF(A115="","",IFERROR(VLOOKUP(A115,Scénáře!$A$4:$C$503,3,FALSE())&amp;"",""))</f>
        <v/>
      </c>
      <c r="D115" s="35"/>
      <c r="E115" s="36"/>
      <c r="F115" s="35"/>
      <c r="G115" s="11"/>
      <c r="H115" s="11"/>
    </row>
    <row r="116" spans="1:8" x14ac:dyDescent="0.2">
      <c r="A116" s="35"/>
      <c r="B116" s="39" t="str">
        <f>IF(A116="","",IFERROR(VLOOKUP(A116,Scénáře!$A$4:$B$503,2,FALSE()),"ID nenalezeno"))</f>
        <v/>
      </c>
      <c r="C116" s="37" t="str">
        <f>IF(A116="","",IFERROR(VLOOKUP(A116,Scénáře!$A$4:$C$503,3,FALSE())&amp;"",""))</f>
        <v/>
      </c>
      <c r="D116" s="35"/>
      <c r="E116" s="36"/>
      <c r="F116" s="35"/>
      <c r="G116" s="11"/>
      <c r="H116" s="11"/>
    </row>
    <row r="117" spans="1:8" x14ac:dyDescent="0.2">
      <c r="A117" s="35"/>
      <c r="B117" s="39" t="str">
        <f>IF(A117="","",IFERROR(VLOOKUP(A117,Scénáře!$A$4:$B$503,2,FALSE()),"ID nenalezeno"))</f>
        <v/>
      </c>
      <c r="C117" s="37" t="str">
        <f>IF(A117="","",IFERROR(VLOOKUP(A117,Scénáře!$A$4:$C$503,3,FALSE())&amp;"",""))</f>
        <v/>
      </c>
      <c r="D117" s="35"/>
      <c r="E117" s="36"/>
      <c r="F117" s="35"/>
      <c r="G117" s="11"/>
      <c r="H117" s="11"/>
    </row>
    <row r="118" spans="1:8" x14ac:dyDescent="0.2">
      <c r="A118" s="35"/>
      <c r="B118" s="39" t="str">
        <f>IF(A118="","",IFERROR(VLOOKUP(A118,Scénáře!$A$4:$B$503,2,FALSE()),"ID nenalezeno"))</f>
        <v/>
      </c>
      <c r="C118" s="37" t="str">
        <f>IF(A118="","",IFERROR(VLOOKUP(A118,Scénáře!$A$4:$C$503,3,FALSE())&amp;"",""))</f>
        <v/>
      </c>
      <c r="D118" s="35"/>
      <c r="E118" s="36"/>
      <c r="F118" s="35"/>
      <c r="G118" s="11"/>
      <c r="H118" s="11"/>
    </row>
    <row r="119" spans="1:8" x14ac:dyDescent="0.2">
      <c r="A119" s="35"/>
      <c r="B119" s="39" t="str">
        <f>IF(A119="","",IFERROR(VLOOKUP(A119,Scénáře!$A$4:$B$503,2,FALSE()),"ID nenalezeno"))</f>
        <v/>
      </c>
      <c r="C119" s="37" t="str">
        <f>IF(A119="","",IFERROR(VLOOKUP(A119,Scénáře!$A$4:$C$503,3,FALSE())&amp;"",""))</f>
        <v/>
      </c>
      <c r="D119" s="35"/>
      <c r="E119" s="36"/>
      <c r="F119" s="35"/>
      <c r="G119" s="11"/>
      <c r="H119" s="11"/>
    </row>
    <row r="120" spans="1:8" x14ac:dyDescent="0.2">
      <c r="A120" s="35"/>
      <c r="B120" s="39" t="str">
        <f>IF(A120="","",IFERROR(VLOOKUP(A120,Scénáře!$A$4:$B$503,2,FALSE()),"ID nenalezeno"))</f>
        <v/>
      </c>
      <c r="C120" s="37" t="str">
        <f>IF(A120="","",IFERROR(VLOOKUP(A120,Scénáře!$A$4:$C$503,3,FALSE())&amp;"",""))</f>
        <v/>
      </c>
      <c r="D120" s="35"/>
      <c r="E120" s="36"/>
      <c r="F120" s="35"/>
      <c r="G120" s="11"/>
      <c r="H120" s="11"/>
    </row>
    <row r="121" spans="1:8" x14ac:dyDescent="0.2">
      <c r="A121" s="35"/>
      <c r="B121" s="39" t="str">
        <f>IF(A121="","",IFERROR(VLOOKUP(A121,Scénáře!$A$4:$B$503,2,FALSE()),"ID nenalezeno"))</f>
        <v/>
      </c>
      <c r="C121" s="37" t="str">
        <f>IF(A121="","",IFERROR(VLOOKUP(A121,Scénáře!$A$4:$C$503,3,FALSE())&amp;"",""))</f>
        <v/>
      </c>
      <c r="D121" s="35"/>
      <c r="E121" s="36"/>
      <c r="F121" s="35"/>
      <c r="G121" s="11"/>
      <c r="H121" s="11"/>
    </row>
    <row r="122" spans="1:8" x14ac:dyDescent="0.2">
      <c r="A122" s="35"/>
      <c r="B122" s="39" t="str">
        <f>IF(A122="","",IFERROR(VLOOKUP(A122,Scénáře!$A$4:$B$503,2,FALSE()),"ID nenalezeno"))</f>
        <v/>
      </c>
      <c r="C122" s="37" t="str">
        <f>IF(A122="","",IFERROR(VLOOKUP(A122,Scénáře!$A$4:$C$503,3,FALSE())&amp;"",""))</f>
        <v/>
      </c>
      <c r="D122" s="35"/>
      <c r="E122" s="36"/>
      <c r="F122" s="35"/>
      <c r="G122" s="11"/>
      <c r="H122" s="11"/>
    </row>
    <row r="123" spans="1:8" x14ac:dyDescent="0.2">
      <c r="A123" s="35"/>
      <c r="B123" s="39" t="str">
        <f>IF(A123="","",IFERROR(VLOOKUP(A123,Scénáře!$A$4:$B$503,2,FALSE()),"ID nenalezeno"))</f>
        <v/>
      </c>
      <c r="C123" s="37" t="str">
        <f>IF(A123="","",IFERROR(VLOOKUP(A123,Scénáře!$A$4:$C$503,3,FALSE())&amp;"",""))</f>
        <v/>
      </c>
      <c r="D123" s="35"/>
      <c r="E123" s="36"/>
      <c r="F123" s="35"/>
      <c r="G123" s="11"/>
      <c r="H123" s="11"/>
    </row>
    <row r="124" spans="1:8" x14ac:dyDescent="0.2">
      <c r="A124" s="35"/>
      <c r="B124" s="39" t="str">
        <f>IF(A124="","",IFERROR(VLOOKUP(A124,Scénáře!$A$4:$B$503,2,FALSE()),"ID nenalezeno"))</f>
        <v/>
      </c>
      <c r="C124" s="37" t="str">
        <f>IF(A124="","",IFERROR(VLOOKUP(A124,Scénáře!$A$4:$C$503,3,FALSE())&amp;"",""))</f>
        <v/>
      </c>
      <c r="D124" s="35"/>
      <c r="E124" s="36"/>
      <c r="F124" s="35"/>
      <c r="G124" s="11"/>
      <c r="H124" s="11"/>
    </row>
    <row r="125" spans="1:8" x14ac:dyDescent="0.2">
      <c r="A125" s="35"/>
      <c r="B125" s="39" t="str">
        <f>IF(A125="","",IFERROR(VLOOKUP(A125,Scénáře!$A$4:$B$503,2,FALSE()),"ID nenalezeno"))</f>
        <v/>
      </c>
      <c r="C125" s="37" t="str">
        <f>IF(A125="","",IFERROR(VLOOKUP(A125,Scénáře!$A$4:$C$503,3,FALSE())&amp;"",""))</f>
        <v/>
      </c>
      <c r="D125" s="35"/>
      <c r="E125" s="36"/>
      <c r="F125" s="35"/>
      <c r="G125" s="11"/>
      <c r="H125" s="11"/>
    </row>
    <row r="126" spans="1:8" x14ac:dyDescent="0.2">
      <c r="A126" s="35"/>
      <c r="B126" s="39" t="str">
        <f>IF(A126="","",IFERROR(VLOOKUP(A126,Scénáře!$A$4:$B$503,2,FALSE()),"ID nenalezeno"))</f>
        <v/>
      </c>
      <c r="C126" s="37" t="str">
        <f>IF(A126="","",IFERROR(VLOOKUP(A126,Scénáře!$A$4:$C$503,3,FALSE())&amp;"",""))</f>
        <v/>
      </c>
      <c r="D126" s="35"/>
      <c r="E126" s="36"/>
      <c r="F126" s="35"/>
      <c r="G126" s="11"/>
      <c r="H126" s="11"/>
    </row>
    <row r="127" spans="1:8" x14ac:dyDescent="0.2">
      <c r="A127" s="35"/>
      <c r="B127" s="39" t="str">
        <f>IF(A127="","",IFERROR(VLOOKUP(A127,Scénáře!$A$4:$B$503,2,FALSE()),"ID nenalezeno"))</f>
        <v/>
      </c>
      <c r="C127" s="37" t="str">
        <f>IF(A127="","",IFERROR(VLOOKUP(A127,Scénáře!$A$4:$C$503,3,FALSE())&amp;"",""))</f>
        <v/>
      </c>
      <c r="D127" s="35"/>
      <c r="E127" s="36"/>
      <c r="F127" s="35"/>
      <c r="G127" s="11"/>
      <c r="H127" s="11"/>
    </row>
    <row r="128" spans="1:8" x14ac:dyDescent="0.2">
      <c r="A128" s="35"/>
      <c r="B128" s="39" t="str">
        <f>IF(A128="","",IFERROR(VLOOKUP(A128,Scénáře!$A$4:$B$503,2,FALSE()),"ID nenalezeno"))</f>
        <v/>
      </c>
      <c r="C128" s="37" t="str">
        <f>IF(A128="","",IFERROR(VLOOKUP(A128,Scénáře!$A$4:$C$503,3,FALSE())&amp;"",""))</f>
        <v/>
      </c>
      <c r="D128" s="35"/>
      <c r="E128" s="36"/>
      <c r="F128" s="35"/>
      <c r="G128" s="11"/>
      <c r="H128" s="11"/>
    </row>
    <row r="129" spans="1:8" x14ac:dyDescent="0.2">
      <c r="A129" s="35"/>
      <c r="B129" s="39" t="str">
        <f>IF(A129="","",IFERROR(VLOOKUP(A129,Scénáře!$A$4:$B$503,2,FALSE()),"ID nenalezeno"))</f>
        <v/>
      </c>
      <c r="C129" s="37" t="str">
        <f>IF(A129="","",IFERROR(VLOOKUP(A129,Scénáře!$A$4:$C$503,3,FALSE())&amp;"",""))</f>
        <v/>
      </c>
      <c r="D129" s="35"/>
      <c r="E129" s="36"/>
      <c r="F129" s="35"/>
      <c r="G129" s="11"/>
      <c r="H129" s="11"/>
    </row>
    <row r="130" spans="1:8" x14ac:dyDescent="0.2">
      <c r="A130" s="35"/>
      <c r="B130" s="39" t="str">
        <f>IF(A130="","",IFERROR(VLOOKUP(A130,Scénáře!$A$4:$B$503,2,FALSE()),"ID nenalezeno"))</f>
        <v/>
      </c>
      <c r="C130" s="37" t="str">
        <f>IF(A130="","",IFERROR(VLOOKUP(A130,Scénáře!$A$4:$C$503,3,FALSE())&amp;"",""))</f>
        <v/>
      </c>
      <c r="D130" s="35"/>
      <c r="E130" s="36"/>
      <c r="F130" s="35"/>
      <c r="G130" s="11"/>
      <c r="H130" s="11"/>
    </row>
    <row r="131" spans="1:8" x14ac:dyDescent="0.2">
      <c r="A131" s="35"/>
      <c r="B131" s="39" t="str">
        <f>IF(A131="","",IFERROR(VLOOKUP(A131,Scénáře!$A$4:$B$503,2,FALSE()),"ID nenalezeno"))</f>
        <v/>
      </c>
      <c r="C131" s="37" t="str">
        <f>IF(A131="","",IFERROR(VLOOKUP(A131,Scénáře!$A$4:$C$503,3,FALSE())&amp;"",""))</f>
        <v/>
      </c>
      <c r="D131" s="35"/>
      <c r="E131" s="36"/>
      <c r="F131" s="35"/>
      <c r="G131" s="11"/>
      <c r="H131" s="11"/>
    </row>
    <row r="132" spans="1:8" x14ac:dyDescent="0.2">
      <c r="A132" s="35"/>
      <c r="B132" s="39" t="str">
        <f>IF(A132="","",IFERROR(VLOOKUP(A132,Scénáře!$A$4:$B$503,2,FALSE()),"ID nenalezeno"))</f>
        <v/>
      </c>
      <c r="C132" s="37" t="str">
        <f>IF(A132="","",IFERROR(VLOOKUP(A132,Scénáře!$A$4:$C$503,3,FALSE())&amp;"",""))</f>
        <v/>
      </c>
      <c r="D132" s="35"/>
      <c r="E132" s="36"/>
      <c r="F132" s="35"/>
      <c r="G132" s="11"/>
      <c r="H132" s="11"/>
    </row>
    <row r="133" spans="1:8" x14ac:dyDescent="0.2">
      <c r="A133" s="35"/>
      <c r="B133" s="39" t="str">
        <f>IF(A133="","",IFERROR(VLOOKUP(A133,Scénáře!$A$4:$B$503,2,FALSE()),"ID nenalezeno"))</f>
        <v/>
      </c>
      <c r="C133" s="37" t="str">
        <f>IF(A133="","",IFERROR(VLOOKUP(A133,Scénáře!$A$4:$C$503,3,FALSE())&amp;"",""))</f>
        <v/>
      </c>
      <c r="D133" s="35"/>
      <c r="E133" s="36"/>
      <c r="F133" s="35"/>
      <c r="G133" s="11"/>
      <c r="H133" s="11"/>
    </row>
    <row r="134" spans="1:8" x14ac:dyDescent="0.2">
      <c r="A134" s="35"/>
      <c r="B134" s="39" t="str">
        <f>IF(A134="","",IFERROR(VLOOKUP(A134,Scénáře!$A$4:$B$503,2,FALSE()),"ID nenalezeno"))</f>
        <v/>
      </c>
      <c r="C134" s="37" t="str">
        <f>IF(A134="","",IFERROR(VLOOKUP(A134,Scénáře!$A$4:$C$503,3,FALSE())&amp;"",""))</f>
        <v/>
      </c>
      <c r="D134" s="35"/>
      <c r="E134" s="36"/>
      <c r="F134" s="35"/>
      <c r="G134" s="11"/>
      <c r="H134" s="11"/>
    </row>
    <row r="135" spans="1:8" x14ac:dyDescent="0.2">
      <c r="A135" s="35"/>
      <c r="B135" s="39" t="str">
        <f>IF(A135="","",IFERROR(VLOOKUP(A135,Scénáře!$A$4:$B$503,2,FALSE()),"ID nenalezeno"))</f>
        <v/>
      </c>
      <c r="C135" s="37" t="str">
        <f>IF(A135="","",IFERROR(VLOOKUP(A135,Scénáře!$A$4:$C$503,3,FALSE())&amp;"",""))</f>
        <v/>
      </c>
      <c r="D135" s="35"/>
      <c r="E135" s="36"/>
      <c r="F135" s="35"/>
      <c r="G135" s="11"/>
      <c r="H135" s="11"/>
    </row>
    <row r="136" spans="1:8" x14ac:dyDescent="0.2">
      <c r="A136" s="35"/>
      <c r="B136" s="39" t="str">
        <f>IF(A136="","",IFERROR(VLOOKUP(A136,Scénáře!$A$4:$B$503,2,FALSE()),"ID nenalezeno"))</f>
        <v/>
      </c>
      <c r="C136" s="37" t="str">
        <f>IF(A136="","",IFERROR(VLOOKUP(A136,Scénáře!$A$4:$C$503,3,FALSE())&amp;"",""))</f>
        <v/>
      </c>
      <c r="D136" s="35"/>
      <c r="E136" s="36"/>
      <c r="F136" s="35"/>
      <c r="G136" s="11"/>
      <c r="H136" s="11"/>
    </row>
    <row r="137" spans="1:8" x14ac:dyDescent="0.2">
      <c r="A137" s="35"/>
      <c r="B137" s="39" t="str">
        <f>IF(A137="","",IFERROR(VLOOKUP(A137,Scénáře!$A$4:$B$503,2,FALSE()),"ID nenalezeno"))</f>
        <v/>
      </c>
      <c r="C137" s="37" t="str">
        <f>IF(A137="","",IFERROR(VLOOKUP(A137,Scénáře!$A$4:$C$503,3,FALSE())&amp;"",""))</f>
        <v/>
      </c>
      <c r="D137" s="35"/>
      <c r="E137" s="36"/>
      <c r="F137" s="35"/>
      <c r="G137" s="11"/>
      <c r="H137" s="11"/>
    </row>
    <row r="138" spans="1:8" x14ac:dyDescent="0.2">
      <c r="A138" s="35"/>
      <c r="B138" s="39" t="str">
        <f>IF(A138="","",IFERROR(VLOOKUP(A138,Scénáře!$A$4:$B$503,2,FALSE()),"ID nenalezeno"))</f>
        <v/>
      </c>
      <c r="C138" s="37" t="str">
        <f>IF(A138="","",IFERROR(VLOOKUP(A138,Scénáře!$A$4:$C$503,3,FALSE())&amp;"",""))</f>
        <v/>
      </c>
      <c r="D138" s="35"/>
      <c r="E138" s="36"/>
      <c r="F138" s="35"/>
      <c r="G138" s="11"/>
      <c r="H138" s="11"/>
    </row>
    <row r="139" spans="1:8" x14ac:dyDescent="0.2">
      <c r="A139" s="35"/>
      <c r="B139" s="39" t="str">
        <f>IF(A139="","",IFERROR(VLOOKUP(A139,Scénáře!$A$4:$B$503,2,FALSE()),"ID nenalezeno"))</f>
        <v/>
      </c>
      <c r="C139" s="37" t="str">
        <f>IF(A139="","",IFERROR(VLOOKUP(A139,Scénáře!$A$4:$C$503,3,FALSE())&amp;"",""))</f>
        <v/>
      </c>
      <c r="D139" s="35"/>
      <c r="E139" s="36"/>
      <c r="F139" s="35"/>
      <c r="G139" s="11"/>
      <c r="H139" s="11"/>
    </row>
    <row r="140" spans="1:8" x14ac:dyDescent="0.2">
      <c r="A140" s="35"/>
      <c r="B140" s="39" t="str">
        <f>IF(A140="","",IFERROR(VLOOKUP(A140,Scénáře!$A$4:$B$503,2,FALSE()),"ID nenalezeno"))</f>
        <v/>
      </c>
      <c r="C140" s="37" t="str">
        <f>IF(A140="","",IFERROR(VLOOKUP(A140,Scénáře!$A$4:$C$503,3,FALSE())&amp;"",""))</f>
        <v/>
      </c>
      <c r="D140" s="35"/>
      <c r="E140" s="36"/>
      <c r="F140" s="35"/>
      <c r="G140" s="11"/>
      <c r="H140" s="11"/>
    </row>
    <row r="141" spans="1:8" x14ac:dyDescent="0.2">
      <c r="A141" s="35"/>
      <c r="B141" s="39" t="str">
        <f>IF(A141="","",IFERROR(VLOOKUP(A141,Scénáře!$A$4:$B$503,2,FALSE()),"ID nenalezeno"))</f>
        <v/>
      </c>
      <c r="C141" s="37" t="str">
        <f>IF(A141="","",IFERROR(VLOOKUP(A141,Scénáře!$A$4:$C$503,3,FALSE())&amp;"",""))</f>
        <v/>
      </c>
      <c r="D141" s="35"/>
      <c r="E141" s="36"/>
      <c r="F141" s="35"/>
      <c r="G141" s="11"/>
      <c r="H141" s="11"/>
    </row>
    <row r="142" spans="1:8" x14ac:dyDescent="0.2">
      <c r="A142" s="35"/>
      <c r="B142" s="39" t="str">
        <f>IF(A142="","",IFERROR(VLOOKUP(A142,Scénáře!$A$4:$B$503,2,FALSE()),"ID nenalezeno"))</f>
        <v/>
      </c>
      <c r="C142" s="37" t="str">
        <f>IF(A142="","",IFERROR(VLOOKUP(A142,Scénáře!$A$4:$C$503,3,FALSE())&amp;"",""))</f>
        <v/>
      </c>
      <c r="D142" s="35"/>
      <c r="E142" s="36"/>
      <c r="F142" s="35"/>
      <c r="G142" s="11"/>
      <c r="H142" s="11"/>
    </row>
    <row r="143" spans="1:8" x14ac:dyDescent="0.2">
      <c r="A143" s="35"/>
      <c r="B143" s="39" t="str">
        <f>IF(A143="","",IFERROR(VLOOKUP(A143,Scénáře!$A$4:$B$503,2,FALSE()),"ID nenalezeno"))</f>
        <v/>
      </c>
      <c r="C143" s="37" t="str">
        <f>IF(A143="","",IFERROR(VLOOKUP(A143,Scénáře!$A$4:$C$503,3,FALSE())&amp;"",""))</f>
        <v/>
      </c>
      <c r="D143" s="35"/>
      <c r="E143" s="36"/>
      <c r="F143" s="35"/>
      <c r="G143" s="11"/>
      <c r="H143" s="11"/>
    </row>
    <row r="144" spans="1:8" x14ac:dyDescent="0.2">
      <c r="A144" s="35"/>
      <c r="B144" s="39" t="str">
        <f>IF(A144="","",IFERROR(VLOOKUP(A144,Scénáře!$A$4:$B$503,2,FALSE()),"ID nenalezeno"))</f>
        <v/>
      </c>
      <c r="C144" s="37" t="str">
        <f>IF(A144="","",IFERROR(VLOOKUP(A144,Scénáře!$A$4:$C$503,3,FALSE())&amp;"",""))</f>
        <v/>
      </c>
      <c r="D144" s="35"/>
      <c r="E144" s="36"/>
      <c r="F144" s="35"/>
      <c r="G144" s="11"/>
      <c r="H144" s="11"/>
    </row>
    <row r="145" spans="1:8" x14ac:dyDescent="0.2">
      <c r="A145" s="35"/>
      <c r="B145" s="39" t="str">
        <f>IF(A145="","",IFERROR(VLOOKUP(A145,Scénáře!$A$4:$B$503,2,FALSE()),"ID nenalezeno"))</f>
        <v/>
      </c>
      <c r="C145" s="37" t="str">
        <f>IF(A145="","",IFERROR(VLOOKUP(A145,Scénáře!$A$4:$C$503,3,FALSE())&amp;"",""))</f>
        <v/>
      </c>
      <c r="D145" s="35"/>
      <c r="E145" s="36"/>
      <c r="F145" s="35"/>
      <c r="G145" s="11"/>
      <c r="H145" s="11"/>
    </row>
    <row r="146" spans="1:8" x14ac:dyDescent="0.2">
      <c r="A146" s="35"/>
      <c r="B146" s="39" t="str">
        <f>IF(A146="","",IFERROR(VLOOKUP(A146,Scénáře!$A$4:$B$503,2,FALSE()),"ID nenalezeno"))</f>
        <v/>
      </c>
      <c r="C146" s="37" t="str">
        <f>IF(A146="","",IFERROR(VLOOKUP(A146,Scénáře!$A$4:$C$503,3,FALSE())&amp;"",""))</f>
        <v/>
      </c>
      <c r="D146" s="35"/>
      <c r="E146" s="36"/>
      <c r="F146" s="35"/>
      <c r="G146" s="11"/>
      <c r="H146" s="11"/>
    </row>
    <row r="147" spans="1:8" x14ac:dyDescent="0.2">
      <c r="A147" s="35"/>
      <c r="B147" s="39" t="str">
        <f>IF(A147="","",IFERROR(VLOOKUP(A147,Scénáře!$A$4:$B$503,2,FALSE()),"ID nenalezeno"))</f>
        <v/>
      </c>
      <c r="C147" s="37" t="str">
        <f>IF(A147="","",IFERROR(VLOOKUP(A147,Scénáře!$A$4:$C$503,3,FALSE())&amp;"",""))</f>
        <v/>
      </c>
      <c r="D147" s="35"/>
      <c r="E147" s="36"/>
      <c r="F147" s="35"/>
      <c r="G147" s="11"/>
      <c r="H147" s="11"/>
    </row>
    <row r="148" spans="1:8" x14ac:dyDescent="0.2">
      <c r="A148" s="35"/>
      <c r="B148" s="39" t="str">
        <f>IF(A148="","",IFERROR(VLOOKUP(A148,Scénáře!$A$4:$B$503,2,FALSE()),"ID nenalezeno"))</f>
        <v/>
      </c>
      <c r="C148" s="37" t="str">
        <f>IF(A148="","",IFERROR(VLOOKUP(A148,Scénáře!$A$4:$C$503,3,FALSE())&amp;"",""))</f>
        <v/>
      </c>
      <c r="D148" s="35"/>
      <c r="E148" s="36"/>
      <c r="F148" s="35"/>
      <c r="G148" s="11"/>
      <c r="H148" s="11"/>
    </row>
    <row r="149" spans="1:8" x14ac:dyDescent="0.2">
      <c r="A149" s="35"/>
      <c r="B149" s="39" t="str">
        <f>IF(A149="","",IFERROR(VLOOKUP(A149,Scénáře!$A$4:$B$503,2,FALSE()),"ID nenalezeno"))</f>
        <v/>
      </c>
      <c r="C149" s="37" t="str">
        <f>IF(A149="","",IFERROR(VLOOKUP(A149,Scénáře!$A$4:$C$503,3,FALSE())&amp;"",""))</f>
        <v/>
      </c>
      <c r="D149" s="35"/>
      <c r="E149" s="36"/>
      <c r="F149" s="35"/>
      <c r="G149" s="11"/>
      <c r="H149" s="11"/>
    </row>
    <row r="150" spans="1:8" x14ac:dyDescent="0.2">
      <c r="A150" s="35"/>
      <c r="B150" s="39" t="str">
        <f>IF(A150="","",IFERROR(VLOOKUP(A150,Scénáře!$A$4:$B$503,2,FALSE()),"ID nenalezeno"))</f>
        <v/>
      </c>
      <c r="C150" s="37" t="str">
        <f>IF(A150="","",IFERROR(VLOOKUP(A150,Scénáře!$A$4:$C$503,3,FALSE())&amp;"",""))</f>
        <v/>
      </c>
      <c r="D150" s="35"/>
      <c r="E150" s="36"/>
      <c r="F150" s="35"/>
      <c r="G150" s="11"/>
      <c r="H150" s="11"/>
    </row>
    <row r="151" spans="1:8" x14ac:dyDescent="0.2">
      <c r="A151" s="35"/>
      <c r="B151" s="39" t="str">
        <f>IF(A151="","",IFERROR(VLOOKUP(A151,Scénáře!$A$4:$B$503,2,FALSE()),"ID nenalezeno"))</f>
        <v/>
      </c>
      <c r="C151" s="37" t="str">
        <f>IF(A151="","",IFERROR(VLOOKUP(A151,Scénáře!$A$4:$C$503,3,FALSE())&amp;"",""))</f>
        <v/>
      </c>
      <c r="D151" s="35"/>
      <c r="E151" s="36"/>
      <c r="F151" s="35"/>
      <c r="G151" s="11"/>
      <c r="H151" s="11"/>
    </row>
    <row r="152" spans="1:8" x14ac:dyDescent="0.2">
      <c r="A152" s="35"/>
      <c r="B152" s="39" t="str">
        <f>IF(A152="","",IFERROR(VLOOKUP(A152,Scénáře!$A$4:$B$503,2,FALSE()),"ID nenalezeno"))</f>
        <v/>
      </c>
      <c r="C152" s="37" t="str">
        <f>IF(A152="","",IFERROR(VLOOKUP(A152,Scénáře!$A$4:$C$503,3,FALSE())&amp;"",""))</f>
        <v/>
      </c>
      <c r="D152" s="35"/>
      <c r="E152" s="36"/>
      <c r="F152" s="35"/>
      <c r="G152" s="11"/>
      <c r="H152" s="11"/>
    </row>
    <row r="153" spans="1:8" x14ac:dyDescent="0.2">
      <c r="A153" s="35"/>
      <c r="B153" s="39" t="str">
        <f>IF(A153="","",IFERROR(VLOOKUP(A153,Scénáře!$A$4:$B$503,2,FALSE()),"ID nenalezeno"))</f>
        <v/>
      </c>
      <c r="C153" s="37" t="str">
        <f>IF(A153="","",IFERROR(VLOOKUP(A153,Scénáře!$A$4:$C$503,3,FALSE())&amp;"",""))</f>
        <v/>
      </c>
      <c r="D153" s="35"/>
      <c r="E153" s="36"/>
      <c r="F153" s="35"/>
      <c r="G153" s="11"/>
      <c r="H153" s="11"/>
    </row>
    <row r="154" spans="1:8" x14ac:dyDescent="0.2">
      <c r="A154" s="35"/>
      <c r="B154" s="39" t="str">
        <f>IF(A154="","",IFERROR(VLOOKUP(A154,Scénáře!$A$4:$B$503,2,FALSE()),"ID nenalezeno"))</f>
        <v/>
      </c>
      <c r="C154" s="37" t="str">
        <f>IF(A154="","",IFERROR(VLOOKUP(A154,Scénáře!$A$4:$C$503,3,FALSE())&amp;"",""))</f>
        <v/>
      </c>
      <c r="D154" s="35"/>
      <c r="E154" s="36"/>
      <c r="F154" s="35"/>
      <c r="G154" s="11"/>
      <c r="H154" s="11"/>
    </row>
    <row r="155" spans="1:8" x14ac:dyDescent="0.2">
      <c r="A155" s="35"/>
      <c r="B155" s="39" t="str">
        <f>IF(A155="","",IFERROR(VLOOKUP(A155,Scénáře!$A$4:$B$503,2,FALSE()),"ID nenalezeno"))</f>
        <v/>
      </c>
      <c r="C155" s="37" t="str">
        <f>IF(A155="","",IFERROR(VLOOKUP(A155,Scénáře!$A$4:$C$503,3,FALSE())&amp;"",""))</f>
        <v/>
      </c>
      <c r="D155" s="35"/>
      <c r="E155" s="36"/>
      <c r="F155" s="35"/>
      <c r="G155" s="11"/>
      <c r="H155" s="11"/>
    </row>
    <row r="156" spans="1:8" x14ac:dyDescent="0.2">
      <c r="A156" s="35"/>
      <c r="B156" s="39" t="str">
        <f>IF(A156="","",IFERROR(VLOOKUP(A156,Scénáře!$A$4:$B$503,2,FALSE()),"ID nenalezeno"))</f>
        <v/>
      </c>
      <c r="C156" s="37" t="str">
        <f>IF(A156="","",IFERROR(VLOOKUP(A156,Scénáře!$A$4:$C$503,3,FALSE())&amp;"",""))</f>
        <v/>
      </c>
      <c r="D156" s="35"/>
      <c r="E156" s="36"/>
      <c r="F156" s="35"/>
      <c r="G156" s="11"/>
      <c r="H156" s="11"/>
    </row>
    <row r="157" spans="1:8" x14ac:dyDescent="0.2">
      <c r="A157" s="35"/>
      <c r="B157" s="39" t="str">
        <f>IF(A157="","",IFERROR(VLOOKUP(A157,Scénáře!$A$4:$B$503,2,FALSE()),"ID nenalezeno"))</f>
        <v/>
      </c>
      <c r="C157" s="37" t="str">
        <f>IF(A157="","",IFERROR(VLOOKUP(A157,Scénáře!$A$4:$C$503,3,FALSE())&amp;"",""))</f>
        <v/>
      </c>
      <c r="D157" s="35"/>
      <c r="E157" s="36"/>
      <c r="F157" s="35"/>
      <c r="G157" s="11"/>
      <c r="H157" s="11"/>
    </row>
    <row r="158" spans="1:8" x14ac:dyDescent="0.2">
      <c r="A158" s="35"/>
      <c r="B158" s="39" t="str">
        <f>IF(A158="","",IFERROR(VLOOKUP(A158,Scénáře!$A$4:$B$503,2,FALSE()),"ID nenalezeno"))</f>
        <v/>
      </c>
      <c r="C158" s="37" t="str">
        <f>IF(A158="","",IFERROR(VLOOKUP(A158,Scénáře!$A$4:$C$503,3,FALSE())&amp;"",""))</f>
        <v/>
      </c>
      <c r="D158" s="35"/>
      <c r="E158" s="36"/>
      <c r="F158" s="35"/>
      <c r="G158" s="11"/>
      <c r="H158" s="11"/>
    </row>
    <row r="159" spans="1:8" x14ac:dyDescent="0.2">
      <c r="A159" s="35"/>
      <c r="B159" s="39" t="str">
        <f>IF(A159="","",IFERROR(VLOOKUP(A159,Scénáře!$A$4:$B$503,2,FALSE()),"ID nenalezeno"))</f>
        <v/>
      </c>
      <c r="C159" s="37" t="str">
        <f>IF(A159="","",IFERROR(VLOOKUP(A159,Scénáře!$A$4:$C$503,3,FALSE())&amp;"",""))</f>
        <v/>
      </c>
      <c r="D159" s="35"/>
      <c r="E159" s="36"/>
      <c r="F159" s="35"/>
      <c r="G159" s="11"/>
      <c r="H159" s="11"/>
    </row>
    <row r="160" spans="1:8" x14ac:dyDescent="0.2">
      <c r="A160" s="35"/>
      <c r="B160" s="39" t="str">
        <f>IF(A160="","",IFERROR(VLOOKUP(A160,Scénáře!$A$4:$B$503,2,FALSE()),"ID nenalezeno"))</f>
        <v/>
      </c>
      <c r="C160" s="37" t="str">
        <f>IF(A160="","",IFERROR(VLOOKUP(A160,Scénáře!$A$4:$C$503,3,FALSE())&amp;"",""))</f>
        <v/>
      </c>
      <c r="D160" s="35"/>
      <c r="E160" s="36"/>
      <c r="F160" s="35"/>
      <c r="G160" s="11"/>
      <c r="H160" s="11"/>
    </row>
    <row r="161" spans="1:8" x14ac:dyDescent="0.2">
      <c r="A161" s="35"/>
      <c r="B161" s="39" t="str">
        <f>IF(A161="","",IFERROR(VLOOKUP(A161,Scénáře!$A$4:$B$503,2,FALSE()),"ID nenalezeno"))</f>
        <v/>
      </c>
      <c r="C161" s="37" t="str">
        <f>IF(A161="","",IFERROR(VLOOKUP(A161,Scénáře!$A$4:$C$503,3,FALSE())&amp;"",""))</f>
        <v/>
      </c>
      <c r="D161" s="35"/>
      <c r="E161" s="36"/>
      <c r="F161" s="35"/>
      <c r="G161" s="11"/>
      <c r="H161" s="11"/>
    </row>
    <row r="162" spans="1:8" x14ac:dyDescent="0.2">
      <c r="A162" s="35"/>
      <c r="B162" s="39" t="str">
        <f>IF(A162="","",IFERROR(VLOOKUP(A162,Scénáře!$A$4:$B$503,2,FALSE()),"ID nenalezeno"))</f>
        <v/>
      </c>
      <c r="C162" s="37" t="str">
        <f>IF(A162="","",IFERROR(VLOOKUP(A162,Scénáře!$A$4:$C$503,3,FALSE())&amp;"",""))</f>
        <v/>
      </c>
      <c r="D162" s="35"/>
      <c r="E162" s="36"/>
      <c r="F162" s="35"/>
      <c r="G162" s="11"/>
      <c r="H162" s="11"/>
    </row>
    <row r="163" spans="1:8" x14ac:dyDescent="0.2">
      <c r="A163" s="35"/>
      <c r="B163" s="39" t="str">
        <f>IF(A163="","",IFERROR(VLOOKUP(A163,Scénáře!$A$4:$B$503,2,FALSE()),"ID nenalezeno"))</f>
        <v/>
      </c>
      <c r="C163" s="37" t="str">
        <f>IF(A163="","",IFERROR(VLOOKUP(A163,Scénáře!$A$4:$C$503,3,FALSE())&amp;"",""))</f>
        <v/>
      </c>
      <c r="D163" s="35"/>
      <c r="E163" s="36"/>
      <c r="F163" s="35"/>
      <c r="G163" s="11"/>
      <c r="H163" s="11"/>
    </row>
    <row r="164" spans="1:8" x14ac:dyDescent="0.2">
      <c r="A164" s="35"/>
      <c r="B164" s="39" t="str">
        <f>IF(A164="","",IFERROR(VLOOKUP(A164,Scénáře!$A$4:$B$503,2,FALSE()),"ID nenalezeno"))</f>
        <v/>
      </c>
      <c r="C164" s="37" t="str">
        <f>IF(A164="","",IFERROR(VLOOKUP(A164,Scénáře!$A$4:$C$503,3,FALSE())&amp;"",""))</f>
        <v/>
      </c>
      <c r="D164" s="35"/>
      <c r="E164" s="36"/>
      <c r="F164" s="35"/>
      <c r="G164" s="11"/>
      <c r="H164" s="11"/>
    </row>
    <row r="165" spans="1:8" x14ac:dyDescent="0.2">
      <c r="A165" s="35"/>
      <c r="B165" s="39" t="str">
        <f>IF(A165="","",IFERROR(VLOOKUP(A165,Scénáře!$A$4:$B$503,2,FALSE()),"ID nenalezeno"))</f>
        <v/>
      </c>
      <c r="C165" s="37" t="str">
        <f>IF(A165="","",IFERROR(VLOOKUP(A165,Scénáře!$A$4:$C$503,3,FALSE())&amp;"",""))</f>
        <v/>
      </c>
      <c r="D165" s="35"/>
      <c r="E165" s="36"/>
      <c r="F165" s="35"/>
      <c r="G165" s="11"/>
      <c r="H165" s="11"/>
    </row>
    <row r="166" spans="1:8" x14ac:dyDescent="0.2">
      <c r="A166" s="35"/>
      <c r="B166" s="39" t="str">
        <f>IF(A166="","",IFERROR(VLOOKUP(A166,Scénáře!$A$4:$B$503,2,FALSE()),"ID nenalezeno"))</f>
        <v/>
      </c>
      <c r="C166" s="37" t="str">
        <f>IF(A166="","",IFERROR(VLOOKUP(A166,Scénáře!$A$4:$C$503,3,FALSE())&amp;"",""))</f>
        <v/>
      </c>
      <c r="D166" s="35"/>
      <c r="E166" s="36"/>
      <c r="F166" s="35"/>
      <c r="G166" s="11"/>
      <c r="H166" s="11"/>
    </row>
    <row r="167" spans="1:8" x14ac:dyDescent="0.2">
      <c r="A167" s="35"/>
      <c r="B167" s="39" t="str">
        <f>IF(A167="","",IFERROR(VLOOKUP(A167,Scénáře!$A$4:$B$503,2,FALSE()),"ID nenalezeno"))</f>
        <v/>
      </c>
      <c r="C167" s="37" t="str">
        <f>IF(A167="","",IFERROR(VLOOKUP(A167,Scénáře!$A$4:$C$503,3,FALSE())&amp;"",""))</f>
        <v/>
      </c>
      <c r="D167" s="35"/>
      <c r="E167" s="36"/>
      <c r="F167" s="35"/>
      <c r="G167" s="11"/>
      <c r="H167" s="11"/>
    </row>
    <row r="168" spans="1:8" x14ac:dyDescent="0.2">
      <c r="A168" s="35"/>
      <c r="B168" s="39" t="str">
        <f>IF(A168="","",IFERROR(VLOOKUP(A168,Scénáře!$A$4:$B$503,2,FALSE()),"ID nenalezeno"))</f>
        <v/>
      </c>
      <c r="C168" s="37" t="str">
        <f>IF(A168="","",IFERROR(VLOOKUP(A168,Scénáře!$A$4:$C$503,3,FALSE())&amp;"",""))</f>
        <v/>
      </c>
      <c r="D168" s="35"/>
      <c r="E168" s="36"/>
      <c r="F168" s="35"/>
      <c r="G168" s="11"/>
      <c r="H168" s="11"/>
    </row>
    <row r="169" spans="1:8" x14ac:dyDescent="0.2">
      <c r="A169" s="35"/>
      <c r="B169" s="39" t="str">
        <f>IF(A169="","",IFERROR(VLOOKUP(A169,Scénáře!$A$4:$B$503,2,FALSE()),"ID nenalezeno"))</f>
        <v/>
      </c>
      <c r="C169" s="37" t="str">
        <f>IF(A169="","",IFERROR(VLOOKUP(A169,Scénáře!$A$4:$C$503,3,FALSE())&amp;"",""))</f>
        <v/>
      </c>
      <c r="D169" s="35"/>
      <c r="E169" s="36"/>
      <c r="F169" s="35"/>
      <c r="G169" s="11"/>
      <c r="H169" s="11"/>
    </row>
    <row r="170" spans="1:8" x14ac:dyDescent="0.2">
      <c r="A170" s="35"/>
      <c r="B170" s="39" t="str">
        <f>IF(A170="","",IFERROR(VLOOKUP(A170,Scénáře!$A$4:$B$503,2,FALSE()),"ID nenalezeno"))</f>
        <v/>
      </c>
      <c r="C170" s="37" t="str">
        <f>IF(A170="","",IFERROR(VLOOKUP(A170,Scénáře!$A$4:$C$503,3,FALSE())&amp;"",""))</f>
        <v/>
      </c>
      <c r="D170" s="35"/>
      <c r="E170" s="36"/>
      <c r="F170" s="35"/>
      <c r="G170" s="11"/>
      <c r="H170" s="11"/>
    </row>
    <row r="171" spans="1:8" x14ac:dyDescent="0.2">
      <c r="A171" s="35"/>
      <c r="B171" s="39" t="str">
        <f>IF(A171="","",IFERROR(VLOOKUP(A171,Scénáře!$A$4:$B$503,2,FALSE()),"ID nenalezeno"))</f>
        <v/>
      </c>
      <c r="C171" s="37" t="str">
        <f>IF(A171="","",IFERROR(VLOOKUP(A171,Scénáře!$A$4:$C$503,3,FALSE())&amp;"",""))</f>
        <v/>
      </c>
      <c r="D171" s="35"/>
      <c r="E171" s="36"/>
      <c r="F171" s="35"/>
      <c r="G171" s="11"/>
      <c r="H171" s="11"/>
    </row>
    <row r="172" spans="1:8" x14ac:dyDescent="0.2">
      <c r="A172" s="35"/>
      <c r="B172" s="39" t="str">
        <f>IF(A172="","",IFERROR(VLOOKUP(A172,Scénáře!$A$4:$B$503,2,FALSE()),"ID nenalezeno"))</f>
        <v/>
      </c>
      <c r="C172" s="37" t="str">
        <f>IF(A172="","",IFERROR(VLOOKUP(A172,Scénáře!$A$4:$C$503,3,FALSE())&amp;"",""))</f>
        <v/>
      </c>
      <c r="D172" s="35"/>
      <c r="E172" s="36"/>
      <c r="F172" s="35"/>
      <c r="G172" s="11"/>
      <c r="H172" s="11"/>
    </row>
    <row r="173" spans="1:8" x14ac:dyDescent="0.2">
      <c r="A173" s="35"/>
      <c r="B173" s="39" t="str">
        <f>IF(A173="","",IFERROR(VLOOKUP(A173,Scénáře!$A$4:$B$503,2,FALSE()),"ID nenalezeno"))</f>
        <v/>
      </c>
      <c r="C173" s="37" t="str">
        <f>IF(A173="","",IFERROR(VLOOKUP(A173,Scénáře!$A$4:$C$503,3,FALSE())&amp;"",""))</f>
        <v/>
      </c>
      <c r="D173" s="35"/>
      <c r="E173" s="36"/>
      <c r="F173" s="35"/>
      <c r="G173" s="11"/>
      <c r="H173" s="11"/>
    </row>
    <row r="174" spans="1:8" x14ac:dyDescent="0.2">
      <c r="A174" s="35"/>
      <c r="B174" s="39" t="str">
        <f>IF(A174="","",IFERROR(VLOOKUP(A174,Scénáře!$A$4:$B$503,2,FALSE()),"ID nenalezeno"))</f>
        <v/>
      </c>
      <c r="C174" s="37" t="str">
        <f>IF(A174="","",IFERROR(VLOOKUP(A174,Scénáře!$A$4:$C$503,3,FALSE())&amp;"",""))</f>
        <v/>
      </c>
      <c r="D174" s="35"/>
      <c r="E174" s="36"/>
      <c r="F174" s="35"/>
      <c r="G174" s="11"/>
      <c r="H174" s="11"/>
    </row>
    <row r="175" spans="1:8" x14ac:dyDescent="0.2">
      <c r="A175" s="35"/>
      <c r="B175" s="39" t="str">
        <f>IF(A175="","",IFERROR(VLOOKUP(A175,Scénáře!$A$4:$B$503,2,FALSE()),"ID nenalezeno"))</f>
        <v/>
      </c>
      <c r="C175" s="37" t="str">
        <f>IF(A175="","",IFERROR(VLOOKUP(A175,Scénáře!$A$4:$C$503,3,FALSE())&amp;"",""))</f>
        <v/>
      </c>
      <c r="D175" s="35"/>
      <c r="E175" s="36"/>
      <c r="F175" s="35"/>
      <c r="G175" s="11"/>
      <c r="H175" s="11"/>
    </row>
    <row r="176" spans="1:8" x14ac:dyDescent="0.2">
      <c r="A176" s="35"/>
      <c r="B176" s="39" t="str">
        <f>IF(A176="","",IFERROR(VLOOKUP(A176,Scénáře!$A$4:$B$503,2,FALSE()),"ID nenalezeno"))</f>
        <v/>
      </c>
      <c r="C176" s="37" t="str">
        <f>IF(A176="","",IFERROR(VLOOKUP(A176,Scénáře!$A$4:$C$503,3,FALSE())&amp;"",""))</f>
        <v/>
      </c>
      <c r="D176" s="35"/>
      <c r="E176" s="36"/>
      <c r="F176" s="35"/>
      <c r="G176" s="11"/>
      <c r="H176" s="11"/>
    </row>
    <row r="177" spans="1:8" x14ac:dyDescent="0.2">
      <c r="A177" s="35"/>
      <c r="B177" s="39" t="str">
        <f>IF(A177="","",IFERROR(VLOOKUP(A177,Scénáře!$A$4:$B$503,2,FALSE()),"ID nenalezeno"))</f>
        <v/>
      </c>
      <c r="C177" s="37" t="str">
        <f>IF(A177="","",IFERROR(VLOOKUP(A177,Scénáře!$A$4:$C$503,3,FALSE())&amp;"",""))</f>
        <v/>
      </c>
      <c r="D177" s="35"/>
      <c r="E177" s="36"/>
      <c r="F177" s="35"/>
      <c r="G177" s="11"/>
      <c r="H177" s="11"/>
    </row>
    <row r="178" spans="1:8" x14ac:dyDescent="0.2">
      <c r="A178" s="35"/>
      <c r="B178" s="39" t="str">
        <f>IF(A178="","",IFERROR(VLOOKUP(A178,Scénáře!$A$4:$B$503,2,FALSE()),"ID nenalezeno"))</f>
        <v/>
      </c>
      <c r="C178" s="37" t="str">
        <f>IF(A178="","",IFERROR(VLOOKUP(A178,Scénáře!$A$4:$C$503,3,FALSE())&amp;"",""))</f>
        <v/>
      </c>
      <c r="D178" s="35"/>
      <c r="E178" s="36"/>
      <c r="F178" s="35"/>
      <c r="G178" s="11"/>
      <c r="H178" s="11"/>
    </row>
    <row r="179" spans="1:8" x14ac:dyDescent="0.2">
      <c r="A179" s="35"/>
      <c r="B179" s="39" t="str">
        <f>IF(A179="","",IFERROR(VLOOKUP(A179,Scénáře!$A$4:$B$503,2,FALSE()),"ID nenalezeno"))</f>
        <v/>
      </c>
      <c r="C179" s="37" t="str">
        <f>IF(A179="","",IFERROR(VLOOKUP(A179,Scénáře!$A$4:$C$503,3,FALSE())&amp;"",""))</f>
        <v/>
      </c>
      <c r="D179" s="35"/>
      <c r="E179" s="36"/>
      <c r="F179" s="35"/>
      <c r="G179" s="11"/>
      <c r="H179" s="11"/>
    </row>
    <row r="180" spans="1:8" x14ac:dyDescent="0.2">
      <c r="A180" s="35"/>
      <c r="B180" s="39" t="str">
        <f>IF(A180="","",IFERROR(VLOOKUP(A180,Scénáře!$A$4:$B$503,2,FALSE()),"ID nenalezeno"))</f>
        <v/>
      </c>
      <c r="C180" s="37" t="str">
        <f>IF(A180="","",IFERROR(VLOOKUP(A180,Scénáře!$A$4:$C$503,3,FALSE())&amp;"",""))</f>
        <v/>
      </c>
      <c r="D180" s="35"/>
      <c r="E180" s="36"/>
      <c r="F180" s="35"/>
      <c r="G180" s="11"/>
      <c r="H180" s="11"/>
    </row>
    <row r="181" spans="1:8" x14ac:dyDescent="0.2">
      <c r="A181" s="35"/>
      <c r="B181" s="39" t="str">
        <f>IF(A181="","",IFERROR(VLOOKUP(A181,Scénáře!$A$4:$B$503,2,FALSE()),"ID nenalezeno"))</f>
        <v/>
      </c>
      <c r="C181" s="37" t="str">
        <f>IF(A181="","",IFERROR(VLOOKUP(A181,Scénáře!$A$4:$C$503,3,FALSE())&amp;"",""))</f>
        <v/>
      </c>
      <c r="D181" s="35"/>
      <c r="E181" s="36"/>
      <c r="F181" s="35"/>
      <c r="G181" s="11"/>
      <c r="H181" s="11"/>
    </row>
    <row r="182" spans="1:8" x14ac:dyDescent="0.2">
      <c r="A182" s="35"/>
      <c r="B182" s="39" t="str">
        <f>IF(A182="","",IFERROR(VLOOKUP(A182,Scénáře!$A$4:$B$503,2,FALSE()),"ID nenalezeno"))</f>
        <v/>
      </c>
      <c r="C182" s="37" t="str">
        <f>IF(A182="","",IFERROR(VLOOKUP(A182,Scénáře!$A$4:$C$503,3,FALSE())&amp;"",""))</f>
        <v/>
      </c>
      <c r="D182" s="35"/>
      <c r="E182" s="36"/>
      <c r="F182" s="35"/>
      <c r="G182" s="11"/>
      <c r="H182" s="11"/>
    </row>
    <row r="183" spans="1:8" x14ac:dyDescent="0.2">
      <c r="A183" s="35"/>
      <c r="B183" s="39" t="str">
        <f>IF(A183="","",IFERROR(VLOOKUP(A183,Scénáře!$A$4:$B$503,2,FALSE()),"ID nenalezeno"))</f>
        <v/>
      </c>
      <c r="C183" s="37" t="str">
        <f>IF(A183="","",IFERROR(VLOOKUP(A183,Scénáře!$A$4:$C$503,3,FALSE())&amp;"",""))</f>
        <v/>
      </c>
      <c r="D183" s="35"/>
      <c r="E183" s="36"/>
      <c r="F183" s="35"/>
      <c r="G183" s="11"/>
      <c r="H183" s="11"/>
    </row>
    <row r="184" spans="1:8" x14ac:dyDescent="0.2">
      <c r="A184" s="35"/>
      <c r="B184" s="39" t="str">
        <f>IF(A184="","",IFERROR(VLOOKUP(A184,Scénáře!$A$4:$B$503,2,FALSE()),"ID nenalezeno"))</f>
        <v/>
      </c>
      <c r="C184" s="37" t="str">
        <f>IF(A184="","",IFERROR(VLOOKUP(A184,Scénáře!$A$4:$C$503,3,FALSE())&amp;"",""))</f>
        <v/>
      </c>
      <c r="D184" s="35"/>
      <c r="E184" s="36"/>
      <c r="F184" s="35"/>
      <c r="G184" s="11"/>
      <c r="H184" s="11"/>
    </row>
    <row r="185" spans="1:8" x14ac:dyDescent="0.2">
      <c r="A185" s="35"/>
      <c r="B185" s="39" t="str">
        <f>IF(A185="","",IFERROR(VLOOKUP(A185,Scénáře!$A$4:$B$503,2,FALSE()),"ID nenalezeno"))</f>
        <v/>
      </c>
      <c r="C185" s="37" t="str">
        <f>IF(A185="","",IFERROR(VLOOKUP(A185,Scénáře!$A$4:$C$503,3,FALSE())&amp;"",""))</f>
        <v/>
      </c>
      <c r="D185" s="35"/>
      <c r="E185" s="36"/>
      <c r="F185" s="35"/>
      <c r="G185" s="11"/>
      <c r="H185" s="11"/>
    </row>
    <row r="186" spans="1:8" x14ac:dyDescent="0.2">
      <c r="A186" s="35"/>
      <c r="B186" s="39" t="str">
        <f>IF(A186="","",IFERROR(VLOOKUP(A186,Scénáře!$A$4:$B$503,2,FALSE()),"ID nenalezeno"))</f>
        <v/>
      </c>
      <c r="C186" s="37" t="str">
        <f>IF(A186="","",IFERROR(VLOOKUP(A186,Scénáře!$A$4:$C$503,3,FALSE())&amp;"",""))</f>
        <v/>
      </c>
      <c r="D186" s="35"/>
      <c r="E186" s="36"/>
      <c r="F186" s="35"/>
      <c r="G186" s="11"/>
      <c r="H186" s="11"/>
    </row>
    <row r="187" spans="1:8" x14ac:dyDescent="0.2">
      <c r="A187" s="35"/>
      <c r="B187" s="39" t="str">
        <f>IF(A187="","",IFERROR(VLOOKUP(A187,Scénáře!$A$4:$B$503,2,FALSE()),"ID nenalezeno"))</f>
        <v/>
      </c>
      <c r="C187" s="37" t="str">
        <f>IF(A187="","",IFERROR(VLOOKUP(A187,Scénáře!$A$4:$C$503,3,FALSE())&amp;"",""))</f>
        <v/>
      </c>
      <c r="D187" s="35"/>
      <c r="E187" s="36"/>
      <c r="F187" s="35"/>
      <c r="G187" s="11"/>
      <c r="H187" s="11"/>
    </row>
    <row r="188" spans="1:8" x14ac:dyDescent="0.2">
      <c r="A188" s="35"/>
      <c r="B188" s="39" t="str">
        <f>IF(A188="","",IFERROR(VLOOKUP(A188,Scénáře!$A$4:$B$503,2,FALSE()),"ID nenalezeno"))</f>
        <v/>
      </c>
      <c r="C188" s="37" t="str">
        <f>IF(A188="","",IFERROR(VLOOKUP(A188,Scénáře!$A$4:$C$503,3,FALSE())&amp;"",""))</f>
        <v/>
      </c>
      <c r="D188" s="35"/>
      <c r="E188" s="36"/>
      <c r="F188" s="35"/>
      <c r="G188" s="11"/>
      <c r="H188" s="11"/>
    </row>
    <row r="189" spans="1:8" x14ac:dyDescent="0.2">
      <c r="A189" s="35"/>
      <c r="B189" s="39" t="str">
        <f>IF(A189="","",IFERROR(VLOOKUP(A189,Scénáře!$A$4:$B$503,2,FALSE()),"ID nenalezeno"))</f>
        <v/>
      </c>
      <c r="C189" s="37" t="str">
        <f>IF(A189="","",IFERROR(VLOOKUP(A189,Scénáře!$A$4:$C$503,3,FALSE())&amp;"",""))</f>
        <v/>
      </c>
      <c r="D189" s="35"/>
      <c r="E189" s="36"/>
      <c r="F189" s="35"/>
      <c r="G189" s="11"/>
      <c r="H189" s="11"/>
    </row>
    <row r="190" spans="1:8" x14ac:dyDescent="0.2">
      <c r="A190" s="35"/>
      <c r="B190" s="39" t="str">
        <f>IF(A190="","",IFERROR(VLOOKUP(A190,Scénáře!$A$4:$B$503,2,FALSE()),"ID nenalezeno"))</f>
        <v/>
      </c>
      <c r="C190" s="37" t="str">
        <f>IF(A190="","",IFERROR(VLOOKUP(A190,Scénáře!$A$4:$C$503,3,FALSE())&amp;"",""))</f>
        <v/>
      </c>
      <c r="D190" s="35"/>
      <c r="E190" s="36"/>
      <c r="F190" s="35"/>
      <c r="G190" s="11"/>
      <c r="H190" s="11"/>
    </row>
    <row r="191" spans="1:8" x14ac:dyDescent="0.2">
      <c r="A191" s="35"/>
      <c r="B191" s="39" t="str">
        <f>IF(A191="","",IFERROR(VLOOKUP(A191,Scénáře!$A$4:$B$503,2,FALSE()),"ID nenalezeno"))</f>
        <v/>
      </c>
      <c r="C191" s="37" t="str">
        <f>IF(A191="","",IFERROR(VLOOKUP(A191,Scénáře!$A$4:$C$503,3,FALSE())&amp;"",""))</f>
        <v/>
      </c>
      <c r="D191" s="35"/>
      <c r="E191" s="36"/>
      <c r="F191" s="35"/>
      <c r="G191" s="11"/>
      <c r="H191" s="11"/>
    </row>
    <row r="192" spans="1:8" x14ac:dyDescent="0.2">
      <c r="A192" s="35"/>
      <c r="B192" s="39" t="str">
        <f>IF(A192="","",IFERROR(VLOOKUP(A192,Scénáře!$A$4:$B$503,2,FALSE()),"ID nenalezeno"))</f>
        <v/>
      </c>
      <c r="C192" s="37" t="str">
        <f>IF(A192="","",IFERROR(VLOOKUP(A192,Scénáře!$A$4:$C$503,3,FALSE())&amp;"",""))</f>
        <v/>
      </c>
      <c r="D192" s="35"/>
      <c r="E192" s="36"/>
      <c r="F192" s="35"/>
      <c r="G192" s="11"/>
      <c r="H192" s="11"/>
    </row>
    <row r="193" spans="1:8" x14ac:dyDescent="0.2">
      <c r="A193" s="35"/>
      <c r="B193" s="39" t="str">
        <f>IF(A193="","",IFERROR(VLOOKUP(A193,Scénáře!$A$4:$B$503,2,FALSE()),"ID nenalezeno"))</f>
        <v/>
      </c>
      <c r="C193" s="37" t="str">
        <f>IF(A193="","",IFERROR(VLOOKUP(A193,Scénáře!$A$4:$C$503,3,FALSE())&amp;"",""))</f>
        <v/>
      </c>
      <c r="D193" s="35"/>
      <c r="E193" s="36"/>
      <c r="F193" s="35"/>
      <c r="G193" s="11"/>
      <c r="H193" s="11"/>
    </row>
    <row r="194" spans="1:8" x14ac:dyDescent="0.2">
      <c r="A194" s="35"/>
      <c r="B194" s="39" t="str">
        <f>IF(A194="","",IFERROR(VLOOKUP(A194,Scénáře!$A$4:$B$503,2,FALSE()),"ID nenalezeno"))</f>
        <v/>
      </c>
      <c r="C194" s="37" t="str">
        <f>IF(A194="","",IFERROR(VLOOKUP(A194,Scénáře!$A$4:$C$503,3,FALSE())&amp;"",""))</f>
        <v/>
      </c>
      <c r="D194" s="35"/>
      <c r="E194" s="36"/>
      <c r="F194" s="35"/>
      <c r="G194" s="11"/>
      <c r="H194" s="11"/>
    </row>
    <row r="195" spans="1:8" x14ac:dyDescent="0.2">
      <c r="A195" s="35"/>
      <c r="B195" s="39" t="str">
        <f>IF(A195="","",IFERROR(VLOOKUP(A195,Scénáře!$A$4:$B$503,2,FALSE()),"ID nenalezeno"))</f>
        <v/>
      </c>
      <c r="C195" s="37" t="str">
        <f>IF(A195="","",IFERROR(VLOOKUP(A195,Scénáře!$A$4:$C$503,3,FALSE())&amp;"",""))</f>
        <v/>
      </c>
      <c r="D195" s="35"/>
      <c r="E195" s="36"/>
      <c r="F195" s="35"/>
      <c r="G195" s="11"/>
      <c r="H195" s="11"/>
    </row>
    <row r="196" spans="1:8" x14ac:dyDescent="0.2">
      <c r="A196" s="35"/>
      <c r="B196" s="39" t="str">
        <f>IF(A196="","",IFERROR(VLOOKUP(A196,Scénáře!$A$4:$B$503,2,FALSE()),"ID nenalezeno"))</f>
        <v/>
      </c>
      <c r="C196" s="37" t="str">
        <f>IF(A196="","",IFERROR(VLOOKUP(A196,Scénáře!$A$4:$C$503,3,FALSE())&amp;"",""))</f>
        <v/>
      </c>
      <c r="D196" s="35"/>
      <c r="E196" s="36"/>
      <c r="F196" s="35"/>
      <c r="G196" s="11"/>
      <c r="H196" s="11"/>
    </row>
    <row r="197" spans="1:8" x14ac:dyDescent="0.2">
      <c r="A197" s="35"/>
      <c r="B197" s="39" t="str">
        <f>IF(A197="","",IFERROR(VLOOKUP(A197,Scénáře!$A$4:$B$503,2,FALSE()),"ID nenalezeno"))</f>
        <v/>
      </c>
      <c r="C197" s="37" t="str">
        <f>IF(A197="","",IFERROR(VLOOKUP(A197,Scénáře!$A$4:$C$503,3,FALSE())&amp;"",""))</f>
        <v/>
      </c>
      <c r="D197" s="35"/>
      <c r="E197" s="36"/>
      <c r="F197" s="35"/>
      <c r="G197" s="11"/>
      <c r="H197" s="11"/>
    </row>
    <row r="198" spans="1:8" x14ac:dyDescent="0.2">
      <c r="A198" s="35"/>
      <c r="B198" s="39" t="str">
        <f>IF(A198="","",IFERROR(VLOOKUP(A198,Scénáře!$A$4:$B$503,2,FALSE()),"ID nenalezeno"))</f>
        <v/>
      </c>
      <c r="C198" s="37" t="str">
        <f>IF(A198="","",IFERROR(VLOOKUP(A198,Scénáře!$A$4:$C$503,3,FALSE())&amp;"",""))</f>
        <v/>
      </c>
      <c r="D198" s="35"/>
      <c r="E198" s="36"/>
      <c r="F198" s="35"/>
      <c r="G198" s="11"/>
      <c r="H198" s="11"/>
    </row>
    <row r="199" spans="1:8" x14ac:dyDescent="0.2">
      <c r="A199" s="35"/>
      <c r="B199" s="39" t="str">
        <f>IF(A199="","",IFERROR(VLOOKUP(A199,Scénáře!$A$4:$B$503,2,FALSE()),"ID nenalezeno"))</f>
        <v/>
      </c>
      <c r="C199" s="37" t="str">
        <f>IF(A199="","",IFERROR(VLOOKUP(A199,Scénáře!$A$4:$C$503,3,FALSE())&amp;"",""))</f>
        <v/>
      </c>
      <c r="D199" s="35"/>
      <c r="E199" s="36"/>
      <c r="F199" s="35"/>
      <c r="G199" s="11"/>
      <c r="H199" s="11"/>
    </row>
    <row r="200" spans="1:8" x14ac:dyDescent="0.2">
      <c r="A200" s="35"/>
      <c r="B200" s="39" t="str">
        <f>IF(A200="","",IFERROR(VLOOKUP(A200,Scénáře!$A$4:$B$503,2,FALSE()),"ID nenalezeno"))</f>
        <v/>
      </c>
      <c r="C200" s="37" t="str">
        <f>IF(A200="","",IFERROR(VLOOKUP(A200,Scénáře!$A$4:$C$503,3,FALSE())&amp;"",""))</f>
        <v/>
      </c>
      <c r="D200" s="35"/>
      <c r="E200" s="36"/>
      <c r="F200" s="35"/>
      <c r="G200" s="11"/>
      <c r="H200" s="11"/>
    </row>
    <row r="201" spans="1:8" x14ac:dyDescent="0.2">
      <c r="A201" s="35"/>
      <c r="B201" s="39" t="str">
        <f>IF(A201="","",IFERROR(VLOOKUP(A201,Scénáře!$A$4:$B$503,2,FALSE()),"ID nenalezeno"))</f>
        <v/>
      </c>
      <c r="C201" s="37" t="str">
        <f>IF(A201="","",IFERROR(VLOOKUP(A201,Scénáře!$A$4:$C$503,3,FALSE())&amp;"",""))</f>
        <v/>
      </c>
      <c r="D201" s="35"/>
      <c r="E201" s="36"/>
      <c r="F201" s="35"/>
      <c r="G201" s="11"/>
      <c r="H201" s="11"/>
    </row>
    <row r="202" spans="1:8" x14ac:dyDescent="0.2">
      <c r="A202" s="35"/>
      <c r="B202" s="39" t="str">
        <f>IF(A202="","",IFERROR(VLOOKUP(A202,Scénáře!$A$4:$B$503,2,FALSE()),"ID nenalezeno"))</f>
        <v/>
      </c>
      <c r="C202" s="37" t="str">
        <f>IF(A202="","",IFERROR(VLOOKUP(A202,Scénáře!$A$4:$C$503,3,FALSE())&amp;"",""))</f>
        <v/>
      </c>
      <c r="D202" s="35"/>
      <c r="E202" s="36"/>
      <c r="F202" s="35"/>
      <c r="G202" s="11"/>
      <c r="H202" s="11"/>
    </row>
    <row r="203" spans="1:8" x14ac:dyDescent="0.2">
      <c r="A203" s="35"/>
      <c r="B203" s="39" t="str">
        <f>IF(A203="","",IFERROR(VLOOKUP(A203,Scénáře!$A$4:$B$503,2,FALSE()),"ID nenalezeno"))</f>
        <v/>
      </c>
      <c r="C203" s="37" t="str">
        <f>IF(A203="","",IFERROR(VLOOKUP(A203,Scénáře!$A$4:$C$503,3,FALSE())&amp;"",""))</f>
        <v/>
      </c>
      <c r="D203" s="35"/>
      <c r="E203" s="36"/>
      <c r="F203" s="35"/>
      <c r="G203" s="11"/>
      <c r="H203" s="11"/>
    </row>
    <row r="204" spans="1:8" x14ac:dyDescent="0.2">
      <c r="A204" s="35"/>
      <c r="B204" s="39" t="str">
        <f>IF(A204="","",IFERROR(VLOOKUP(A204,Scénáře!$A$4:$B$503,2,FALSE()),"ID nenalezeno"))</f>
        <v/>
      </c>
      <c r="C204" s="37" t="str">
        <f>IF(A204="","",IFERROR(VLOOKUP(A204,Scénáře!$A$4:$C$503,3,FALSE())&amp;"",""))</f>
        <v/>
      </c>
      <c r="D204" s="35"/>
      <c r="E204" s="36"/>
      <c r="F204" s="35"/>
      <c r="G204" s="11"/>
      <c r="H204" s="11"/>
    </row>
    <row r="205" spans="1:8" x14ac:dyDescent="0.2">
      <c r="A205" s="35"/>
      <c r="B205" s="39" t="str">
        <f>IF(A205="","",IFERROR(VLOOKUP(A205,Scénáře!$A$4:$B$503,2,FALSE()),"ID nenalezeno"))</f>
        <v/>
      </c>
      <c r="C205" s="37" t="str">
        <f>IF(A205="","",IFERROR(VLOOKUP(A205,Scénáře!$A$4:$C$503,3,FALSE())&amp;"",""))</f>
        <v/>
      </c>
      <c r="D205" s="35"/>
      <c r="E205" s="36"/>
      <c r="F205" s="35"/>
      <c r="G205" s="11"/>
      <c r="H205" s="11"/>
    </row>
    <row r="206" spans="1:8" x14ac:dyDescent="0.2">
      <c r="A206" s="35"/>
      <c r="B206" s="39" t="str">
        <f>IF(A206="","",IFERROR(VLOOKUP(A206,Scénáře!$A$4:$B$503,2,FALSE()),"ID nenalezeno"))</f>
        <v/>
      </c>
      <c r="C206" s="37" t="str">
        <f>IF(A206="","",IFERROR(VLOOKUP(A206,Scénáře!$A$4:$C$503,3,FALSE())&amp;"",""))</f>
        <v/>
      </c>
      <c r="D206" s="35"/>
      <c r="E206" s="36"/>
      <c r="F206" s="35"/>
      <c r="G206" s="11"/>
      <c r="H206" s="11"/>
    </row>
    <row r="207" spans="1:8" x14ac:dyDescent="0.2">
      <c r="A207" s="35"/>
      <c r="B207" s="39" t="str">
        <f>IF(A207="","",IFERROR(VLOOKUP(A207,Scénáře!$A$4:$B$503,2,FALSE()),"ID nenalezeno"))</f>
        <v/>
      </c>
      <c r="C207" s="37" t="str">
        <f>IF(A207="","",IFERROR(VLOOKUP(A207,Scénáře!$A$4:$C$503,3,FALSE())&amp;"",""))</f>
        <v/>
      </c>
      <c r="D207" s="35"/>
      <c r="E207" s="36"/>
      <c r="F207" s="35"/>
      <c r="G207" s="11"/>
      <c r="H207" s="11"/>
    </row>
    <row r="208" spans="1:8" x14ac:dyDescent="0.2">
      <c r="A208" s="35"/>
      <c r="B208" s="39" t="str">
        <f>IF(A208="","",IFERROR(VLOOKUP(A208,Scénáře!$A$4:$B$503,2,FALSE()),"ID nenalezeno"))</f>
        <v/>
      </c>
      <c r="C208" s="37" t="str">
        <f>IF(A208="","",IFERROR(VLOOKUP(A208,Scénáře!$A$4:$C$503,3,FALSE())&amp;"",""))</f>
        <v/>
      </c>
      <c r="D208" s="35"/>
      <c r="E208" s="36"/>
      <c r="F208" s="35"/>
      <c r="G208" s="11"/>
      <c r="H208" s="11"/>
    </row>
    <row r="209" spans="1:8" x14ac:dyDescent="0.2">
      <c r="A209" s="35"/>
      <c r="B209" s="39" t="str">
        <f>IF(A209="","",IFERROR(VLOOKUP(A209,Scénáře!$A$4:$B$503,2,FALSE()),"ID nenalezeno"))</f>
        <v/>
      </c>
      <c r="C209" s="37" t="str">
        <f>IF(A209="","",IFERROR(VLOOKUP(A209,Scénáře!$A$4:$C$503,3,FALSE())&amp;"",""))</f>
        <v/>
      </c>
      <c r="D209" s="35"/>
      <c r="E209" s="36"/>
      <c r="F209" s="35"/>
      <c r="G209" s="11"/>
      <c r="H209" s="11"/>
    </row>
    <row r="210" spans="1:8" x14ac:dyDescent="0.2">
      <c r="A210" s="35"/>
      <c r="B210" s="39" t="str">
        <f>IF(A210="","",IFERROR(VLOOKUP(A210,Scénáře!$A$4:$B$503,2,FALSE()),"ID nenalezeno"))</f>
        <v/>
      </c>
      <c r="C210" s="37" t="str">
        <f>IF(A210="","",IFERROR(VLOOKUP(A210,Scénáře!$A$4:$C$503,3,FALSE())&amp;"",""))</f>
        <v/>
      </c>
      <c r="D210" s="35"/>
      <c r="E210" s="36"/>
      <c r="F210" s="35"/>
      <c r="G210" s="11"/>
      <c r="H210" s="11"/>
    </row>
    <row r="211" spans="1:8" x14ac:dyDescent="0.2">
      <c r="A211" s="35"/>
      <c r="B211" s="39" t="str">
        <f>IF(A211="","",IFERROR(VLOOKUP(A211,Scénáře!$A$4:$B$503,2,FALSE()),"ID nenalezeno"))</f>
        <v/>
      </c>
      <c r="C211" s="37" t="str">
        <f>IF(A211="","",IFERROR(VLOOKUP(A211,Scénáře!$A$4:$C$503,3,FALSE())&amp;"",""))</f>
        <v/>
      </c>
      <c r="D211" s="35"/>
      <c r="E211" s="36"/>
      <c r="F211" s="35"/>
      <c r="G211" s="11"/>
      <c r="H211" s="11"/>
    </row>
    <row r="212" spans="1:8" x14ac:dyDescent="0.2">
      <c r="A212" s="35"/>
      <c r="B212" s="39" t="str">
        <f>IF(A212="","",IFERROR(VLOOKUP(A212,Scénáře!$A$4:$B$503,2,FALSE()),"ID nenalezeno"))</f>
        <v/>
      </c>
      <c r="C212" s="37" t="str">
        <f>IF(A212="","",IFERROR(VLOOKUP(A212,Scénáře!$A$4:$C$503,3,FALSE())&amp;"",""))</f>
        <v/>
      </c>
      <c r="D212" s="35"/>
      <c r="E212" s="36"/>
      <c r="F212" s="35"/>
      <c r="G212" s="11"/>
      <c r="H212" s="11"/>
    </row>
    <row r="213" spans="1:8" x14ac:dyDescent="0.2">
      <c r="A213" s="35"/>
      <c r="B213" s="39" t="str">
        <f>IF(A213="","",IFERROR(VLOOKUP(A213,Scénáře!$A$4:$B$503,2,FALSE()),"ID nenalezeno"))</f>
        <v/>
      </c>
      <c r="C213" s="37" t="str">
        <f>IF(A213="","",IFERROR(VLOOKUP(A213,Scénáře!$A$4:$C$503,3,FALSE())&amp;"",""))</f>
        <v/>
      </c>
      <c r="D213" s="35"/>
      <c r="E213" s="36"/>
      <c r="F213" s="35"/>
      <c r="G213" s="11"/>
      <c r="H213" s="11"/>
    </row>
    <row r="214" spans="1:8" x14ac:dyDescent="0.2">
      <c r="A214" s="35"/>
      <c r="B214" s="39" t="str">
        <f>IF(A214="","",IFERROR(VLOOKUP(A214,Scénáře!$A$4:$B$503,2,FALSE()),"ID nenalezeno"))</f>
        <v/>
      </c>
      <c r="C214" s="37" t="str">
        <f>IF(A214="","",IFERROR(VLOOKUP(A214,Scénáře!$A$4:$C$503,3,FALSE())&amp;"",""))</f>
        <v/>
      </c>
      <c r="D214" s="35"/>
      <c r="E214" s="36"/>
      <c r="F214" s="35"/>
      <c r="G214" s="11"/>
      <c r="H214" s="11"/>
    </row>
    <row r="215" spans="1:8" x14ac:dyDescent="0.2">
      <c r="A215" s="35"/>
      <c r="B215" s="39" t="str">
        <f>IF(A215="","",IFERROR(VLOOKUP(A215,Scénáře!$A$4:$B$503,2,FALSE()),"ID nenalezeno"))</f>
        <v/>
      </c>
      <c r="C215" s="37" t="str">
        <f>IF(A215="","",IFERROR(VLOOKUP(A215,Scénáře!$A$4:$C$503,3,FALSE())&amp;"",""))</f>
        <v/>
      </c>
      <c r="D215" s="35"/>
      <c r="E215" s="36"/>
      <c r="F215" s="35"/>
      <c r="G215" s="11"/>
      <c r="H215" s="11"/>
    </row>
    <row r="216" spans="1:8" x14ac:dyDescent="0.2">
      <c r="A216" s="35"/>
      <c r="B216" s="39" t="str">
        <f>IF(A216="","",IFERROR(VLOOKUP(A216,Scénáře!$A$4:$B$503,2,FALSE()),"ID nenalezeno"))</f>
        <v/>
      </c>
      <c r="C216" s="37" t="str">
        <f>IF(A216="","",IFERROR(VLOOKUP(A216,Scénáře!$A$4:$C$503,3,FALSE())&amp;"",""))</f>
        <v/>
      </c>
      <c r="D216" s="35"/>
      <c r="E216" s="36"/>
      <c r="F216" s="35"/>
      <c r="G216" s="11"/>
      <c r="H216" s="11"/>
    </row>
    <row r="217" spans="1:8" x14ac:dyDescent="0.2">
      <c r="A217" s="35"/>
      <c r="B217" s="39" t="str">
        <f>IF(A217="","",IFERROR(VLOOKUP(A217,Scénáře!$A$4:$B$503,2,FALSE()),"ID nenalezeno"))</f>
        <v/>
      </c>
      <c r="C217" s="37" t="str">
        <f>IF(A217="","",IFERROR(VLOOKUP(A217,Scénáře!$A$4:$C$503,3,FALSE())&amp;"",""))</f>
        <v/>
      </c>
      <c r="D217" s="35"/>
      <c r="E217" s="36"/>
      <c r="F217" s="35"/>
      <c r="G217" s="11"/>
      <c r="H217" s="11"/>
    </row>
    <row r="218" spans="1:8" x14ac:dyDescent="0.2">
      <c r="A218" s="35"/>
      <c r="B218" s="39" t="str">
        <f>IF(A218="","",IFERROR(VLOOKUP(A218,Scénáře!$A$4:$B$503,2,FALSE()),"ID nenalezeno"))</f>
        <v/>
      </c>
      <c r="C218" s="37" t="str">
        <f>IF(A218="","",IFERROR(VLOOKUP(A218,Scénáře!$A$4:$C$503,3,FALSE())&amp;"",""))</f>
        <v/>
      </c>
      <c r="D218" s="35"/>
      <c r="E218" s="36"/>
      <c r="F218" s="35"/>
      <c r="G218" s="11"/>
      <c r="H218" s="11"/>
    </row>
    <row r="219" spans="1:8" x14ac:dyDescent="0.2">
      <c r="A219" s="35"/>
      <c r="B219" s="39" t="str">
        <f>IF(A219="","",IFERROR(VLOOKUP(A219,Scénáře!$A$4:$B$503,2,FALSE()),"ID nenalezeno"))</f>
        <v/>
      </c>
      <c r="C219" s="37" t="str">
        <f>IF(A219="","",IFERROR(VLOOKUP(A219,Scénáře!$A$4:$C$503,3,FALSE())&amp;"",""))</f>
        <v/>
      </c>
      <c r="D219" s="35"/>
      <c r="E219" s="36"/>
      <c r="F219" s="35"/>
      <c r="G219" s="11"/>
      <c r="H219" s="11"/>
    </row>
    <row r="220" spans="1:8" x14ac:dyDescent="0.2">
      <c r="A220" s="35"/>
      <c r="B220" s="39" t="str">
        <f>IF(A220="","",IFERROR(VLOOKUP(A220,Scénáře!$A$4:$B$503,2,FALSE()),"ID nenalezeno"))</f>
        <v/>
      </c>
      <c r="C220" s="37" t="str">
        <f>IF(A220="","",IFERROR(VLOOKUP(A220,Scénáře!$A$4:$C$503,3,FALSE())&amp;"",""))</f>
        <v/>
      </c>
      <c r="D220" s="35"/>
      <c r="E220" s="36"/>
      <c r="F220" s="35"/>
      <c r="G220" s="11"/>
      <c r="H220" s="11"/>
    </row>
    <row r="221" spans="1:8" x14ac:dyDescent="0.2">
      <c r="A221" s="35"/>
      <c r="B221" s="39" t="str">
        <f>IF(A221="","",IFERROR(VLOOKUP(A221,Scénáře!$A$4:$B$503,2,FALSE()),"ID nenalezeno"))</f>
        <v/>
      </c>
      <c r="C221" s="37" t="str">
        <f>IF(A221="","",IFERROR(VLOOKUP(A221,Scénáře!$A$4:$C$503,3,FALSE())&amp;"",""))</f>
        <v/>
      </c>
      <c r="D221" s="35"/>
      <c r="E221" s="36"/>
      <c r="F221" s="35"/>
      <c r="G221" s="11"/>
      <c r="H221" s="11"/>
    </row>
    <row r="222" spans="1:8" x14ac:dyDescent="0.2">
      <c r="A222" s="35"/>
      <c r="B222" s="39" t="str">
        <f>IF(A222="","",IFERROR(VLOOKUP(A222,Scénáře!$A$4:$B$503,2,FALSE()),"ID nenalezeno"))</f>
        <v/>
      </c>
      <c r="C222" s="37" t="str">
        <f>IF(A222="","",IFERROR(VLOOKUP(A222,Scénáře!$A$4:$C$503,3,FALSE())&amp;"",""))</f>
        <v/>
      </c>
      <c r="D222" s="35"/>
      <c r="E222" s="36"/>
      <c r="F222" s="35"/>
      <c r="G222" s="11"/>
      <c r="H222" s="11"/>
    </row>
    <row r="223" spans="1:8" x14ac:dyDescent="0.2">
      <c r="A223" s="35"/>
      <c r="B223" s="39" t="str">
        <f>IF(A223="","",IFERROR(VLOOKUP(A223,Scénáře!$A$4:$B$503,2,FALSE()),"ID nenalezeno"))</f>
        <v/>
      </c>
      <c r="C223" s="37" t="str">
        <f>IF(A223="","",IFERROR(VLOOKUP(A223,Scénáře!$A$4:$C$503,3,FALSE())&amp;"",""))</f>
        <v/>
      </c>
      <c r="D223" s="35"/>
      <c r="E223" s="36"/>
      <c r="F223" s="35"/>
      <c r="G223" s="11"/>
      <c r="H223" s="11"/>
    </row>
    <row r="224" spans="1:8" x14ac:dyDescent="0.2">
      <c r="A224" s="35"/>
      <c r="B224" s="39" t="str">
        <f>IF(A224="","",IFERROR(VLOOKUP(A224,Scénáře!$A$4:$B$503,2,FALSE()),"ID nenalezeno"))</f>
        <v/>
      </c>
      <c r="C224" s="37" t="str">
        <f>IF(A224="","",IFERROR(VLOOKUP(A224,Scénáře!$A$4:$C$503,3,FALSE())&amp;"",""))</f>
        <v/>
      </c>
      <c r="D224" s="35"/>
      <c r="E224" s="36"/>
      <c r="F224" s="35"/>
      <c r="G224" s="11"/>
      <c r="H224" s="11"/>
    </row>
    <row r="225" spans="1:8" x14ac:dyDescent="0.2">
      <c r="A225" s="35"/>
      <c r="B225" s="39" t="str">
        <f>IF(A225="","",IFERROR(VLOOKUP(A225,Scénáře!$A$4:$B$503,2,FALSE()),"ID nenalezeno"))</f>
        <v/>
      </c>
      <c r="C225" s="37" t="str">
        <f>IF(A225="","",IFERROR(VLOOKUP(A225,Scénáře!$A$4:$C$503,3,FALSE())&amp;"",""))</f>
        <v/>
      </c>
      <c r="D225" s="35"/>
      <c r="E225" s="36"/>
      <c r="F225" s="35"/>
      <c r="G225" s="11"/>
      <c r="H225" s="11"/>
    </row>
    <row r="226" spans="1:8" x14ac:dyDescent="0.2">
      <c r="A226" s="35"/>
      <c r="B226" s="39" t="str">
        <f>IF(A226="","",IFERROR(VLOOKUP(A226,Scénáře!$A$4:$B$503,2,FALSE()),"ID nenalezeno"))</f>
        <v/>
      </c>
      <c r="C226" s="37" t="str">
        <f>IF(A226="","",IFERROR(VLOOKUP(A226,Scénáře!$A$4:$C$503,3,FALSE())&amp;"",""))</f>
        <v/>
      </c>
      <c r="D226" s="35"/>
      <c r="E226" s="36"/>
      <c r="F226" s="35"/>
      <c r="G226" s="11"/>
      <c r="H226" s="11"/>
    </row>
    <row r="227" spans="1:8" x14ac:dyDescent="0.2">
      <c r="A227" s="35"/>
      <c r="B227" s="39" t="str">
        <f>IF(A227="","",IFERROR(VLOOKUP(A227,Scénáře!$A$4:$B$503,2,FALSE()),"ID nenalezeno"))</f>
        <v/>
      </c>
      <c r="C227" s="37" t="str">
        <f>IF(A227="","",IFERROR(VLOOKUP(A227,Scénáře!$A$4:$C$503,3,FALSE())&amp;"",""))</f>
        <v/>
      </c>
      <c r="D227" s="35"/>
      <c r="E227" s="36"/>
      <c r="F227" s="35"/>
      <c r="G227" s="11"/>
      <c r="H227" s="11"/>
    </row>
    <row r="228" spans="1:8" x14ac:dyDescent="0.2">
      <c r="A228" s="35"/>
      <c r="B228" s="39" t="str">
        <f>IF(A228="","",IFERROR(VLOOKUP(A228,Scénáře!$A$4:$B$503,2,FALSE()),"ID nenalezeno"))</f>
        <v/>
      </c>
      <c r="C228" s="37" t="str">
        <f>IF(A228="","",IFERROR(VLOOKUP(A228,Scénáře!$A$4:$C$503,3,FALSE())&amp;"",""))</f>
        <v/>
      </c>
      <c r="D228" s="35"/>
      <c r="E228" s="36"/>
      <c r="F228" s="35"/>
      <c r="G228" s="11"/>
      <c r="H228" s="11"/>
    </row>
    <row r="229" spans="1:8" x14ac:dyDescent="0.2">
      <c r="A229" s="35"/>
      <c r="B229" s="39" t="str">
        <f>IF(A229="","",IFERROR(VLOOKUP(A229,Scénáře!$A$4:$B$503,2,FALSE()),"ID nenalezeno"))</f>
        <v/>
      </c>
      <c r="C229" s="37" t="str">
        <f>IF(A229="","",IFERROR(VLOOKUP(A229,Scénáře!$A$4:$C$503,3,FALSE())&amp;"",""))</f>
        <v/>
      </c>
      <c r="D229" s="35"/>
      <c r="E229" s="36"/>
      <c r="F229" s="35"/>
      <c r="G229" s="11"/>
      <c r="H229" s="11"/>
    </row>
    <row r="230" spans="1:8" x14ac:dyDescent="0.2">
      <c r="A230" s="35"/>
      <c r="B230" s="39" t="str">
        <f>IF(A230="","",IFERROR(VLOOKUP(A230,Scénáře!$A$4:$B$503,2,FALSE()),"ID nenalezeno"))</f>
        <v/>
      </c>
      <c r="C230" s="37" t="str">
        <f>IF(A230="","",IFERROR(VLOOKUP(A230,Scénáře!$A$4:$C$503,3,FALSE())&amp;"",""))</f>
        <v/>
      </c>
      <c r="D230" s="35"/>
      <c r="E230" s="36"/>
      <c r="F230" s="35"/>
      <c r="G230" s="11"/>
      <c r="H230" s="11"/>
    </row>
    <row r="231" spans="1:8" x14ac:dyDescent="0.2">
      <c r="A231" s="35"/>
      <c r="B231" s="39" t="str">
        <f>IF(A231="","",IFERROR(VLOOKUP(A231,Scénáře!$A$4:$B$503,2,FALSE()),"ID nenalezeno"))</f>
        <v/>
      </c>
      <c r="C231" s="37" t="str">
        <f>IF(A231="","",IFERROR(VLOOKUP(A231,Scénáře!$A$4:$C$503,3,FALSE())&amp;"",""))</f>
        <v/>
      </c>
      <c r="D231" s="35"/>
      <c r="E231" s="36"/>
      <c r="F231" s="35"/>
      <c r="G231" s="11"/>
      <c r="H231" s="11"/>
    </row>
    <row r="232" spans="1:8" x14ac:dyDescent="0.2">
      <c r="A232" s="35"/>
      <c r="B232" s="39" t="str">
        <f>IF(A232="","",IFERROR(VLOOKUP(A232,Scénáře!$A$4:$B$503,2,FALSE()),"ID nenalezeno"))</f>
        <v/>
      </c>
      <c r="C232" s="37" t="str">
        <f>IF(A232="","",IFERROR(VLOOKUP(A232,Scénáře!$A$4:$C$503,3,FALSE())&amp;"",""))</f>
        <v/>
      </c>
      <c r="D232" s="35"/>
      <c r="E232" s="36"/>
      <c r="F232" s="35"/>
      <c r="G232" s="11"/>
      <c r="H232" s="11"/>
    </row>
    <row r="233" spans="1:8" x14ac:dyDescent="0.2">
      <c r="A233" s="35"/>
      <c r="B233" s="39" t="str">
        <f>IF(A233="","",IFERROR(VLOOKUP(A233,Scénáře!$A$4:$B$503,2,FALSE()),"ID nenalezeno"))</f>
        <v/>
      </c>
      <c r="C233" s="37" t="str">
        <f>IF(A233="","",IFERROR(VLOOKUP(A233,Scénáře!$A$4:$C$503,3,FALSE())&amp;"",""))</f>
        <v/>
      </c>
      <c r="D233" s="35"/>
      <c r="E233" s="36"/>
      <c r="F233" s="35"/>
      <c r="G233" s="11"/>
      <c r="H233" s="11"/>
    </row>
    <row r="234" spans="1:8" x14ac:dyDescent="0.2">
      <c r="A234" s="35"/>
      <c r="B234" s="39" t="str">
        <f>IF(A234="","",IFERROR(VLOOKUP(A234,Scénáře!$A$4:$B$503,2,FALSE()),"ID nenalezeno"))</f>
        <v/>
      </c>
      <c r="C234" s="37" t="str">
        <f>IF(A234="","",IFERROR(VLOOKUP(A234,Scénáře!$A$4:$C$503,3,FALSE())&amp;"",""))</f>
        <v/>
      </c>
      <c r="D234" s="35"/>
      <c r="E234" s="36"/>
      <c r="F234" s="35"/>
      <c r="G234" s="11"/>
      <c r="H234" s="11"/>
    </row>
    <row r="235" spans="1:8" x14ac:dyDescent="0.2">
      <c r="A235" s="35"/>
      <c r="B235" s="39" t="str">
        <f>IF(A235="","",IFERROR(VLOOKUP(A235,Scénáře!$A$4:$B$503,2,FALSE()),"ID nenalezeno"))</f>
        <v/>
      </c>
      <c r="C235" s="37" t="str">
        <f>IF(A235="","",IFERROR(VLOOKUP(A235,Scénáře!$A$4:$C$503,3,FALSE())&amp;"",""))</f>
        <v/>
      </c>
      <c r="D235" s="35"/>
      <c r="E235" s="36"/>
      <c r="F235" s="35"/>
      <c r="G235" s="11"/>
      <c r="H235" s="11"/>
    </row>
    <row r="236" spans="1:8" x14ac:dyDescent="0.2">
      <c r="A236" s="35"/>
      <c r="B236" s="39" t="str">
        <f>IF(A236="","",IFERROR(VLOOKUP(A236,Scénáře!$A$4:$B$503,2,FALSE()),"ID nenalezeno"))</f>
        <v/>
      </c>
      <c r="C236" s="37" t="str">
        <f>IF(A236="","",IFERROR(VLOOKUP(A236,Scénáře!$A$4:$C$503,3,FALSE())&amp;"",""))</f>
        <v/>
      </c>
      <c r="D236" s="35"/>
      <c r="E236" s="36"/>
      <c r="F236" s="35"/>
      <c r="G236" s="11"/>
      <c r="H236" s="11"/>
    </row>
    <row r="237" spans="1:8" x14ac:dyDescent="0.2">
      <c r="A237" s="35"/>
      <c r="B237" s="39" t="str">
        <f>IF(A237="","",IFERROR(VLOOKUP(A237,Scénáře!$A$4:$B$503,2,FALSE()),"ID nenalezeno"))</f>
        <v/>
      </c>
      <c r="C237" s="37" t="str">
        <f>IF(A237="","",IFERROR(VLOOKUP(A237,Scénáře!$A$4:$C$503,3,FALSE())&amp;"",""))</f>
        <v/>
      </c>
      <c r="D237" s="35"/>
      <c r="E237" s="36"/>
      <c r="F237" s="35"/>
      <c r="G237" s="11"/>
      <c r="H237" s="11"/>
    </row>
    <row r="238" spans="1:8" x14ac:dyDescent="0.2">
      <c r="A238" s="35"/>
      <c r="B238" s="39" t="str">
        <f>IF(A238="","",IFERROR(VLOOKUP(A238,Scénáře!$A$4:$B$503,2,FALSE()),"ID nenalezeno"))</f>
        <v/>
      </c>
      <c r="C238" s="37" t="str">
        <f>IF(A238="","",IFERROR(VLOOKUP(A238,Scénáře!$A$4:$C$503,3,FALSE())&amp;"",""))</f>
        <v/>
      </c>
      <c r="D238" s="35"/>
      <c r="E238" s="36"/>
      <c r="F238" s="35"/>
      <c r="G238" s="11"/>
      <c r="H238" s="11"/>
    </row>
    <row r="239" spans="1:8" x14ac:dyDescent="0.2">
      <c r="A239" s="35"/>
      <c r="B239" s="39" t="str">
        <f>IF(A239="","",IFERROR(VLOOKUP(A239,Scénáře!$A$4:$B$503,2,FALSE()),"ID nenalezeno"))</f>
        <v/>
      </c>
      <c r="C239" s="37" t="str">
        <f>IF(A239="","",IFERROR(VLOOKUP(A239,Scénáře!$A$4:$C$503,3,FALSE())&amp;"",""))</f>
        <v/>
      </c>
      <c r="D239" s="35"/>
      <c r="E239" s="36"/>
      <c r="F239" s="35"/>
      <c r="G239" s="11"/>
      <c r="H239" s="11"/>
    </row>
    <row r="240" spans="1:8" x14ac:dyDescent="0.2">
      <c r="A240" s="35"/>
      <c r="B240" s="39" t="str">
        <f>IF(A240="","",IFERROR(VLOOKUP(A240,Scénáře!$A$4:$B$503,2,FALSE()),"ID nenalezeno"))</f>
        <v/>
      </c>
      <c r="C240" s="37" t="str">
        <f>IF(A240="","",IFERROR(VLOOKUP(A240,Scénáře!$A$4:$C$503,3,FALSE())&amp;"",""))</f>
        <v/>
      </c>
      <c r="D240" s="35"/>
      <c r="E240" s="36"/>
      <c r="F240" s="35"/>
      <c r="G240" s="11"/>
      <c r="H240" s="11"/>
    </row>
    <row r="241" spans="1:8" x14ac:dyDescent="0.2">
      <c r="A241" s="35"/>
      <c r="B241" s="39" t="str">
        <f>IF(A241="","",IFERROR(VLOOKUP(A241,Scénáře!$A$4:$B$503,2,FALSE()),"ID nenalezeno"))</f>
        <v/>
      </c>
      <c r="C241" s="37" t="str">
        <f>IF(A241="","",IFERROR(VLOOKUP(A241,Scénáře!$A$4:$C$503,3,FALSE())&amp;"",""))</f>
        <v/>
      </c>
      <c r="D241" s="35"/>
      <c r="E241" s="36"/>
      <c r="F241" s="35"/>
      <c r="G241" s="11"/>
      <c r="H241" s="11"/>
    </row>
    <row r="242" spans="1:8" x14ac:dyDescent="0.2">
      <c r="A242" s="35"/>
      <c r="B242" s="39" t="str">
        <f>IF(A242="","",IFERROR(VLOOKUP(A242,Scénáře!$A$4:$B$503,2,FALSE()),"ID nenalezeno"))</f>
        <v/>
      </c>
      <c r="C242" s="37" t="str">
        <f>IF(A242="","",IFERROR(VLOOKUP(A242,Scénáře!$A$4:$C$503,3,FALSE())&amp;"",""))</f>
        <v/>
      </c>
      <c r="D242" s="35"/>
      <c r="E242" s="36"/>
      <c r="F242" s="35"/>
      <c r="G242" s="11"/>
      <c r="H242" s="11"/>
    </row>
    <row r="243" spans="1:8" x14ac:dyDescent="0.2">
      <c r="A243" s="35"/>
      <c r="B243" s="39" t="str">
        <f>IF(A243="","",IFERROR(VLOOKUP(A243,Scénáře!$A$4:$B$503,2,FALSE()),"ID nenalezeno"))</f>
        <v/>
      </c>
      <c r="C243" s="37" t="str">
        <f>IF(A243="","",IFERROR(VLOOKUP(A243,Scénáře!$A$4:$C$503,3,FALSE())&amp;"",""))</f>
        <v/>
      </c>
      <c r="D243" s="35"/>
      <c r="E243" s="36"/>
      <c r="F243" s="35"/>
      <c r="G243" s="11"/>
      <c r="H243" s="11"/>
    </row>
    <row r="244" spans="1:8" x14ac:dyDescent="0.2">
      <c r="A244" s="35"/>
      <c r="B244" s="39" t="str">
        <f>IF(A244="","",IFERROR(VLOOKUP(A244,Scénáře!$A$4:$B$503,2,FALSE()),"ID nenalezeno"))</f>
        <v/>
      </c>
      <c r="C244" s="37" t="str">
        <f>IF(A244="","",IFERROR(VLOOKUP(A244,Scénáře!$A$4:$C$503,3,FALSE())&amp;"",""))</f>
        <v/>
      </c>
      <c r="D244" s="35"/>
      <c r="E244" s="36"/>
      <c r="F244" s="35"/>
      <c r="G244" s="11"/>
      <c r="H244" s="11"/>
    </row>
    <row r="245" spans="1:8" x14ac:dyDescent="0.2">
      <c r="A245" s="35"/>
      <c r="B245" s="39" t="str">
        <f>IF(A245="","",IFERROR(VLOOKUP(A245,Scénáře!$A$4:$B$503,2,FALSE()),"ID nenalezeno"))</f>
        <v/>
      </c>
      <c r="C245" s="37" t="str">
        <f>IF(A245="","",IFERROR(VLOOKUP(A245,Scénáře!$A$4:$C$503,3,FALSE())&amp;"",""))</f>
        <v/>
      </c>
      <c r="D245" s="35"/>
      <c r="E245" s="36"/>
      <c r="F245" s="35"/>
      <c r="G245" s="11"/>
      <c r="H245" s="11"/>
    </row>
    <row r="246" spans="1:8" x14ac:dyDescent="0.2">
      <c r="A246" s="35"/>
      <c r="B246" s="39" t="str">
        <f>IF(A246="","",IFERROR(VLOOKUP(A246,Scénáře!$A$4:$B$503,2,FALSE()),"ID nenalezeno"))</f>
        <v/>
      </c>
      <c r="C246" s="37" t="str">
        <f>IF(A246="","",IFERROR(VLOOKUP(A246,Scénáře!$A$4:$C$503,3,FALSE())&amp;"",""))</f>
        <v/>
      </c>
      <c r="D246" s="35"/>
      <c r="E246" s="36"/>
      <c r="F246" s="35"/>
      <c r="G246" s="11"/>
      <c r="H246" s="11"/>
    </row>
    <row r="247" spans="1:8" x14ac:dyDescent="0.2">
      <c r="A247" s="35"/>
      <c r="B247" s="39" t="str">
        <f>IF(A247="","",IFERROR(VLOOKUP(A247,Scénáře!$A$4:$B$503,2,FALSE()),"ID nenalezeno"))</f>
        <v/>
      </c>
      <c r="C247" s="37" t="str">
        <f>IF(A247="","",IFERROR(VLOOKUP(A247,Scénáře!$A$4:$C$503,3,FALSE())&amp;"",""))</f>
        <v/>
      </c>
      <c r="D247" s="35"/>
      <c r="E247" s="36"/>
      <c r="F247" s="35"/>
      <c r="G247" s="11"/>
      <c r="H247" s="11"/>
    </row>
    <row r="248" spans="1:8" x14ac:dyDescent="0.2">
      <c r="A248" s="35"/>
      <c r="B248" s="39" t="str">
        <f>IF(A248="","",IFERROR(VLOOKUP(A248,Scénáře!$A$4:$B$503,2,FALSE()),"ID nenalezeno"))</f>
        <v/>
      </c>
      <c r="C248" s="37" t="str">
        <f>IF(A248="","",IFERROR(VLOOKUP(A248,Scénáře!$A$4:$C$503,3,FALSE())&amp;"",""))</f>
        <v/>
      </c>
      <c r="D248" s="35"/>
      <c r="E248" s="36"/>
      <c r="F248" s="35"/>
      <c r="G248" s="11"/>
      <c r="H248" s="11"/>
    </row>
    <row r="249" spans="1:8" x14ac:dyDescent="0.2">
      <c r="A249" s="35"/>
      <c r="B249" s="39" t="str">
        <f>IF(A249="","",IFERROR(VLOOKUP(A249,Scénáře!$A$4:$B$503,2,FALSE()),"ID nenalezeno"))</f>
        <v/>
      </c>
      <c r="C249" s="37" t="str">
        <f>IF(A249="","",IFERROR(VLOOKUP(A249,Scénáře!$A$4:$C$503,3,FALSE())&amp;"",""))</f>
        <v/>
      </c>
      <c r="D249" s="35"/>
      <c r="E249" s="36"/>
      <c r="F249" s="35"/>
      <c r="G249" s="11"/>
      <c r="H249" s="11"/>
    </row>
    <row r="250" spans="1:8" x14ac:dyDescent="0.2">
      <c r="A250" s="35"/>
      <c r="B250" s="39" t="str">
        <f>IF(A250="","",IFERROR(VLOOKUP(A250,Scénáře!$A$4:$B$503,2,FALSE()),"ID nenalezeno"))</f>
        <v/>
      </c>
      <c r="C250" s="37" t="str">
        <f>IF(A250="","",IFERROR(VLOOKUP(A250,Scénáře!$A$4:$C$503,3,FALSE())&amp;"",""))</f>
        <v/>
      </c>
      <c r="D250" s="35"/>
      <c r="E250" s="36"/>
      <c r="F250" s="35"/>
      <c r="G250" s="11"/>
      <c r="H250" s="11"/>
    </row>
    <row r="251" spans="1:8" x14ac:dyDescent="0.2">
      <c r="A251" s="35"/>
      <c r="B251" s="39" t="str">
        <f>IF(A251="","",IFERROR(VLOOKUP(A251,Scénáře!$A$4:$B$503,2,FALSE()),"ID nenalezeno"))</f>
        <v/>
      </c>
      <c r="C251" s="37" t="str">
        <f>IF(A251="","",IFERROR(VLOOKUP(A251,Scénáře!$A$4:$C$503,3,FALSE())&amp;"",""))</f>
        <v/>
      </c>
      <c r="D251" s="35"/>
      <c r="E251" s="36"/>
      <c r="F251" s="35"/>
      <c r="G251" s="11"/>
      <c r="H251" s="11"/>
    </row>
    <row r="252" spans="1:8" x14ac:dyDescent="0.2">
      <c r="A252" s="35"/>
      <c r="B252" s="39" t="str">
        <f>IF(A252="","",IFERROR(VLOOKUP(A252,Scénáře!$A$4:$B$503,2,FALSE()),"ID nenalezeno"))</f>
        <v/>
      </c>
      <c r="C252" s="37" t="str">
        <f>IF(A252="","",IFERROR(VLOOKUP(A252,Scénáře!$A$4:$C$503,3,FALSE())&amp;"",""))</f>
        <v/>
      </c>
      <c r="D252" s="35"/>
      <c r="E252" s="36"/>
      <c r="F252" s="35"/>
      <c r="G252" s="11"/>
      <c r="H252" s="11"/>
    </row>
    <row r="253" spans="1:8" x14ac:dyDescent="0.2">
      <c r="A253" s="35"/>
      <c r="B253" s="39" t="str">
        <f>IF(A253="","",IFERROR(VLOOKUP(A253,Scénáře!$A$4:$B$503,2,FALSE()),"ID nenalezeno"))</f>
        <v/>
      </c>
      <c r="C253" s="37" t="str">
        <f>IF(A253="","",IFERROR(VLOOKUP(A253,Scénáře!$A$4:$C$503,3,FALSE())&amp;"",""))</f>
        <v/>
      </c>
      <c r="D253" s="35"/>
      <c r="E253" s="36"/>
      <c r="F253" s="35"/>
      <c r="G253" s="11"/>
      <c r="H253" s="11"/>
    </row>
    <row r="254" spans="1:8" x14ac:dyDescent="0.2">
      <c r="A254" s="35"/>
      <c r="B254" s="39" t="str">
        <f>IF(A254="","",IFERROR(VLOOKUP(A254,Scénáře!$A$4:$B$503,2,FALSE()),"ID nenalezeno"))</f>
        <v/>
      </c>
      <c r="C254" s="37" t="str">
        <f>IF(A254="","",IFERROR(VLOOKUP(A254,Scénáře!$A$4:$C$503,3,FALSE())&amp;"",""))</f>
        <v/>
      </c>
      <c r="D254" s="35"/>
      <c r="E254" s="36"/>
      <c r="F254" s="35"/>
      <c r="G254" s="11"/>
      <c r="H254" s="11"/>
    </row>
    <row r="255" spans="1:8" x14ac:dyDescent="0.2">
      <c r="A255" s="35"/>
      <c r="B255" s="39" t="str">
        <f>IF(A255="","",IFERROR(VLOOKUP(A255,Scénáře!$A$4:$B$503,2,FALSE()),"ID nenalezeno"))</f>
        <v/>
      </c>
      <c r="C255" s="37" t="str">
        <f>IF(A255="","",IFERROR(VLOOKUP(A255,Scénáře!$A$4:$C$503,3,FALSE())&amp;"",""))</f>
        <v/>
      </c>
      <c r="D255" s="35"/>
      <c r="E255" s="36"/>
      <c r="F255" s="35"/>
      <c r="G255" s="11"/>
      <c r="H255" s="11"/>
    </row>
    <row r="256" spans="1:8" x14ac:dyDescent="0.2">
      <c r="A256" s="35"/>
      <c r="B256" s="39" t="str">
        <f>IF(A256="","",IFERROR(VLOOKUP(A256,Scénáře!$A$4:$B$503,2,FALSE()),"ID nenalezeno"))</f>
        <v/>
      </c>
      <c r="C256" s="37" t="str">
        <f>IF(A256="","",IFERROR(VLOOKUP(A256,Scénáře!$A$4:$C$503,3,FALSE())&amp;"",""))</f>
        <v/>
      </c>
      <c r="D256" s="35"/>
      <c r="E256" s="36"/>
      <c r="F256" s="35"/>
      <c r="G256" s="11"/>
      <c r="H256" s="11"/>
    </row>
    <row r="257" spans="1:8" x14ac:dyDescent="0.2">
      <c r="A257" s="35"/>
      <c r="B257" s="39" t="str">
        <f>IF(A257="","",IFERROR(VLOOKUP(A257,Scénáře!$A$4:$B$503,2,FALSE()),"ID nenalezeno"))</f>
        <v/>
      </c>
      <c r="C257" s="37" t="str">
        <f>IF(A257="","",IFERROR(VLOOKUP(A257,Scénáře!$A$4:$C$503,3,FALSE())&amp;"",""))</f>
        <v/>
      </c>
      <c r="D257" s="35"/>
      <c r="E257" s="36"/>
      <c r="F257" s="35"/>
      <c r="G257" s="11"/>
      <c r="H257" s="11"/>
    </row>
    <row r="258" spans="1:8" x14ac:dyDescent="0.2">
      <c r="A258" s="35"/>
      <c r="B258" s="39" t="str">
        <f>IF(A258="","",IFERROR(VLOOKUP(A258,Scénáře!$A$4:$B$503,2,FALSE()),"ID nenalezeno"))</f>
        <v/>
      </c>
      <c r="C258" s="37" t="str">
        <f>IF(A258="","",IFERROR(VLOOKUP(A258,Scénáře!$A$4:$C$503,3,FALSE())&amp;"",""))</f>
        <v/>
      </c>
      <c r="D258" s="35"/>
      <c r="E258" s="36"/>
      <c r="F258" s="35"/>
      <c r="G258" s="11"/>
      <c r="H258" s="11"/>
    </row>
    <row r="259" spans="1:8" x14ac:dyDescent="0.2">
      <c r="A259" s="35"/>
      <c r="B259" s="39" t="str">
        <f>IF(A259="","",IFERROR(VLOOKUP(A259,Scénáře!$A$4:$B$503,2,FALSE()),"ID nenalezeno"))</f>
        <v/>
      </c>
      <c r="C259" s="37" t="str">
        <f>IF(A259="","",IFERROR(VLOOKUP(A259,Scénáře!$A$4:$C$503,3,FALSE())&amp;"",""))</f>
        <v/>
      </c>
      <c r="D259" s="35"/>
      <c r="E259" s="36"/>
      <c r="F259" s="35"/>
      <c r="G259" s="11"/>
      <c r="H259" s="11"/>
    </row>
    <row r="260" spans="1:8" x14ac:dyDescent="0.2">
      <c r="A260" s="35"/>
      <c r="B260" s="39" t="str">
        <f>IF(A260="","",IFERROR(VLOOKUP(A260,Scénáře!$A$4:$B$503,2,FALSE()),"ID nenalezeno"))</f>
        <v/>
      </c>
      <c r="C260" s="37" t="str">
        <f>IF(A260="","",IFERROR(VLOOKUP(A260,Scénáře!$A$4:$C$503,3,FALSE())&amp;"",""))</f>
        <v/>
      </c>
      <c r="D260" s="35"/>
      <c r="E260" s="36"/>
      <c r="F260" s="35"/>
      <c r="G260" s="11"/>
      <c r="H260" s="11"/>
    </row>
    <row r="261" spans="1:8" x14ac:dyDescent="0.2">
      <c r="A261" s="35"/>
      <c r="B261" s="39" t="str">
        <f>IF(A261="","",IFERROR(VLOOKUP(A261,Scénáře!$A$4:$B$503,2,FALSE()),"ID nenalezeno"))</f>
        <v/>
      </c>
      <c r="C261" s="37" t="str">
        <f>IF(A261="","",IFERROR(VLOOKUP(A261,Scénáře!$A$4:$C$503,3,FALSE())&amp;"",""))</f>
        <v/>
      </c>
      <c r="D261" s="35"/>
      <c r="E261" s="36"/>
      <c r="F261" s="35"/>
      <c r="G261" s="11"/>
      <c r="H261" s="11"/>
    </row>
    <row r="262" spans="1:8" x14ac:dyDescent="0.2">
      <c r="A262" s="35"/>
      <c r="B262" s="39" t="str">
        <f>IF(A262="","",IFERROR(VLOOKUP(A262,Scénáře!$A$4:$B$503,2,FALSE()),"ID nenalezeno"))</f>
        <v/>
      </c>
      <c r="C262" s="37" t="str">
        <f>IF(A262="","",IFERROR(VLOOKUP(A262,Scénáře!$A$4:$C$503,3,FALSE())&amp;"",""))</f>
        <v/>
      </c>
      <c r="D262" s="35"/>
      <c r="E262" s="36"/>
      <c r="F262" s="35"/>
      <c r="G262" s="11"/>
      <c r="H262" s="11"/>
    </row>
    <row r="263" spans="1:8" x14ac:dyDescent="0.2">
      <c r="A263" s="35"/>
      <c r="B263" s="39" t="str">
        <f>IF(A263="","",IFERROR(VLOOKUP(A263,Scénáře!$A$4:$B$503,2,FALSE()),"ID nenalezeno"))</f>
        <v/>
      </c>
      <c r="C263" s="37" t="str">
        <f>IF(A263="","",IFERROR(VLOOKUP(A263,Scénáře!$A$4:$C$503,3,FALSE())&amp;"",""))</f>
        <v/>
      </c>
      <c r="D263" s="35"/>
      <c r="E263" s="36"/>
      <c r="F263" s="35"/>
      <c r="G263" s="11"/>
      <c r="H263" s="11"/>
    </row>
    <row r="264" spans="1:8" x14ac:dyDescent="0.2">
      <c r="A264" s="35"/>
      <c r="B264" s="39" t="str">
        <f>IF(A264="","",IFERROR(VLOOKUP(A264,Scénáře!$A$4:$B$503,2,FALSE()),"ID nenalezeno"))</f>
        <v/>
      </c>
      <c r="C264" s="37" t="str">
        <f>IF(A264="","",IFERROR(VLOOKUP(A264,Scénáře!$A$4:$C$503,3,FALSE())&amp;"",""))</f>
        <v/>
      </c>
      <c r="D264" s="35"/>
      <c r="E264" s="36"/>
      <c r="F264" s="35"/>
      <c r="G264" s="11"/>
      <c r="H264" s="11"/>
    </row>
    <row r="265" spans="1:8" x14ac:dyDescent="0.2">
      <c r="A265" s="35"/>
      <c r="B265" s="39" t="str">
        <f>IF(A265="","",IFERROR(VLOOKUP(A265,Scénáře!$A$4:$B$503,2,FALSE()),"ID nenalezeno"))</f>
        <v/>
      </c>
      <c r="C265" s="37" t="str">
        <f>IF(A265="","",IFERROR(VLOOKUP(A265,Scénáře!$A$4:$C$503,3,FALSE())&amp;"",""))</f>
        <v/>
      </c>
      <c r="D265" s="35"/>
      <c r="E265" s="36"/>
      <c r="F265" s="35"/>
      <c r="G265" s="11"/>
      <c r="H265" s="11"/>
    </row>
    <row r="266" spans="1:8" x14ac:dyDescent="0.2">
      <c r="A266" s="35"/>
      <c r="B266" s="39" t="str">
        <f>IF(A266="","",IFERROR(VLOOKUP(A266,Scénáře!$A$4:$B$503,2,FALSE()),"ID nenalezeno"))</f>
        <v/>
      </c>
      <c r="C266" s="37" t="str">
        <f>IF(A266="","",IFERROR(VLOOKUP(A266,Scénáře!$A$4:$C$503,3,FALSE())&amp;"",""))</f>
        <v/>
      </c>
      <c r="D266" s="35"/>
      <c r="E266" s="36"/>
      <c r="F266" s="35"/>
      <c r="G266" s="11"/>
      <c r="H266" s="11"/>
    </row>
    <row r="267" spans="1:8" x14ac:dyDescent="0.2">
      <c r="A267" s="35"/>
      <c r="B267" s="39" t="str">
        <f>IF(A267="","",IFERROR(VLOOKUP(A267,Scénáře!$A$4:$B$503,2,FALSE()),"ID nenalezeno"))</f>
        <v/>
      </c>
      <c r="C267" s="37" t="str">
        <f>IF(A267="","",IFERROR(VLOOKUP(A267,Scénáře!$A$4:$C$503,3,FALSE())&amp;"",""))</f>
        <v/>
      </c>
      <c r="D267" s="35"/>
      <c r="E267" s="36"/>
      <c r="F267" s="35"/>
      <c r="G267" s="11"/>
      <c r="H267" s="11"/>
    </row>
    <row r="268" spans="1:8" x14ac:dyDescent="0.2">
      <c r="A268" s="35"/>
      <c r="B268" s="39" t="str">
        <f>IF(A268="","",IFERROR(VLOOKUP(A268,Scénáře!$A$4:$B$503,2,FALSE()),"ID nenalezeno"))</f>
        <v/>
      </c>
      <c r="C268" s="37" t="str">
        <f>IF(A268="","",IFERROR(VLOOKUP(A268,Scénáře!$A$4:$C$503,3,FALSE())&amp;"",""))</f>
        <v/>
      </c>
      <c r="D268" s="35"/>
      <c r="E268" s="36"/>
      <c r="F268" s="35"/>
      <c r="G268" s="11"/>
      <c r="H268" s="11"/>
    </row>
    <row r="269" spans="1:8" x14ac:dyDescent="0.2">
      <c r="A269" s="35"/>
      <c r="B269" s="39" t="str">
        <f>IF(A269="","",IFERROR(VLOOKUP(A269,Scénáře!$A$4:$B$503,2,FALSE()),"ID nenalezeno"))</f>
        <v/>
      </c>
      <c r="C269" s="37" t="str">
        <f>IF(A269="","",IFERROR(VLOOKUP(A269,Scénáře!$A$4:$C$503,3,FALSE())&amp;"",""))</f>
        <v/>
      </c>
      <c r="D269" s="35"/>
      <c r="E269" s="36"/>
      <c r="F269" s="35"/>
      <c r="G269" s="11"/>
      <c r="H269" s="11"/>
    </row>
    <row r="270" spans="1:8" x14ac:dyDescent="0.2">
      <c r="A270" s="35"/>
      <c r="B270" s="39" t="str">
        <f>IF(A270="","",IFERROR(VLOOKUP(A270,Scénáře!$A$4:$B$503,2,FALSE()),"ID nenalezeno"))</f>
        <v/>
      </c>
      <c r="C270" s="37" t="str">
        <f>IF(A270="","",IFERROR(VLOOKUP(A270,Scénáře!$A$4:$C$503,3,FALSE())&amp;"",""))</f>
        <v/>
      </c>
      <c r="D270" s="35"/>
      <c r="E270" s="36"/>
      <c r="F270" s="35"/>
      <c r="G270" s="11"/>
      <c r="H270" s="11"/>
    </row>
    <row r="271" spans="1:8" x14ac:dyDescent="0.2">
      <c r="A271" s="35"/>
      <c r="B271" s="39" t="str">
        <f>IF(A271="","",IFERROR(VLOOKUP(A271,Scénáře!$A$4:$B$503,2,FALSE()),"ID nenalezeno"))</f>
        <v/>
      </c>
      <c r="C271" s="37" t="str">
        <f>IF(A271="","",IFERROR(VLOOKUP(A271,Scénáře!$A$4:$C$503,3,FALSE())&amp;"",""))</f>
        <v/>
      </c>
      <c r="D271" s="35"/>
      <c r="E271" s="36"/>
      <c r="F271" s="35"/>
      <c r="G271" s="11"/>
      <c r="H271" s="11"/>
    </row>
    <row r="272" spans="1:8" x14ac:dyDescent="0.2">
      <c r="A272" s="35"/>
      <c r="B272" s="39" t="str">
        <f>IF(A272="","",IFERROR(VLOOKUP(A272,Scénáře!$A$4:$B$503,2,FALSE()),"ID nenalezeno"))</f>
        <v/>
      </c>
      <c r="C272" s="37" t="str">
        <f>IF(A272="","",IFERROR(VLOOKUP(A272,Scénáře!$A$4:$C$503,3,FALSE())&amp;"",""))</f>
        <v/>
      </c>
      <c r="D272" s="35"/>
      <c r="E272" s="36"/>
      <c r="F272" s="35"/>
      <c r="G272" s="11"/>
      <c r="H272" s="11"/>
    </row>
    <row r="273" spans="1:8" x14ac:dyDescent="0.2">
      <c r="A273" s="35"/>
      <c r="B273" s="39" t="str">
        <f>IF(A273="","",IFERROR(VLOOKUP(A273,Scénáře!$A$4:$B$503,2,FALSE()),"ID nenalezeno"))</f>
        <v/>
      </c>
      <c r="C273" s="37" t="str">
        <f>IF(A273="","",IFERROR(VLOOKUP(A273,Scénáře!$A$4:$C$503,3,FALSE())&amp;"",""))</f>
        <v/>
      </c>
      <c r="D273" s="35"/>
      <c r="E273" s="36"/>
      <c r="F273" s="35"/>
      <c r="G273" s="11"/>
      <c r="H273" s="11"/>
    </row>
    <row r="274" spans="1:8" x14ac:dyDescent="0.2">
      <c r="A274" s="35"/>
      <c r="B274" s="39" t="str">
        <f>IF(A274="","",IFERROR(VLOOKUP(A274,Scénáře!$A$4:$B$503,2,FALSE()),"ID nenalezeno"))</f>
        <v/>
      </c>
      <c r="C274" s="37" t="str">
        <f>IF(A274="","",IFERROR(VLOOKUP(A274,Scénáře!$A$4:$C$503,3,FALSE())&amp;"",""))</f>
        <v/>
      </c>
      <c r="D274" s="35"/>
      <c r="E274" s="36"/>
      <c r="F274" s="35"/>
      <c r="G274" s="11"/>
      <c r="H274" s="11"/>
    </row>
    <row r="275" spans="1:8" x14ac:dyDescent="0.2">
      <c r="A275" s="35"/>
      <c r="B275" s="39" t="str">
        <f>IF(A275="","",IFERROR(VLOOKUP(A275,Scénáře!$A$4:$B$503,2,FALSE()),"ID nenalezeno"))</f>
        <v/>
      </c>
      <c r="C275" s="37" t="str">
        <f>IF(A275="","",IFERROR(VLOOKUP(A275,Scénáře!$A$4:$C$503,3,FALSE())&amp;"",""))</f>
        <v/>
      </c>
      <c r="D275" s="35"/>
      <c r="E275" s="36"/>
      <c r="F275" s="35"/>
      <c r="G275" s="11"/>
      <c r="H275" s="11"/>
    </row>
    <row r="276" spans="1:8" x14ac:dyDescent="0.2">
      <c r="A276" s="35"/>
      <c r="B276" s="39" t="str">
        <f>IF(A276="","",IFERROR(VLOOKUP(A276,Scénáře!$A$4:$B$503,2,FALSE()),"ID nenalezeno"))</f>
        <v/>
      </c>
      <c r="C276" s="37" t="str">
        <f>IF(A276="","",IFERROR(VLOOKUP(A276,Scénáře!$A$4:$C$503,3,FALSE())&amp;"",""))</f>
        <v/>
      </c>
      <c r="D276" s="35"/>
      <c r="E276" s="36"/>
      <c r="F276" s="35"/>
      <c r="G276" s="11"/>
      <c r="H276" s="11"/>
    </row>
    <row r="277" spans="1:8" x14ac:dyDescent="0.2">
      <c r="A277" s="35"/>
      <c r="B277" s="39" t="str">
        <f>IF(A277="","",IFERROR(VLOOKUP(A277,Scénáře!$A$4:$B$503,2,FALSE()),"ID nenalezeno"))</f>
        <v/>
      </c>
      <c r="C277" s="37" t="str">
        <f>IF(A277="","",IFERROR(VLOOKUP(A277,Scénáře!$A$4:$C$503,3,FALSE())&amp;"",""))</f>
        <v/>
      </c>
      <c r="D277" s="35"/>
      <c r="E277" s="36"/>
      <c r="F277" s="35"/>
      <c r="G277" s="11"/>
      <c r="H277" s="11"/>
    </row>
    <row r="278" spans="1:8" x14ac:dyDescent="0.2">
      <c r="A278" s="35"/>
      <c r="B278" s="39" t="str">
        <f>IF(A278="","",IFERROR(VLOOKUP(A278,Scénáře!$A$4:$B$503,2,FALSE()),"ID nenalezeno"))</f>
        <v/>
      </c>
      <c r="C278" s="37" t="str">
        <f>IF(A278="","",IFERROR(VLOOKUP(A278,Scénáře!$A$4:$C$503,3,FALSE())&amp;"",""))</f>
        <v/>
      </c>
      <c r="D278" s="35"/>
      <c r="E278" s="36"/>
      <c r="F278" s="35"/>
      <c r="G278" s="11"/>
      <c r="H278" s="11"/>
    </row>
    <row r="279" spans="1:8" x14ac:dyDescent="0.2">
      <c r="A279" s="35"/>
      <c r="B279" s="39" t="str">
        <f>IF(A279="","",IFERROR(VLOOKUP(A279,Scénáře!$A$4:$B$503,2,FALSE()),"ID nenalezeno"))</f>
        <v/>
      </c>
      <c r="C279" s="37" t="str">
        <f>IF(A279="","",IFERROR(VLOOKUP(A279,Scénáře!$A$4:$C$503,3,FALSE())&amp;"",""))</f>
        <v/>
      </c>
      <c r="D279" s="35"/>
      <c r="E279" s="36"/>
      <c r="F279" s="35"/>
      <c r="G279" s="11"/>
      <c r="H279" s="11"/>
    </row>
    <row r="280" spans="1:8" x14ac:dyDescent="0.2">
      <c r="A280" s="35"/>
      <c r="B280" s="39" t="str">
        <f>IF(A280="","",IFERROR(VLOOKUP(A280,Scénáře!$A$4:$B$503,2,FALSE()),"ID nenalezeno"))</f>
        <v/>
      </c>
      <c r="C280" s="37" t="str">
        <f>IF(A280="","",IFERROR(VLOOKUP(A280,Scénáře!$A$4:$C$503,3,FALSE())&amp;"",""))</f>
        <v/>
      </c>
      <c r="D280" s="35"/>
      <c r="E280" s="36"/>
      <c r="F280" s="35"/>
      <c r="G280" s="11"/>
      <c r="H280" s="11"/>
    </row>
    <row r="281" spans="1:8" x14ac:dyDescent="0.2">
      <c r="A281" s="35"/>
      <c r="B281" s="39" t="str">
        <f>IF(A281="","",IFERROR(VLOOKUP(A281,Scénáře!$A$4:$B$503,2,FALSE()),"ID nenalezeno"))</f>
        <v/>
      </c>
      <c r="C281" s="37" t="str">
        <f>IF(A281="","",IFERROR(VLOOKUP(A281,Scénáře!$A$4:$C$503,3,FALSE())&amp;"",""))</f>
        <v/>
      </c>
      <c r="D281" s="35"/>
      <c r="E281" s="36"/>
      <c r="F281" s="35"/>
      <c r="G281" s="11"/>
      <c r="H281" s="11"/>
    </row>
    <row r="282" spans="1:8" x14ac:dyDescent="0.2">
      <c r="A282" s="35"/>
      <c r="B282" s="39" t="str">
        <f>IF(A282="","",IFERROR(VLOOKUP(A282,Scénáře!$A$4:$B$503,2,FALSE()),"ID nenalezeno"))</f>
        <v/>
      </c>
      <c r="C282" s="37" t="str">
        <f>IF(A282="","",IFERROR(VLOOKUP(A282,Scénáře!$A$4:$C$503,3,FALSE())&amp;"",""))</f>
        <v/>
      </c>
      <c r="D282" s="35"/>
      <c r="E282" s="36"/>
      <c r="F282" s="35"/>
      <c r="G282" s="11"/>
      <c r="H282" s="11"/>
    </row>
    <row r="283" spans="1:8" x14ac:dyDescent="0.2">
      <c r="A283" s="35"/>
      <c r="B283" s="39" t="str">
        <f>IF(A283="","",IFERROR(VLOOKUP(A283,Scénáře!$A$4:$B$503,2,FALSE()),"ID nenalezeno"))</f>
        <v/>
      </c>
      <c r="C283" s="37" t="str">
        <f>IF(A283="","",IFERROR(VLOOKUP(A283,Scénáře!$A$4:$C$503,3,FALSE())&amp;"",""))</f>
        <v/>
      </c>
      <c r="D283" s="35"/>
      <c r="E283" s="36"/>
      <c r="F283" s="35"/>
      <c r="G283" s="11"/>
      <c r="H283" s="11"/>
    </row>
    <row r="284" spans="1:8" x14ac:dyDescent="0.2">
      <c r="A284" s="35"/>
      <c r="B284" s="39" t="str">
        <f>IF(A284="","",IFERROR(VLOOKUP(A284,Scénáře!$A$4:$B$503,2,FALSE()),"ID nenalezeno"))</f>
        <v/>
      </c>
      <c r="C284" s="37" t="str">
        <f>IF(A284="","",IFERROR(VLOOKUP(A284,Scénáře!$A$4:$C$503,3,FALSE())&amp;"",""))</f>
        <v/>
      </c>
      <c r="D284" s="35"/>
      <c r="E284" s="36"/>
      <c r="F284" s="35"/>
      <c r="G284" s="11"/>
      <c r="H284" s="11"/>
    </row>
    <row r="285" spans="1:8" x14ac:dyDescent="0.2">
      <c r="A285" s="35"/>
      <c r="B285" s="39" t="str">
        <f>IF(A285="","",IFERROR(VLOOKUP(A285,Scénáře!$A$4:$B$503,2,FALSE()),"ID nenalezeno"))</f>
        <v/>
      </c>
      <c r="C285" s="37" t="str">
        <f>IF(A285="","",IFERROR(VLOOKUP(A285,Scénáře!$A$4:$C$503,3,FALSE())&amp;"",""))</f>
        <v/>
      </c>
      <c r="D285" s="35"/>
      <c r="E285" s="36"/>
      <c r="F285" s="35"/>
      <c r="G285" s="11"/>
      <c r="H285" s="11"/>
    </row>
    <row r="286" spans="1:8" x14ac:dyDescent="0.2">
      <c r="A286" s="35"/>
      <c r="B286" s="39" t="str">
        <f>IF(A286="","",IFERROR(VLOOKUP(A286,Scénáře!$A$4:$B$503,2,FALSE()),"ID nenalezeno"))</f>
        <v/>
      </c>
      <c r="C286" s="37" t="str">
        <f>IF(A286="","",IFERROR(VLOOKUP(A286,Scénáře!$A$4:$C$503,3,FALSE())&amp;"",""))</f>
        <v/>
      </c>
      <c r="D286" s="35"/>
      <c r="E286" s="36"/>
      <c r="F286" s="35"/>
      <c r="G286" s="11"/>
      <c r="H286" s="11"/>
    </row>
    <row r="287" spans="1:8" x14ac:dyDescent="0.2">
      <c r="A287" s="35"/>
      <c r="B287" s="39" t="str">
        <f>IF(A287="","",IFERROR(VLOOKUP(A287,Scénáře!$A$4:$B$503,2,FALSE()),"ID nenalezeno"))</f>
        <v/>
      </c>
      <c r="C287" s="37" t="str">
        <f>IF(A287="","",IFERROR(VLOOKUP(A287,Scénáře!$A$4:$C$503,3,FALSE())&amp;"",""))</f>
        <v/>
      </c>
      <c r="D287" s="35"/>
      <c r="E287" s="36"/>
      <c r="F287" s="35"/>
      <c r="G287" s="11"/>
      <c r="H287" s="11"/>
    </row>
    <row r="288" spans="1:8" x14ac:dyDescent="0.2">
      <c r="A288" s="35"/>
      <c r="B288" s="39" t="str">
        <f>IF(A288="","",IFERROR(VLOOKUP(A288,Scénáře!$A$4:$B$503,2,FALSE()),"ID nenalezeno"))</f>
        <v/>
      </c>
      <c r="C288" s="37" t="str">
        <f>IF(A288="","",IFERROR(VLOOKUP(A288,Scénáře!$A$4:$C$503,3,FALSE())&amp;"",""))</f>
        <v/>
      </c>
      <c r="D288" s="35"/>
      <c r="E288" s="36"/>
      <c r="F288" s="35"/>
      <c r="G288" s="11"/>
      <c r="H288" s="11"/>
    </row>
    <row r="289" spans="1:8" x14ac:dyDescent="0.2">
      <c r="A289" s="35"/>
      <c r="B289" s="39" t="str">
        <f>IF(A289="","",IFERROR(VLOOKUP(A289,Scénáře!$A$4:$B$503,2,FALSE()),"ID nenalezeno"))</f>
        <v/>
      </c>
      <c r="C289" s="37" t="str">
        <f>IF(A289="","",IFERROR(VLOOKUP(A289,Scénáře!$A$4:$C$503,3,FALSE())&amp;"",""))</f>
        <v/>
      </c>
      <c r="D289" s="35"/>
      <c r="E289" s="36"/>
      <c r="F289" s="35"/>
      <c r="G289" s="11"/>
      <c r="H289" s="11"/>
    </row>
    <row r="290" spans="1:8" x14ac:dyDescent="0.2">
      <c r="A290" s="35"/>
      <c r="B290" s="39" t="str">
        <f>IF(A290="","",IFERROR(VLOOKUP(A290,Scénáře!$A$4:$B$503,2,FALSE()),"ID nenalezeno"))</f>
        <v/>
      </c>
      <c r="C290" s="37" t="str">
        <f>IF(A290="","",IFERROR(VLOOKUP(A290,Scénáře!$A$4:$C$503,3,FALSE())&amp;"",""))</f>
        <v/>
      </c>
      <c r="D290" s="35"/>
      <c r="E290" s="36"/>
      <c r="F290" s="35"/>
      <c r="G290" s="11"/>
      <c r="H290" s="11"/>
    </row>
    <row r="291" spans="1:8" x14ac:dyDescent="0.2">
      <c r="A291" s="35"/>
      <c r="B291" s="39" t="str">
        <f>IF(A291="","",IFERROR(VLOOKUP(A291,Scénáře!$A$4:$B$503,2,FALSE()),"ID nenalezeno"))</f>
        <v/>
      </c>
      <c r="C291" s="37" t="str">
        <f>IF(A291="","",IFERROR(VLOOKUP(A291,Scénáře!$A$4:$C$503,3,FALSE())&amp;"",""))</f>
        <v/>
      </c>
      <c r="D291" s="35"/>
      <c r="E291" s="36"/>
      <c r="F291" s="35"/>
      <c r="G291" s="11"/>
      <c r="H291" s="11"/>
    </row>
    <row r="292" spans="1:8" x14ac:dyDescent="0.2">
      <c r="A292" s="35"/>
      <c r="B292" s="39" t="str">
        <f>IF(A292="","",IFERROR(VLOOKUP(A292,Scénáře!$A$4:$B$503,2,FALSE()),"ID nenalezeno"))</f>
        <v/>
      </c>
      <c r="C292" s="37" t="str">
        <f>IF(A292="","",IFERROR(VLOOKUP(A292,Scénáře!$A$4:$C$503,3,FALSE())&amp;"",""))</f>
        <v/>
      </c>
      <c r="D292" s="35"/>
      <c r="E292" s="36"/>
      <c r="F292" s="35"/>
      <c r="G292" s="11"/>
      <c r="H292" s="11"/>
    </row>
    <row r="293" spans="1:8" x14ac:dyDescent="0.2">
      <c r="A293" s="35"/>
      <c r="B293" s="39" t="str">
        <f>IF(A293="","",IFERROR(VLOOKUP(A293,Scénáře!$A$4:$B$503,2,FALSE()),"ID nenalezeno"))</f>
        <v/>
      </c>
      <c r="C293" s="37" t="str">
        <f>IF(A293="","",IFERROR(VLOOKUP(A293,Scénáře!$A$4:$C$503,3,FALSE())&amp;"",""))</f>
        <v/>
      </c>
      <c r="D293" s="35"/>
      <c r="E293" s="36"/>
      <c r="F293" s="35"/>
      <c r="G293" s="11"/>
      <c r="H293" s="11"/>
    </row>
    <row r="294" spans="1:8" x14ac:dyDescent="0.2">
      <c r="A294" s="35"/>
      <c r="B294" s="39" t="str">
        <f>IF(A294="","",IFERROR(VLOOKUP(A294,Scénáře!$A$4:$B$503,2,FALSE()),"ID nenalezeno"))</f>
        <v/>
      </c>
      <c r="C294" s="37" t="str">
        <f>IF(A294="","",IFERROR(VLOOKUP(A294,Scénáře!$A$4:$C$503,3,FALSE())&amp;"",""))</f>
        <v/>
      </c>
      <c r="D294" s="35"/>
      <c r="E294" s="36"/>
      <c r="F294" s="35"/>
      <c r="G294" s="11"/>
      <c r="H294" s="11"/>
    </row>
    <row r="295" spans="1:8" x14ac:dyDescent="0.2">
      <c r="A295" s="35"/>
      <c r="B295" s="39" t="str">
        <f>IF(A295="","",IFERROR(VLOOKUP(A295,Scénáře!$A$4:$B$503,2,FALSE()),"ID nenalezeno"))</f>
        <v/>
      </c>
      <c r="C295" s="37" t="str">
        <f>IF(A295="","",IFERROR(VLOOKUP(A295,Scénáře!$A$4:$C$503,3,FALSE())&amp;"",""))</f>
        <v/>
      </c>
      <c r="D295" s="35"/>
      <c r="E295" s="36"/>
      <c r="F295" s="35"/>
      <c r="G295" s="11"/>
      <c r="H295" s="11"/>
    </row>
    <row r="296" spans="1:8" x14ac:dyDescent="0.2">
      <c r="A296" s="35"/>
      <c r="B296" s="39" t="str">
        <f>IF(A296="","",IFERROR(VLOOKUP(A296,Scénáře!$A$4:$B$503,2,FALSE()),"ID nenalezeno"))</f>
        <v/>
      </c>
      <c r="C296" s="37" t="str">
        <f>IF(A296="","",IFERROR(VLOOKUP(A296,Scénáře!$A$4:$C$503,3,FALSE())&amp;"",""))</f>
        <v/>
      </c>
      <c r="D296" s="35"/>
      <c r="E296" s="36"/>
      <c r="F296" s="35"/>
      <c r="G296" s="11"/>
      <c r="H296" s="11"/>
    </row>
    <row r="297" spans="1:8" x14ac:dyDescent="0.2">
      <c r="A297" s="35"/>
      <c r="B297" s="39" t="str">
        <f>IF(A297="","",IFERROR(VLOOKUP(A297,Scénáře!$A$4:$B$503,2,FALSE()),"ID nenalezeno"))</f>
        <v/>
      </c>
      <c r="C297" s="37" t="str">
        <f>IF(A297="","",IFERROR(VLOOKUP(A297,Scénáře!$A$4:$C$503,3,FALSE())&amp;"",""))</f>
        <v/>
      </c>
      <c r="D297" s="35"/>
      <c r="E297" s="36"/>
      <c r="F297" s="35"/>
      <c r="G297" s="11"/>
      <c r="H297" s="11"/>
    </row>
    <row r="298" spans="1:8" x14ac:dyDescent="0.2">
      <c r="A298" s="35"/>
      <c r="B298" s="39" t="str">
        <f>IF(A298="","",IFERROR(VLOOKUP(A298,Scénáře!$A$4:$B$503,2,FALSE()),"ID nenalezeno"))</f>
        <v/>
      </c>
      <c r="C298" s="37" t="str">
        <f>IF(A298="","",IFERROR(VLOOKUP(A298,Scénáře!$A$4:$C$503,3,FALSE())&amp;"",""))</f>
        <v/>
      </c>
      <c r="D298" s="35"/>
      <c r="E298" s="36"/>
      <c r="F298" s="35"/>
      <c r="G298" s="11"/>
      <c r="H298" s="11"/>
    </row>
    <row r="299" spans="1:8" x14ac:dyDescent="0.2">
      <c r="A299" s="35"/>
      <c r="B299" s="39" t="str">
        <f>IF(A299="","",IFERROR(VLOOKUP(A299,Scénáře!$A$4:$B$503,2,FALSE()),"ID nenalezeno"))</f>
        <v/>
      </c>
      <c r="C299" s="37" t="str">
        <f>IF(A299="","",IFERROR(VLOOKUP(A299,Scénáře!$A$4:$C$503,3,FALSE())&amp;"",""))</f>
        <v/>
      </c>
      <c r="D299" s="35"/>
      <c r="E299" s="36"/>
      <c r="F299" s="35"/>
      <c r="G299" s="11"/>
      <c r="H299" s="11"/>
    </row>
    <row r="300" spans="1:8" x14ac:dyDescent="0.2">
      <c r="A300" s="35"/>
      <c r="B300" s="39" t="str">
        <f>IF(A300="","",IFERROR(VLOOKUP(A300,Scénáře!$A$4:$B$503,2,FALSE()),"ID nenalezeno"))</f>
        <v/>
      </c>
      <c r="C300" s="37" t="str">
        <f>IF(A300="","",IFERROR(VLOOKUP(A300,Scénáře!$A$4:$C$503,3,FALSE())&amp;"",""))</f>
        <v/>
      </c>
      <c r="D300" s="35"/>
      <c r="E300" s="36"/>
      <c r="F300" s="35"/>
      <c r="G300" s="11"/>
      <c r="H300" s="11"/>
    </row>
    <row r="301" spans="1:8" x14ac:dyDescent="0.2">
      <c r="A301" s="35"/>
      <c r="B301" s="39" t="str">
        <f>IF(A301="","",IFERROR(VLOOKUP(A301,Scénáře!$A$4:$B$503,2,FALSE()),"ID nenalezeno"))</f>
        <v/>
      </c>
      <c r="C301" s="37" t="str">
        <f>IF(A301="","",IFERROR(VLOOKUP(A301,Scénáře!$A$4:$C$503,3,FALSE())&amp;"",""))</f>
        <v/>
      </c>
      <c r="D301" s="35"/>
      <c r="E301" s="36"/>
      <c r="F301" s="35"/>
      <c r="G301" s="11"/>
      <c r="H301" s="11"/>
    </row>
    <row r="302" spans="1:8" x14ac:dyDescent="0.2">
      <c r="A302" s="35"/>
      <c r="B302" s="39" t="str">
        <f>IF(A302="","",IFERROR(VLOOKUP(A302,Scénáře!$A$4:$B$503,2,FALSE()),"ID nenalezeno"))</f>
        <v/>
      </c>
      <c r="C302" s="37" t="str">
        <f>IF(A302="","",IFERROR(VLOOKUP(A302,Scénáře!$A$4:$C$503,3,FALSE())&amp;"",""))</f>
        <v/>
      </c>
      <c r="D302" s="35"/>
      <c r="E302" s="36"/>
      <c r="F302" s="35"/>
      <c r="G302" s="11"/>
      <c r="H302" s="11"/>
    </row>
    <row r="303" spans="1:8" x14ac:dyDescent="0.2">
      <c r="A303" s="35"/>
      <c r="B303" s="39" t="str">
        <f>IF(A303="","",IFERROR(VLOOKUP(A303,Scénáře!$A$4:$B$503,2,FALSE()),"ID nenalezeno"))</f>
        <v/>
      </c>
      <c r="C303" s="37" t="str">
        <f>IF(A303="","",IFERROR(VLOOKUP(A303,Scénáře!$A$4:$C$503,3,FALSE())&amp;"",""))</f>
        <v/>
      </c>
      <c r="D303" s="35"/>
      <c r="E303" s="36"/>
      <c r="F303" s="35"/>
      <c r="G303" s="11"/>
      <c r="H303" s="11"/>
    </row>
    <row r="304" spans="1:8" x14ac:dyDescent="0.2">
      <c r="A304" s="35"/>
      <c r="B304" s="39" t="str">
        <f>IF(A304="","",IFERROR(VLOOKUP(A304,Scénáře!$A$4:$B$503,2,FALSE()),"ID nenalezeno"))</f>
        <v/>
      </c>
      <c r="C304" s="37" t="str">
        <f>IF(A304="","",IFERROR(VLOOKUP(A304,Scénáře!$A$4:$C$503,3,FALSE())&amp;"",""))</f>
        <v/>
      </c>
      <c r="D304" s="35"/>
      <c r="E304" s="36"/>
      <c r="F304" s="35"/>
      <c r="G304" s="11"/>
      <c r="H304" s="11"/>
    </row>
    <row r="305" spans="1:8" x14ac:dyDescent="0.2">
      <c r="A305" s="35"/>
      <c r="B305" s="39" t="str">
        <f>IF(A305="","",IFERROR(VLOOKUP(A305,Scénáře!$A$4:$B$503,2,FALSE()),"ID nenalezeno"))</f>
        <v/>
      </c>
      <c r="C305" s="37" t="str">
        <f>IF(A305="","",IFERROR(VLOOKUP(A305,Scénáře!$A$4:$C$503,3,FALSE())&amp;"",""))</f>
        <v/>
      </c>
      <c r="D305" s="35"/>
      <c r="E305" s="36"/>
      <c r="F305" s="35"/>
      <c r="G305" s="11"/>
      <c r="H305" s="11"/>
    </row>
    <row r="306" spans="1:8" x14ac:dyDescent="0.2">
      <c r="A306" s="35"/>
      <c r="B306" s="39" t="str">
        <f>IF(A306="","",IFERROR(VLOOKUP(A306,Scénáře!$A$4:$B$503,2,FALSE()),"ID nenalezeno"))</f>
        <v/>
      </c>
      <c r="C306" s="37" t="str">
        <f>IF(A306="","",IFERROR(VLOOKUP(A306,Scénáře!$A$4:$C$503,3,FALSE())&amp;"",""))</f>
        <v/>
      </c>
      <c r="D306" s="35"/>
      <c r="E306" s="36"/>
      <c r="F306" s="35"/>
      <c r="G306" s="11"/>
      <c r="H306" s="11"/>
    </row>
    <row r="307" spans="1:8" x14ac:dyDescent="0.2">
      <c r="A307" s="35"/>
      <c r="B307" s="39" t="str">
        <f>IF(A307="","",IFERROR(VLOOKUP(A307,Scénáře!$A$4:$B$503,2,FALSE()),"ID nenalezeno"))</f>
        <v/>
      </c>
      <c r="C307" s="37" t="str">
        <f>IF(A307="","",IFERROR(VLOOKUP(A307,Scénáře!$A$4:$C$503,3,FALSE())&amp;"",""))</f>
        <v/>
      </c>
      <c r="D307" s="35"/>
      <c r="E307" s="36"/>
      <c r="F307" s="35"/>
      <c r="G307" s="11"/>
      <c r="H307" s="11"/>
    </row>
    <row r="308" spans="1:8" x14ac:dyDescent="0.2">
      <c r="A308" s="35"/>
      <c r="B308" s="39" t="str">
        <f>IF(A308="","",IFERROR(VLOOKUP(A308,Scénáře!$A$4:$B$503,2,FALSE()),"ID nenalezeno"))</f>
        <v/>
      </c>
      <c r="C308" s="37" t="str">
        <f>IF(A308="","",IFERROR(VLOOKUP(A308,Scénáře!$A$4:$C$503,3,FALSE())&amp;"",""))</f>
        <v/>
      </c>
      <c r="D308" s="35"/>
      <c r="E308" s="36"/>
      <c r="F308" s="35"/>
      <c r="G308" s="11"/>
      <c r="H308" s="11"/>
    </row>
    <row r="309" spans="1:8" x14ac:dyDescent="0.2">
      <c r="A309" s="35"/>
      <c r="B309" s="39" t="str">
        <f>IF(A309="","",IFERROR(VLOOKUP(A309,Scénáře!$A$4:$B$503,2,FALSE()),"ID nenalezeno"))</f>
        <v/>
      </c>
      <c r="C309" s="37" t="str">
        <f>IF(A309="","",IFERROR(VLOOKUP(A309,Scénáře!$A$4:$C$503,3,FALSE())&amp;"",""))</f>
        <v/>
      </c>
      <c r="D309" s="35"/>
      <c r="E309" s="36"/>
      <c r="F309" s="35"/>
      <c r="G309" s="11"/>
      <c r="H309" s="11"/>
    </row>
    <row r="310" spans="1:8" x14ac:dyDescent="0.2">
      <c r="A310" s="35"/>
      <c r="B310" s="39" t="str">
        <f>IF(A310="","",IFERROR(VLOOKUP(A310,Scénáře!$A$4:$B$503,2,FALSE()),"ID nenalezeno"))</f>
        <v/>
      </c>
      <c r="C310" s="37" t="str">
        <f>IF(A310="","",IFERROR(VLOOKUP(A310,Scénáře!$A$4:$C$503,3,FALSE())&amp;"",""))</f>
        <v/>
      </c>
      <c r="D310" s="35"/>
      <c r="E310" s="36"/>
      <c r="F310" s="35"/>
      <c r="G310" s="11"/>
      <c r="H310" s="11"/>
    </row>
    <row r="311" spans="1:8" x14ac:dyDescent="0.2">
      <c r="A311" s="35"/>
      <c r="B311" s="39" t="str">
        <f>IF(A311="","",IFERROR(VLOOKUP(A311,Scénáře!$A$4:$B$503,2,FALSE()),"ID nenalezeno"))</f>
        <v/>
      </c>
      <c r="C311" s="37" t="str">
        <f>IF(A311="","",IFERROR(VLOOKUP(A311,Scénáře!$A$4:$C$503,3,FALSE())&amp;"",""))</f>
        <v/>
      </c>
      <c r="D311" s="35"/>
      <c r="E311" s="36"/>
      <c r="F311" s="35"/>
      <c r="G311" s="11"/>
      <c r="H311" s="11"/>
    </row>
    <row r="312" spans="1:8" x14ac:dyDescent="0.2">
      <c r="A312" s="35"/>
      <c r="B312" s="39" t="str">
        <f>IF(A312="","",IFERROR(VLOOKUP(A312,Scénáře!$A$4:$B$503,2,FALSE()),"ID nenalezeno"))</f>
        <v/>
      </c>
      <c r="C312" s="37" t="str">
        <f>IF(A312="","",IFERROR(VLOOKUP(A312,Scénáře!$A$4:$C$503,3,FALSE())&amp;"",""))</f>
        <v/>
      </c>
      <c r="D312" s="35"/>
      <c r="E312" s="36"/>
      <c r="F312" s="35"/>
      <c r="G312" s="11"/>
      <c r="H312" s="11"/>
    </row>
    <row r="313" spans="1:8" x14ac:dyDescent="0.2">
      <c r="A313" s="35"/>
      <c r="B313" s="39" t="str">
        <f>IF(A313="","",IFERROR(VLOOKUP(A313,Scénáře!$A$4:$B$503,2,FALSE()),"ID nenalezeno"))</f>
        <v/>
      </c>
      <c r="C313" s="37" t="str">
        <f>IF(A313="","",IFERROR(VLOOKUP(A313,Scénáře!$A$4:$C$503,3,FALSE())&amp;"",""))</f>
        <v/>
      </c>
      <c r="D313" s="35"/>
      <c r="E313" s="36"/>
      <c r="F313" s="35"/>
      <c r="G313" s="11"/>
      <c r="H313" s="11"/>
    </row>
    <row r="314" spans="1:8" x14ac:dyDescent="0.2">
      <c r="A314" s="35"/>
      <c r="B314" s="39" t="str">
        <f>IF(A314="","",IFERROR(VLOOKUP(A314,Scénáře!$A$4:$B$503,2,FALSE()),"ID nenalezeno"))</f>
        <v/>
      </c>
      <c r="C314" s="37" t="str">
        <f>IF(A314="","",IFERROR(VLOOKUP(A314,Scénáře!$A$4:$C$503,3,FALSE())&amp;"",""))</f>
        <v/>
      </c>
      <c r="D314" s="35"/>
      <c r="E314" s="36"/>
      <c r="F314" s="35"/>
      <c r="G314" s="11"/>
      <c r="H314" s="11"/>
    </row>
    <row r="315" spans="1:8" x14ac:dyDescent="0.2">
      <c r="A315" s="35"/>
      <c r="B315" s="39" t="str">
        <f>IF(A315="","",IFERROR(VLOOKUP(A315,Scénáře!$A$4:$B$503,2,FALSE()),"ID nenalezeno"))</f>
        <v/>
      </c>
      <c r="C315" s="37" t="str">
        <f>IF(A315="","",IFERROR(VLOOKUP(A315,Scénáře!$A$4:$C$503,3,FALSE())&amp;"",""))</f>
        <v/>
      </c>
      <c r="D315" s="35"/>
      <c r="E315" s="36"/>
      <c r="F315" s="35"/>
      <c r="G315" s="11"/>
      <c r="H315" s="11"/>
    </row>
    <row r="316" spans="1:8" x14ac:dyDescent="0.2">
      <c r="A316" s="35"/>
      <c r="B316" s="39" t="str">
        <f>IF(A316="","",IFERROR(VLOOKUP(A316,Scénáře!$A$4:$B$503,2,FALSE()),"ID nenalezeno"))</f>
        <v/>
      </c>
      <c r="C316" s="37" t="str">
        <f>IF(A316="","",IFERROR(VLOOKUP(A316,Scénáře!$A$4:$C$503,3,FALSE())&amp;"",""))</f>
        <v/>
      </c>
      <c r="D316" s="35"/>
      <c r="E316" s="36"/>
      <c r="F316" s="35"/>
      <c r="G316" s="11"/>
      <c r="H316" s="11"/>
    </row>
    <row r="317" spans="1:8" x14ac:dyDescent="0.2">
      <c r="A317" s="35"/>
      <c r="B317" s="39" t="str">
        <f>IF(A317="","",IFERROR(VLOOKUP(A317,Scénáře!$A$4:$B$503,2,FALSE()),"ID nenalezeno"))</f>
        <v/>
      </c>
      <c r="C317" s="37" t="str">
        <f>IF(A317="","",IFERROR(VLOOKUP(A317,Scénáře!$A$4:$C$503,3,FALSE())&amp;"",""))</f>
        <v/>
      </c>
      <c r="D317" s="35"/>
      <c r="E317" s="36"/>
      <c r="F317" s="35"/>
      <c r="G317" s="11"/>
      <c r="H317" s="11"/>
    </row>
    <row r="318" spans="1:8" x14ac:dyDescent="0.2">
      <c r="A318" s="35"/>
      <c r="B318" s="39" t="str">
        <f>IF(A318="","",IFERROR(VLOOKUP(A318,Scénáře!$A$4:$B$503,2,FALSE()),"ID nenalezeno"))</f>
        <v/>
      </c>
      <c r="C318" s="37" t="str">
        <f>IF(A318="","",IFERROR(VLOOKUP(A318,Scénáře!$A$4:$C$503,3,FALSE())&amp;"",""))</f>
        <v/>
      </c>
      <c r="D318" s="35"/>
      <c r="E318" s="36"/>
      <c r="F318" s="35"/>
      <c r="G318" s="11"/>
      <c r="H318" s="11"/>
    </row>
    <row r="319" spans="1:8" x14ac:dyDescent="0.2">
      <c r="A319" s="35"/>
      <c r="B319" s="39" t="str">
        <f>IF(A319="","",IFERROR(VLOOKUP(A319,Scénáře!$A$4:$B$503,2,FALSE()),"ID nenalezeno"))</f>
        <v/>
      </c>
      <c r="C319" s="37" t="str">
        <f>IF(A319="","",IFERROR(VLOOKUP(A319,Scénáře!$A$4:$C$503,3,FALSE())&amp;"",""))</f>
        <v/>
      </c>
      <c r="D319" s="35"/>
      <c r="E319" s="36"/>
      <c r="F319" s="35"/>
      <c r="G319" s="11"/>
      <c r="H319" s="11"/>
    </row>
    <row r="320" spans="1:8" x14ac:dyDescent="0.2">
      <c r="A320" s="35"/>
      <c r="B320" s="39" t="str">
        <f>IF(A320="","",IFERROR(VLOOKUP(A320,Scénáře!$A$4:$B$503,2,FALSE()),"ID nenalezeno"))</f>
        <v/>
      </c>
      <c r="C320" s="37" t="str">
        <f>IF(A320="","",IFERROR(VLOOKUP(A320,Scénáře!$A$4:$C$503,3,FALSE())&amp;"",""))</f>
        <v/>
      </c>
      <c r="D320" s="35"/>
      <c r="E320" s="36"/>
      <c r="F320" s="35"/>
      <c r="G320" s="11"/>
      <c r="H320" s="11"/>
    </row>
    <row r="321" spans="1:8" x14ac:dyDescent="0.2">
      <c r="A321" s="35"/>
      <c r="B321" s="39" t="str">
        <f>IF(A321="","",IFERROR(VLOOKUP(A321,Scénáře!$A$4:$B$503,2,FALSE()),"ID nenalezeno"))</f>
        <v/>
      </c>
      <c r="C321" s="37" t="str">
        <f>IF(A321="","",IFERROR(VLOOKUP(A321,Scénáře!$A$4:$C$503,3,FALSE())&amp;"",""))</f>
        <v/>
      </c>
      <c r="D321" s="35"/>
      <c r="E321" s="36"/>
      <c r="F321" s="35"/>
      <c r="G321" s="11"/>
      <c r="H321" s="11"/>
    </row>
    <row r="322" spans="1:8" x14ac:dyDescent="0.2">
      <c r="A322" s="35"/>
      <c r="B322" s="39" t="str">
        <f>IF(A322="","",IFERROR(VLOOKUP(A322,Scénáře!$A$4:$B$503,2,FALSE()),"ID nenalezeno"))</f>
        <v/>
      </c>
      <c r="C322" s="37" t="str">
        <f>IF(A322="","",IFERROR(VLOOKUP(A322,Scénáře!$A$4:$C$503,3,FALSE())&amp;"",""))</f>
        <v/>
      </c>
      <c r="D322" s="35"/>
      <c r="E322" s="36"/>
      <c r="F322" s="35"/>
      <c r="G322" s="11"/>
      <c r="H322" s="11"/>
    </row>
    <row r="323" spans="1:8" x14ac:dyDescent="0.2">
      <c r="A323" s="35"/>
      <c r="B323" s="39" t="str">
        <f>IF(A323="","",IFERROR(VLOOKUP(A323,Scénáře!$A$4:$B$503,2,FALSE()),"ID nenalezeno"))</f>
        <v/>
      </c>
      <c r="C323" s="37" t="str">
        <f>IF(A323="","",IFERROR(VLOOKUP(A323,Scénáře!$A$4:$C$503,3,FALSE())&amp;"",""))</f>
        <v/>
      </c>
      <c r="D323" s="35"/>
      <c r="E323" s="36"/>
      <c r="F323" s="35"/>
      <c r="G323" s="11"/>
      <c r="H323" s="11"/>
    </row>
    <row r="324" spans="1:8" x14ac:dyDescent="0.2">
      <c r="A324" s="35"/>
      <c r="B324" s="39" t="str">
        <f>IF(A324="","",IFERROR(VLOOKUP(A324,Scénáře!$A$4:$B$503,2,FALSE()),"ID nenalezeno"))</f>
        <v/>
      </c>
      <c r="C324" s="37" t="str">
        <f>IF(A324="","",IFERROR(VLOOKUP(A324,Scénáře!$A$4:$C$503,3,FALSE())&amp;"",""))</f>
        <v/>
      </c>
      <c r="D324" s="35"/>
      <c r="E324" s="36"/>
      <c r="F324" s="35"/>
      <c r="G324" s="11"/>
      <c r="H324" s="11"/>
    </row>
    <row r="325" spans="1:8" x14ac:dyDescent="0.2">
      <c r="A325" s="35"/>
      <c r="B325" s="39" t="str">
        <f>IF(A325="","",IFERROR(VLOOKUP(A325,Scénáře!$A$4:$B$503,2,FALSE()),"ID nenalezeno"))</f>
        <v/>
      </c>
      <c r="C325" s="37" t="str">
        <f>IF(A325="","",IFERROR(VLOOKUP(A325,Scénáře!$A$4:$C$503,3,FALSE())&amp;"",""))</f>
        <v/>
      </c>
      <c r="D325" s="35"/>
      <c r="E325" s="36"/>
      <c r="F325" s="35"/>
      <c r="G325" s="11"/>
      <c r="H325" s="11"/>
    </row>
    <row r="326" spans="1:8" x14ac:dyDescent="0.2">
      <c r="A326" s="35"/>
      <c r="B326" s="39" t="str">
        <f>IF(A326="","",IFERROR(VLOOKUP(A326,Scénáře!$A$4:$B$503,2,FALSE()),"ID nenalezeno"))</f>
        <v/>
      </c>
      <c r="C326" s="37" t="str">
        <f>IF(A326="","",IFERROR(VLOOKUP(A326,Scénáře!$A$4:$C$503,3,FALSE())&amp;"",""))</f>
        <v/>
      </c>
      <c r="D326" s="35"/>
      <c r="E326" s="36"/>
      <c r="F326" s="35"/>
      <c r="G326" s="11"/>
      <c r="H326" s="11"/>
    </row>
    <row r="327" spans="1:8" x14ac:dyDescent="0.2">
      <c r="A327" s="35"/>
      <c r="B327" s="39" t="str">
        <f>IF(A327="","",IFERROR(VLOOKUP(A327,Scénáře!$A$4:$B$503,2,FALSE()),"ID nenalezeno"))</f>
        <v/>
      </c>
      <c r="C327" s="37" t="str">
        <f>IF(A327="","",IFERROR(VLOOKUP(A327,Scénáře!$A$4:$C$503,3,FALSE())&amp;"",""))</f>
        <v/>
      </c>
      <c r="D327" s="35"/>
      <c r="E327" s="36"/>
      <c r="F327" s="35"/>
      <c r="G327" s="11"/>
      <c r="H327" s="11"/>
    </row>
    <row r="328" spans="1:8" x14ac:dyDescent="0.2">
      <c r="A328" s="35"/>
      <c r="B328" s="39" t="str">
        <f>IF(A328="","",IFERROR(VLOOKUP(A328,Scénáře!$A$4:$B$503,2,FALSE()),"ID nenalezeno"))</f>
        <v/>
      </c>
      <c r="C328" s="37" t="str">
        <f>IF(A328="","",IFERROR(VLOOKUP(A328,Scénáře!$A$4:$C$503,3,FALSE())&amp;"",""))</f>
        <v/>
      </c>
      <c r="D328" s="35"/>
      <c r="E328" s="36"/>
      <c r="F328" s="35"/>
      <c r="G328" s="11"/>
      <c r="H328" s="11"/>
    </row>
    <row r="329" spans="1:8" x14ac:dyDescent="0.2">
      <c r="A329" s="35"/>
      <c r="B329" s="39" t="str">
        <f>IF(A329="","",IFERROR(VLOOKUP(A329,Scénáře!$A$4:$B$503,2,FALSE()),"ID nenalezeno"))</f>
        <v/>
      </c>
      <c r="C329" s="37" t="str">
        <f>IF(A329="","",IFERROR(VLOOKUP(A329,Scénáře!$A$4:$C$503,3,FALSE())&amp;"",""))</f>
        <v/>
      </c>
      <c r="D329" s="35"/>
      <c r="E329" s="36"/>
      <c r="F329" s="35"/>
      <c r="G329" s="11"/>
      <c r="H329" s="11"/>
    </row>
    <row r="330" spans="1:8" x14ac:dyDescent="0.2">
      <c r="A330" s="35"/>
      <c r="B330" s="39" t="str">
        <f>IF(A330="","",IFERROR(VLOOKUP(A330,Scénáře!$A$4:$B$503,2,FALSE()),"ID nenalezeno"))</f>
        <v/>
      </c>
      <c r="C330" s="37" t="str">
        <f>IF(A330="","",IFERROR(VLOOKUP(A330,Scénáře!$A$4:$C$503,3,FALSE())&amp;"",""))</f>
        <v/>
      </c>
      <c r="D330" s="35"/>
      <c r="E330" s="36"/>
      <c r="F330" s="35"/>
      <c r="G330" s="11"/>
      <c r="H330" s="11"/>
    </row>
    <row r="331" spans="1:8" x14ac:dyDescent="0.2">
      <c r="A331" s="35"/>
      <c r="B331" s="39" t="str">
        <f>IF(A331="","",IFERROR(VLOOKUP(A331,Scénáře!$A$4:$B$503,2,FALSE()),"ID nenalezeno"))</f>
        <v/>
      </c>
      <c r="C331" s="37" t="str">
        <f>IF(A331="","",IFERROR(VLOOKUP(A331,Scénáře!$A$4:$C$503,3,FALSE())&amp;"",""))</f>
        <v/>
      </c>
      <c r="D331" s="35"/>
      <c r="E331" s="36"/>
      <c r="F331" s="35"/>
      <c r="G331" s="11"/>
      <c r="H331" s="11"/>
    </row>
    <row r="332" spans="1:8" x14ac:dyDescent="0.2">
      <c r="A332" s="35"/>
      <c r="B332" s="39" t="str">
        <f>IF(A332="","",IFERROR(VLOOKUP(A332,Scénáře!$A$4:$B$503,2,FALSE()),"ID nenalezeno"))</f>
        <v/>
      </c>
      <c r="C332" s="37" t="str">
        <f>IF(A332="","",IFERROR(VLOOKUP(A332,Scénáře!$A$4:$C$503,3,FALSE())&amp;"",""))</f>
        <v/>
      </c>
      <c r="D332" s="35"/>
      <c r="E332" s="36"/>
      <c r="F332" s="35"/>
      <c r="G332" s="11"/>
      <c r="H332" s="11"/>
    </row>
    <row r="333" spans="1:8" x14ac:dyDescent="0.2">
      <c r="A333" s="35"/>
      <c r="B333" s="39" t="str">
        <f>IF(A333="","",IFERROR(VLOOKUP(A333,Scénáře!$A$4:$B$503,2,FALSE()),"ID nenalezeno"))</f>
        <v/>
      </c>
      <c r="C333" s="37" t="str">
        <f>IF(A333="","",IFERROR(VLOOKUP(A333,Scénáře!$A$4:$C$503,3,FALSE())&amp;"",""))</f>
        <v/>
      </c>
      <c r="D333" s="35"/>
      <c r="E333" s="36"/>
      <c r="F333" s="35"/>
      <c r="G333" s="11"/>
      <c r="H333" s="11"/>
    </row>
    <row r="334" spans="1:8" x14ac:dyDescent="0.2">
      <c r="A334" s="35"/>
      <c r="B334" s="39" t="str">
        <f>IF(A334="","",IFERROR(VLOOKUP(A334,Scénáře!$A$4:$B$503,2,FALSE()),"ID nenalezeno"))</f>
        <v/>
      </c>
      <c r="C334" s="37" t="str">
        <f>IF(A334="","",IFERROR(VLOOKUP(A334,Scénáře!$A$4:$C$503,3,FALSE())&amp;"",""))</f>
        <v/>
      </c>
      <c r="D334" s="35"/>
      <c r="E334" s="36"/>
      <c r="F334" s="35"/>
      <c r="G334" s="11"/>
      <c r="H334" s="11"/>
    </row>
    <row r="335" spans="1:8" x14ac:dyDescent="0.2">
      <c r="A335" s="35"/>
      <c r="B335" s="39" t="str">
        <f>IF(A335="","",IFERROR(VLOOKUP(A335,Scénáře!$A$4:$B$503,2,FALSE()),"ID nenalezeno"))</f>
        <v/>
      </c>
      <c r="C335" s="37" t="str">
        <f>IF(A335="","",IFERROR(VLOOKUP(A335,Scénáře!$A$4:$C$503,3,FALSE())&amp;"",""))</f>
        <v/>
      </c>
      <c r="D335" s="35"/>
      <c r="E335" s="36"/>
      <c r="F335" s="35"/>
      <c r="G335" s="11"/>
      <c r="H335" s="11"/>
    </row>
    <row r="336" spans="1:8" x14ac:dyDescent="0.2">
      <c r="A336" s="35"/>
      <c r="B336" s="39" t="str">
        <f>IF(A336="","",IFERROR(VLOOKUP(A336,Scénáře!$A$4:$B$503,2,FALSE()),"ID nenalezeno"))</f>
        <v/>
      </c>
      <c r="C336" s="37" t="str">
        <f>IF(A336="","",IFERROR(VLOOKUP(A336,Scénáře!$A$4:$C$503,3,FALSE())&amp;"",""))</f>
        <v/>
      </c>
      <c r="D336" s="35"/>
      <c r="E336" s="36"/>
      <c r="F336" s="35"/>
      <c r="G336" s="11"/>
      <c r="H336" s="11"/>
    </row>
    <row r="337" spans="1:8" x14ac:dyDescent="0.2">
      <c r="A337" s="35"/>
      <c r="B337" s="39" t="str">
        <f>IF(A337="","",IFERROR(VLOOKUP(A337,Scénáře!$A$4:$B$503,2,FALSE()),"ID nenalezeno"))</f>
        <v/>
      </c>
      <c r="C337" s="37" t="str">
        <f>IF(A337="","",IFERROR(VLOOKUP(A337,Scénáře!$A$4:$C$503,3,FALSE())&amp;"",""))</f>
        <v/>
      </c>
      <c r="D337" s="35"/>
      <c r="E337" s="36"/>
      <c r="F337" s="35"/>
      <c r="G337" s="11"/>
      <c r="H337" s="11"/>
    </row>
    <row r="338" spans="1:8" x14ac:dyDescent="0.2">
      <c r="A338" s="35"/>
      <c r="B338" s="39" t="str">
        <f>IF(A338="","",IFERROR(VLOOKUP(A338,Scénáře!$A$4:$B$503,2,FALSE()),"ID nenalezeno"))</f>
        <v/>
      </c>
      <c r="C338" s="37" t="str">
        <f>IF(A338="","",IFERROR(VLOOKUP(A338,Scénáře!$A$4:$C$503,3,FALSE())&amp;"",""))</f>
        <v/>
      </c>
      <c r="D338" s="35"/>
      <c r="E338" s="36"/>
      <c r="F338" s="35"/>
      <c r="G338" s="11"/>
      <c r="H338" s="11"/>
    </row>
    <row r="339" spans="1:8" x14ac:dyDescent="0.2">
      <c r="A339" s="35"/>
      <c r="B339" s="39" t="str">
        <f>IF(A339="","",IFERROR(VLOOKUP(A339,Scénáře!$A$4:$B$503,2,FALSE()),"ID nenalezeno"))</f>
        <v/>
      </c>
      <c r="C339" s="37" t="str">
        <f>IF(A339="","",IFERROR(VLOOKUP(A339,Scénáře!$A$4:$C$503,3,FALSE())&amp;"",""))</f>
        <v/>
      </c>
      <c r="D339" s="35"/>
      <c r="E339" s="36"/>
      <c r="F339" s="35"/>
      <c r="G339" s="11"/>
      <c r="H339" s="11"/>
    </row>
    <row r="340" spans="1:8" x14ac:dyDescent="0.2">
      <c r="A340" s="35"/>
      <c r="B340" s="39" t="str">
        <f>IF(A340="","",IFERROR(VLOOKUP(A340,Scénáře!$A$4:$B$503,2,FALSE()),"ID nenalezeno"))</f>
        <v/>
      </c>
      <c r="C340" s="37" t="str">
        <f>IF(A340="","",IFERROR(VLOOKUP(A340,Scénáře!$A$4:$C$503,3,FALSE())&amp;"",""))</f>
        <v/>
      </c>
      <c r="D340" s="35"/>
      <c r="E340" s="36"/>
      <c r="F340" s="35"/>
      <c r="G340" s="11"/>
      <c r="H340" s="11"/>
    </row>
    <row r="341" spans="1:8" x14ac:dyDescent="0.2">
      <c r="A341" s="35"/>
      <c r="B341" s="39" t="str">
        <f>IF(A341="","",IFERROR(VLOOKUP(A341,Scénáře!$A$4:$B$503,2,FALSE()),"ID nenalezeno"))</f>
        <v/>
      </c>
      <c r="C341" s="37" t="str">
        <f>IF(A341="","",IFERROR(VLOOKUP(A341,Scénáře!$A$4:$C$503,3,FALSE())&amp;"",""))</f>
        <v/>
      </c>
      <c r="D341" s="35"/>
      <c r="E341" s="36"/>
      <c r="F341" s="35"/>
      <c r="G341" s="11"/>
      <c r="H341" s="11"/>
    </row>
    <row r="342" spans="1:8" x14ac:dyDescent="0.2">
      <c r="A342" s="35"/>
      <c r="B342" s="39" t="str">
        <f>IF(A342="","",IFERROR(VLOOKUP(A342,Scénáře!$A$4:$B$503,2,FALSE()),"ID nenalezeno"))</f>
        <v/>
      </c>
      <c r="C342" s="37" t="str">
        <f>IF(A342="","",IFERROR(VLOOKUP(A342,Scénáře!$A$4:$C$503,3,FALSE())&amp;"",""))</f>
        <v/>
      </c>
      <c r="D342" s="35"/>
      <c r="E342" s="36"/>
      <c r="F342" s="35"/>
      <c r="G342" s="11"/>
      <c r="H342" s="11"/>
    </row>
    <row r="343" spans="1:8" x14ac:dyDescent="0.2">
      <c r="A343" s="35"/>
      <c r="B343" s="39" t="str">
        <f>IF(A343="","",IFERROR(VLOOKUP(A343,Scénáře!$A$4:$B$503,2,FALSE()),"ID nenalezeno"))</f>
        <v/>
      </c>
      <c r="C343" s="37" t="str">
        <f>IF(A343="","",IFERROR(VLOOKUP(A343,Scénáře!$A$4:$C$503,3,FALSE())&amp;"",""))</f>
        <v/>
      </c>
      <c r="D343" s="35"/>
      <c r="E343" s="36"/>
      <c r="F343" s="35"/>
      <c r="G343" s="11"/>
      <c r="H343" s="11"/>
    </row>
    <row r="344" spans="1:8" x14ac:dyDescent="0.2">
      <c r="A344" s="35"/>
      <c r="B344" s="39" t="str">
        <f>IF(A344="","",IFERROR(VLOOKUP(A344,Scénáře!$A$4:$B$503,2,FALSE()),"ID nenalezeno"))</f>
        <v/>
      </c>
      <c r="C344" s="37" t="str">
        <f>IF(A344="","",IFERROR(VLOOKUP(A344,Scénáře!$A$4:$C$503,3,FALSE())&amp;"",""))</f>
        <v/>
      </c>
      <c r="D344" s="35"/>
      <c r="E344" s="36"/>
      <c r="F344" s="35"/>
      <c r="G344" s="11"/>
      <c r="H344" s="11"/>
    </row>
    <row r="345" spans="1:8" x14ac:dyDescent="0.2">
      <c r="A345" s="35"/>
      <c r="B345" s="39" t="str">
        <f>IF(A345="","",IFERROR(VLOOKUP(A345,Scénáře!$A$4:$B$503,2,FALSE()),"ID nenalezeno"))</f>
        <v/>
      </c>
      <c r="C345" s="37" t="str">
        <f>IF(A345="","",IFERROR(VLOOKUP(A345,Scénáře!$A$4:$C$503,3,FALSE())&amp;"",""))</f>
        <v/>
      </c>
      <c r="D345" s="35"/>
      <c r="E345" s="36"/>
      <c r="F345" s="35"/>
      <c r="G345" s="11"/>
      <c r="H345" s="11"/>
    </row>
    <row r="346" spans="1:8" x14ac:dyDescent="0.2">
      <c r="A346" s="35"/>
      <c r="B346" s="39" t="str">
        <f>IF(A346="","",IFERROR(VLOOKUP(A346,Scénáře!$A$4:$B$503,2,FALSE()),"ID nenalezeno"))</f>
        <v/>
      </c>
      <c r="C346" s="37" t="str">
        <f>IF(A346="","",IFERROR(VLOOKUP(A346,Scénáře!$A$4:$C$503,3,FALSE())&amp;"",""))</f>
        <v/>
      </c>
      <c r="D346" s="35"/>
      <c r="E346" s="36"/>
      <c r="F346" s="35"/>
      <c r="G346" s="11"/>
      <c r="H346" s="11"/>
    </row>
    <row r="347" spans="1:8" x14ac:dyDescent="0.2">
      <c r="A347" s="35"/>
      <c r="B347" s="39" t="str">
        <f>IF(A347="","",IFERROR(VLOOKUP(A347,Scénáře!$A$4:$B$503,2,FALSE()),"ID nenalezeno"))</f>
        <v/>
      </c>
      <c r="C347" s="37" t="str">
        <f>IF(A347="","",IFERROR(VLOOKUP(A347,Scénáře!$A$4:$C$503,3,FALSE())&amp;"",""))</f>
        <v/>
      </c>
      <c r="D347" s="35"/>
      <c r="E347" s="36"/>
      <c r="F347" s="35"/>
      <c r="G347" s="11"/>
      <c r="H347" s="11"/>
    </row>
    <row r="348" spans="1:8" x14ac:dyDescent="0.2">
      <c r="A348" s="35"/>
      <c r="B348" s="39" t="str">
        <f>IF(A348="","",IFERROR(VLOOKUP(A348,Scénáře!$A$4:$B$503,2,FALSE()),"ID nenalezeno"))</f>
        <v/>
      </c>
      <c r="C348" s="37" t="str">
        <f>IF(A348="","",IFERROR(VLOOKUP(A348,Scénáře!$A$4:$C$503,3,FALSE())&amp;"",""))</f>
        <v/>
      </c>
      <c r="D348" s="35"/>
      <c r="E348" s="36"/>
      <c r="F348" s="35"/>
      <c r="G348" s="11"/>
      <c r="H348" s="11"/>
    </row>
    <row r="349" spans="1:8" x14ac:dyDescent="0.2">
      <c r="A349" s="35"/>
      <c r="B349" s="39" t="str">
        <f>IF(A349="","",IFERROR(VLOOKUP(A349,Scénáře!$A$4:$B$503,2,FALSE()),"ID nenalezeno"))</f>
        <v/>
      </c>
      <c r="C349" s="37" t="str">
        <f>IF(A349="","",IFERROR(VLOOKUP(A349,Scénáře!$A$4:$C$503,3,FALSE())&amp;"",""))</f>
        <v/>
      </c>
      <c r="D349" s="35"/>
      <c r="E349" s="36"/>
      <c r="F349" s="35"/>
      <c r="G349" s="11"/>
      <c r="H349" s="11"/>
    </row>
    <row r="350" spans="1:8" x14ac:dyDescent="0.2">
      <c r="A350" s="35"/>
      <c r="B350" s="39" t="str">
        <f>IF(A350="","",IFERROR(VLOOKUP(A350,Scénáře!$A$4:$B$503,2,FALSE()),"ID nenalezeno"))</f>
        <v/>
      </c>
      <c r="C350" s="37" t="str">
        <f>IF(A350="","",IFERROR(VLOOKUP(A350,Scénáře!$A$4:$C$503,3,FALSE())&amp;"",""))</f>
        <v/>
      </c>
      <c r="D350" s="35"/>
      <c r="E350" s="36"/>
      <c r="F350" s="35"/>
      <c r="G350" s="11"/>
      <c r="H350" s="11"/>
    </row>
    <row r="351" spans="1:8" x14ac:dyDescent="0.2">
      <c r="A351" s="35"/>
      <c r="B351" s="39" t="str">
        <f>IF(A351="","",IFERROR(VLOOKUP(A351,Scénáře!$A$4:$B$503,2,FALSE()),"ID nenalezeno"))</f>
        <v/>
      </c>
      <c r="C351" s="37" t="str">
        <f>IF(A351="","",IFERROR(VLOOKUP(A351,Scénáře!$A$4:$C$503,3,FALSE())&amp;"",""))</f>
        <v/>
      </c>
      <c r="D351" s="35"/>
      <c r="E351" s="36"/>
      <c r="F351" s="35"/>
      <c r="G351" s="11"/>
      <c r="H351" s="11"/>
    </row>
    <row r="352" spans="1:8" x14ac:dyDescent="0.2">
      <c r="A352" s="35"/>
      <c r="B352" s="39" t="str">
        <f>IF(A352="","",IFERROR(VLOOKUP(A352,Scénáře!$A$4:$B$503,2,FALSE()),"ID nenalezeno"))</f>
        <v/>
      </c>
      <c r="C352" s="37" t="str">
        <f>IF(A352="","",IFERROR(VLOOKUP(A352,Scénáře!$A$4:$C$503,3,FALSE())&amp;"",""))</f>
        <v/>
      </c>
      <c r="D352" s="35"/>
      <c r="E352" s="36"/>
      <c r="F352" s="35"/>
      <c r="G352" s="11"/>
      <c r="H352" s="11"/>
    </row>
    <row r="353" spans="1:8" x14ac:dyDescent="0.2">
      <c r="A353" s="35"/>
      <c r="B353" s="39" t="str">
        <f>IF(A353="","",IFERROR(VLOOKUP(A353,Scénáře!$A$4:$B$503,2,FALSE()),"ID nenalezeno"))</f>
        <v/>
      </c>
      <c r="C353" s="37" t="str">
        <f>IF(A353="","",IFERROR(VLOOKUP(A353,Scénáře!$A$4:$C$503,3,FALSE())&amp;"",""))</f>
        <v/>
      </c>
      <c r="D353" s="35"/>
      <c r="E353" s="36"/>
      <c r="F353" s="35"/>
      <c r="G353" s="11"/>
      <c r="H353" s="11"/>
    </row>
    <row r="354" spans="1:8" x14ac:dyDescent="0.2">
      <c r="A354" s="35"/>
      <c r="B354" s="39" t="str">
        <f>IF(A354="","",IFERROR(VLOOKUP(A354,Scénáře!$A$4:$B$503,2,FALSE()),"ID nenalezeno"))</f>
        <v/>
      </c>
      <c r="C354" s="37" t="str">
        <f>IF(A354="","",IFERROR(VLOOKUP(A354,Scénáře!$A$4:$C$503,3,FALSE())&amp;"",""))</f>
        <v/>
      </c>
      <c r="D354" s="35"/>
      <c r="E354" s="36"/>
      <c r="F354" s="35"/>
      <c r="G354" s="11"/>
      <c r="H354" s="11"/>
    </row>
    <row r="355" spans="1:8" x14ac:dyDescent="0.2">
      <c r="A355" s="35"/>
      <c r="B355" s="39" t="str">
        <f>IF(A355="","",IFERROR(VLOOKUP(A355,Scénáře!$A$4:$B$503,2,FALSE()),"ID nenalezeno"))</f>
        <v/>
      </c>
      <c r="C355" s="37" t="str">
        <f>IF(A355="","",IFERROR(VLOOKUP(A355,Scénáře!$A$4:$C$503,3,FALSE())&amp;"",""))</f>
        <v/>
      </c>
      <c r="D355" s="35"/>
      <c r="E355" s="36"/>
      <c r="F355" s="35"/>
      <c r="G355" s="11"/>
      <c r="H355" s="11"/>
    </row>
    <row r="356" spans="1:8" x14ac:dyDescent="0.2">
      <c r="A356" s="35"/>
      <c r="B356" s="39" t="str">
        <f>IF(A356="","",IFERROR(VLOOKUP(A356,Scénáře!$A$4:$B$503,2,FALSE()),"ID nenalezeno"))</f>
        <v/>
      </c>
      <c r="C356" s="37" t="str">
        <f>IF(A356="","",IFERROR(VLOOKUP(A356,Scénáře!$A$4:$C$503,3,FALSE())&amp;"",""))</f>
        <v/>
      </c>
      <c r="D356" s="35"/>
      <c r="E356" s="36"/>
      <c r="F356" s="35"/>
      <c r="G356" s="11"/>
      <c r="H356" s="11"/>
    </row>
    <row r="357" spans="1:8" x14ac:dyDescent="0.2">
      <c r="A357" s="35"/>
      <c r="B357" s="39" t="str">
        <f>IF(A357="","",IFERROR(VLOOKUP(A357,Scénáře!$A$4:$B$503,2,FALSE()),"ID nenalezeno"))</f>
        <v/>
      </c>
      <c r="C357" s="37" t="str">
        <f>IF(A357="","",IFERROR(VLOOKUP(A357,Scénáře!$A$4:$C$503,3,FALSE())&amp;"",""))</f>
        <v/>
      </c>
      <c r="D357" s="35"/>
      <c r="E357" s="36"/>
      <c r="F357" s="35"/>
      <c r="G357" s="11"/>
      <c r="H357" s="11"/>
    </row>
    <row r="358" spans="1:8" x14ac:dyDescent="0.2">
      <c r="A358" s="35"/>
      <c r="B358" s="39" t="str">
        <f>IF(A358="","",IFERROR(VLOOKUP(A358,Scénáře!$A$4:$B$503,2,FALSE()),"ID nenalezeno"))</f>
        <v/>
      </c>
      <c r="C358" s="37" t="str">
        <f>IF(A358="","",IFERROR(VLOOKUP(A358,Scénáře!$A$4:$C$503,3,FALSE())&amp;"",""))</f>
        <v/>
      </c>
      <c r="D358" s="35"/>
      <c r="E358" s="36"/>
      <c r="F358" s="35"/>
      <c r="G358" s="11"/>
      <c r="H358" s="11"/>
    </row>
    <row r="359" spans="1:8" x14ac:dyDescent="0.2">
      <c r="A359" s="35"/>
      <c r="B359" s="39" t="str">
        <f>IF(A359="","",IFERROR(VLOOKUP(A359,Scénáře!$A$4:$B$503,2,FALSE()),"ID nenalezeno"))</f>
        <v/>
      </c>
      <c r="C359" s="37" t="str">
        <f>IF(A359="","",IFERROR(VLOOKUP(A359,Scénáře!$A$4:$C$503,3,FALSE())&amp;"",""))</f>
        <v/>
      </c>
      <c r="D359" s="35"/>
      <c r="E359" s="36"/>
      <c r="F359" s="35"/>
      <c r="G359" s="11"/>
      <c r="H359" s="11"/>
    </row>
    <row r="360" spans="1:8" x14ac:dyDescent="0.2">
      <c r="A360" s="35"/>
      <c r="B360" s="39" t="str">
        <f>IF(A360="","",IFERROR(VLOOKUP(A360,Scénáře!$A$4:$B$503,2,FALSE()),"ID nenalezeno"))</f>
        <v/>
      </c>
      <c r="C360" s="37" t="str">
        <f>IF(A360="","",IFERROR(VLOOKUP(A360,Scénáře!$A$4:$C$503,3,FALSE())&amp;"",""))</f>
        <v/>
      </c>
      <c r="D360" s="35"/>
      <c r="E360" s="36"/>
      <c r="F360" s="35"/>
      <c r="G360" s="11"/>
      <c r="H360" s="11"/>
    </row>
    <row r="361" spans="1:8" x14ac:dyDescent="0.2">
      <c r="A361" s="35"/>
      <c r="B361" s="39" t="str">
        <f>IF(A361="","",IFERROR(VLOOKUP(A361,Scénáře!$A$4:$B$503,2,FALSE()),"ID nenalezeno"))</f>
        <v/>
      </c>
      <c r="C361" s="37" t="str">
        <f>IF(A361="","",IFERROR(VLOOKUP(A361,Scénáře!$A$4:$C$503,3,FALSE())&amp;"",""))</f>
        <v/>
      </c>
      <c r="D361" s="35"/>
      <c r="E361" s="36"/>
      <c r="F361" s="35"/>
      <c r="G361" s="11"/>
      <c r="H361" s="11"/>
    </row>
    <row r="362" spans="1:8" x14ac:dyDescent="0.2">
      <c r="A362" s="35"/>
      <c r="B362" s="39" t="str">
        <f>IF(A362="","",IFERROR(VLOOKUP(A362,Scénáře!$A$4:$B$503,2,FALSE()),"ID nenalezeno"))</f>
        <v/>
      </c>
      <c r="C362" s="37" t="str">
        <f>IF(A362="","",IFERROR(VLOOKUP(A362,Scénáře!$A$4:$C$503,3,FALSE())&amp;"",""))</f>
        <v/>
      </c>
      <c r="D362" s="35"/>
      <c r="E362" s="36"/>
      <c r="F362" s="35"/>
      <c r="G362" s="11"/>
      <c r="H362" s="11"/>
    </row>
    <row r="363" spans="1:8" x14ac:dyDescent="0.2">
      <c r="A363" s="35"/>
      <c r="B363" s="39" t="str">
        <f>IF(A363="","",IFERROR(VLOOKUP(A363,Scénáře!$A$4:$B$503,2,FALSE()),"ID nenalezeno"))</f>
        <v/>
      </c>
      <c r="C363" s="37" t="str">
        <f>IF(A363="","",IFERROR(VLOOKUP(A363,Scénáře!$A$4:$C$503,3,FALSE())&amp;"",""))</f>
        <v/>
      </c>
      <c r="D363" s="35"/>
      <c r="E363" s="36"/>
      <c r="F363" s="35"/>
      <c r="G363" s="11"/>
      <c r="H363" s="11"/>
    </row>
    <row r="364" spans="1:8" x14ac:dyDescent="0.2">
      <c r="A364" s="35"/>
      <c r="B364" s="39" t="str">
        <f>IF(A364="","",IFERROR(VLOOKUP(A364,Scénáře!$A$4:$B$503,2,FALSE()),"ID nenalezeno"))</f>
        <v/>
      </c>
      <c r="C364" s="37" t="str">
        <f>IF(A364="","",IFERROR(VLOOKUP(A364,Scénáře!$A$4:$C$503,3,FALSE())&amp;"",""))</f>
        <v/>
      </c>
      <c r="D364" s="35"/>
      <c r="E364" s="36"/>
      <c r="F364" s="35"/>
      <c r="G364" s="11"/>
      <c r="H364" s="11"/>
    </row>
    <row r="365" spans="1:8" x14ac:dyDescent="0.2">
      <c r="A365" s="35"/>
      <c r="B365" s="39" t="str">
        <f>IF(A365="","",IFERROR(VLOOKUP(A365,Scénáře!$A$4:$B$503,2,FALSE()),"ID nenalezeno"))</f>
        <v/>
      </c>
      <c r="C365" s="37" t="str">
        <f>IF(A365="","",IFERROR(VLOOKUP(A365,Scénáře!$A$4:$C$503,3,FALSE())&amp;"",""))</f>
        <v/>
      </c>
      <c r="D365" s="35"/>
      <c r="E365" s="36"/>
      <c r="F365" s="35"/>
      <c r="G365" s="11"/>
      <c r="H365" s="11"/>
    </row>
    <row r="366" spans="1:8" x14ac:dyDescent="0.2">
      <c r="A366" s="35"/>
      <c r="B366" s="39" t="str">
        <f>IF(A366="","",IFERROR(VLOOKUP(A366,Scénáře!$A$4:$B$503,2,FALSE()),"ID nenalezeno"))</f>
        <v/>
      </c>
      <c r="C366" s="37" t="str">
        <f>IF(A366="","",IFERROR(VLOOKUP(A366,Scénáře!$A$4:$C$503,3,FALSE())&amp;"",""))</f>
        <v/>
      </c>
      <c r="D366" s="35"/>
      <c r="E366" s="36"/>
      <c r="F366" s="35"/>
      <c r="G366" s="11"/>
      <c r="H366" s="11"/>
    </row>
    <row r="367" spans="1:8" x14ac:dyDescent="0.2">
      <c r="A367" s="35"/>
      <c r="B367" s="39" t="str">
        <f>IF(A367="","",IFERROR(VLOOKUP(A367,Scénáře!$A$4:$B$503,2,FALSE()),"ID nenalezeno"))</f>
        <v/>
      </c>
      <c r="C367" s="37" t="str">
        <f>IF(A367="","",IFERROR(VLOOKUP(A367,Scénáře!$A$4:$C$503,3,FALSE())&amp;"",""))</f>
        <v/>
      </c>
      <c r="D367" s="35"/>
      <c r="E367" s="36"/>
      <c r="F367" s="35"/>
      <c r="G367" s="11"/>
      <c r="H367" s="11"/>
    </row>
    <row r="368" spans="1:8" x14ac:dyDescent="0.2">
      <c r="A368" s="35"/>
      <c r="B368" s="39" t="str">
        <f>IF(A368="","",IFERROR(VLOOKUP(A368,Scénáře!$A$4:$B$503,2,FALSE()),"ID nenalezeno"))</f>
        <v/>
      </c>
      <c r="C368" s="37" t="str">
        <f>IF(A368="","",IFERROR(VLOOKUP(A368,Scénáře!$A$4:$C$503,3,FALSE())&amp;"",""))</f>
        <v/>
      </c>
      <c r="D368" s="35"/>
      <c r="E368" s="36"/>
      <c r="F368" s="35"/>
      <c r="G368" s="11"/>
      <c r="H368" s="11"/>
    </row>
    <row r="369" spans="1:8" x14ac:dyDescent="0.2">
      <c r="A369" s="35"/>
      <c r="B369" s="39" t="str">
        <f>IF(A369="","",IFERROR(VLOOKUP(A369,Scénáře!$A$4:$B$503,2,FALSE()),"ID nenalezeno"))</f>
        <v/>
      </c>
      <c r="C369" s="37" t="str">
        <f>IF(A369="","",IFERROR(VLOOKUP(A369,Scénáře!$A$4:$C$503,3,FALSE())&amp;"",""))</f>
        <v/>
      </c>
      <c r="D369" s="35"/>
      <c r="E369" s="36"/>
      <c r="F369" s="35"/>
      <c r="G369" s="11"/>
      <c r="H369" s="11"/>
    </row>
    <row r="370" spans="1:8" x14ac:dyDescent="0.2">
      <c r="A370" s="35"/>
      <c r="B370" s="39" t="str">
        <f>IF(A370="","",IFERROR(VLOOKUP(A370,Scénáře!$A$4:$B$503,2,FALSE()),"ID nenalezeno"))</f>
        <v/>
      </c>
      <c r="C370" s="37" t="str">
        <f>IF(A370="","",IFERROR(VLOOKUP(A370,Scénáře!$A$4:$C$503,3,FALSE())&amp;"",""))</f>
        <v/>
      </c>
      <c r="D370" s="35"/>
      <c r="E370" s="36"/>
      <c r="F370" s="35"/>
      <c r="G370" s="11"/>
      <c r="H370" s="11"/>
    </row>
    <row r="371" spans="1:8" x14ac:dyDescent="0.2">
      <c r="A371" s="35"/>
      <c r="B371" s="39" t="str">
        <f>IF(A371="","",IFERROR(VLOOKUP(A371,Scénáře!$A$4:$B$503,2,FALSE()),"ID nenalezeno"))</f>
        <v/>
      </c>
      <c r="C371" s="37" t="str">
        <f>IF(A371="","",IFERROR(VLOOKUP(A371,Scénáře!$A$4:$C$503,3,FALSE())&amp;"",""))</f>
        <v/>
      </c>
      <c r="D371" s="35"/>
      <c r="E371" s="36"/>
      <c r="F371" s="35"/>
      <c r="G371" s="11"/>
      <c r="H371" s="11"/>
    </row>
    <row r="372" spans="1:8" x14ac:dyDescent="0.2">
      <c r="A372" s="35"/>
      <c r="B372" s="39" t="str">
        <f>IF(A372="","",IFERROR(VLOOKUP(A372,Scénáře!$A$4:$B$503,2,FALSE()),"ID nenalezeno"))</f>
        <v/>
      </c>
      <c r="C372" s="37" t="str">
        <f>IF(A372="","",IFERROR(VLOOKUP(A372,Scénáře!$A$4:$C$503,3,FALSE())&amp;"",""))</f>
        <v/>
      </c>
      <c r="D372" s="35"/>
      <c r="E372" s="36"/>
      <c r="F372" s="35"/>
      <c r="G372" s="11"/>
      <c r="H372" s="11"/>
    </row>
    <row r="373" spans="1:8" x14ac:dyDescent="0.2">
      <c r="A373" s="35"/>
      <c r="B373" s="39" t="str">
        <f>IF(A373="","",IFERROR(VLOOKUP(A373,Scénáře!$A$4:$B$503,2,FALSE()),"ID nenalezeno"))</f>
        <v/>
      </c>
      <c r="C373" s="37" t="str">
        <f>IF(A373="","",IFERROR(VLOOKUP(A373,Scénáře!$A$4:$C$503,3,FALSE())&amp;"",""))</f>
        <v/>
      </c>
      <c r="D373" s="35"/>
      <c r="E373" s="36"/>
      <c r="F373" s="35"/>
      <c r="G373" s="11"/>
      <c r="H373" s="11"/>
    </row>
    <row r="374" spans="1:8" x14ac:dyDescent="0.2">
      <c r="A374" s="35"/>
      <c r="B374" s="39" t="str">
        <f>IF(A374="","",IFERROR(VLOOKUP(A374,Scénáře!$A$4:$B$503,2,FALSE()),"ID nenalezeno"))</f>
        <v/>
      </c>
      <c r="C374" s="37" t="str">
        <f>IF(A374="","",IFERROR(VLOOKUP(A374,Scénáře!$A$4:$C$503,3,FALSE())&amp;"",""))</f>
        <v/>
      </c>
      <c r="D374" s="35"/>
      <c r="E374" s="36"/>
      <c r="F374" s="35"/>
      <c r="G374" s="11"/>
      <c r="H374" s="11"/>
    </row>
    <row r="375" spans="1:8" x14ac:dyDescent="0.2">
      <c r="A375" s="35"/>
      <c r="B375" s="39" t="str">
        <f>IF(A375="","",IFERROR(VLOOKUP(A375,Scénáře!$A$4:$B$503,2,FALSE()),"ID nenalezeno"))</f>
        <v/>
      </c>
      <c r="C375" s="37" t="str">
        <f>IF(A375="","",IFERROR(VLOOKUP(A375,Scénáře!$A$4:$C$503,3,FALSE())&amp;"",""))</f>
        <v/>
      </c>
      <c r="D375" s="35"/>
      <c r="E375" s="36"/>
      <c r="F375" s="35"/>
      <c r="G375" s="11"/>
      <c r="H375" s="11"/>
    </row>
    <row r="376" spans="1:8" x14ac:dyDescent="0.2">
      <c r="A376" s="35"/>
      <c r="B376" s="39" t="str">
        <f>IF(A376="","",IFERROR(VLOOKUP(A376,Scénáře!$A$4:$B$503,2,FALSE()),"ID nenalezeno"))</f>
        <v/>
      </c>
      <c r="C376" s="37" t="str">
        <f>IF(A376="","",IFERROR(VLOOKUP(A376,Scénáře!$A$4:$C$503,3,FALSE())&amp;"",""))</f>
        <v/>
      </c>
      <c r="D376" s="35"/>
      <c r="E376" s="36"/>
      <c r="F376" s="35"/>
      <c r="G376" s="11"/>
      <c r="H376" s="11"/>
    </row>
    <row r="377" spans="1:8" x14ac:dyDescent="0.2">
      <c r="A377" s="35"/>
      <c r="B377" s="39" t="str">
        <f>IF(A377="","",IFERROR(VLOOKUP(A377,Scénáře!$A$4:$B$503,2,FALSE()),"ID nenalezeno"))</f>
        <v/>
      </c>
      <c r="C377" s="37" t="str">
        <f>IF(A377="","",IFERROR(VLOOKUP(A377,Scénáře!$A$4:$C$503,3,FALSE())&amp;"",""))</f>
        <v/>
      </c>
      <c r="D377" s="35"/>
      <c r="E377" s="36"/>
      <c r="F377" s="35"/>
      <c r="G377" s="11"/>
      <c r="H377" s="11"/>
    </row>
    <row r="378" spans="1:8" x14ac:dyDescent="0.2">
      <c r="A378" s="35"/>
      <c r="B378" s="39" t="str">
        <f>IF(A378="","",IFERROR(VLOOKUP(A378,Scénáře!$A$4:$B$503,2,FALSE()),"ID nenalezeno"))</f>
        <v/>
      </c>
      <c r="C378" s="37" t="str">
        <f>IF(A378="","",IFERROR(VLOOKUP(A378,Scénáře!$A$4:$C$503,3,FALSE())&amp;"",""))</f>
        <v/>
      </c>
      <c r="D378" s="35"/>
      <c r="E378" s="36"/>
      <c r="F378" s="35"/>
      <c r="G378" s="11"/>
      <c r="H378" s="11"/>
    </row>
    <row r="379" spans="1:8" x14ac:dyDescent="0.2">
      <c r="A379" s="35"/>
      <c r="B379" s="39" t="str">
        <f>IF(A379="","",IFERROR(VLOOKUP(A379,Scénáře!$A$4:$B$503,2,FALSE()),"ID nenalezeno"))</f>
        <v/>
      </c>
      <c r="C379" s="37" t="str">
        <f>IF(A379="","",IFERROR(VLOOKUP(A379,Scénáře!$A$4:$C$503,3,FALSE())&amp;"",""))</f>
        <v/>
      </c>
      <c r="D379" s="35"/>
      <c r="E379" s="36"/>
      <c r="F379" s="35"/>
      <c r="G379" s="11"/>
      <c r="H379" s="11"/>
    </row>
    <row r="380" spans="1:8" x14ac:dyDescent="0.2">
      <c r="A380" s="35"/>
      <c r="B380" s="39" t="str">
        <f>IF(A380="","",IFERROR(VLOOKUP(A380,Scénáře!$A$4:$B$503,2,FALSE()),"ID nenalezeno"))</f>
        <v/>
      </c>
      <c r="C380" s="37" t="str">
        <f>IF(A380="","",IFERROR(VLOOKUP(A380,Scénáře!$A$4:$C$503,3,FALSE())&amp;"",""))</f>
        <v/>
      </c>
      <c r="D380" s="35"/>
      <c r="E380" s="36"/>
      <c r="F380" s="35"/>
      <c r="G380" s="11"/>
      <c r="H380" s="11"/>
    </row>
    <row r="381" spans="1:8" x14ac:dyDescent="0.2">
      <c r="A381" s="35"/>
      <c r="B381" s="39" t="str">
        <f>IF(A381="","",IFERROR(VLOOKUP(A381,Scénáře!$A$4:$B$503,2,FALSE()),"ID nenalezeno"))</f>
        <v/>
      </c>
      <c r="C381" s="37" t="str">
        <f>IF(A381="","",IFERROR(VLOOKUP(A381,Scénáře!$A$4:$C$503,3,FALSE())&amp;"",""))</f>
        <v/>
      </c>
      <c r="D381" s="35"/>
      <c r="E381" s="36"/>
      <c r="F381" s="35"/>
      <c r="G381" s="11"/>
      <c r="H381" s="11"/>
    </row>
    <row r="382" spans="1:8" x14ac:dyDescent="0.2">
      <c r="A382" s="35"/>
      <c r="B382" s="39" t="str">
        <f>IF(A382="","",IFERROR(VLOOKUP(A382,Scénáře!$A$4:$B$503,2,FALSE()),"ID nenalezeno"))</f>
        <v/>
      </c>
      <c r="C382" s="37" t="str">
        <f>IF(A382="","",IFERROR(VLOOKUP(A382,Scénáře!$A$4:$C$503,3,FALSE())&amp;"",""))</f>
        <v/>
      </c>
      <c r="D382" s="35"/>
      <c r="E382" s="36"/>
      <c r="F382" s="35"/>
      <c r="G382" s="11"/>
      <c r="H382" s="11"/>
    </row>
    <row r="383" spans="1:8" x14ac:dyDescent="0.2">
      <c r="A383" s="35"/>
      <c r="B383" s="39" t="str">
        <f>IF(A383="","",IFERROR(VLOOKUP(A383,Scénáře!$A$4:$B$503,2,FALSE()),"ID nenalezeno"))</f>
        <v/>
      </c>
      <c r="C383" s="37" t="str">
        <f>IF(A383="","",IFERROR(VLOOKUP(A383,Scénáře!$A$4:$C$503,3,FALSE())&amp;"",""))</f>
        <v/>
      </c>
      <c r="D383" s="35"/>
      <c r="E383" s="36"/>
      <c r="F383" s="35"/>
      <c r="G383" s="11"/>
      <c r="H383" s="11"/>
    </row>
    <row r="384" spans="1:8" x14ac:dyDescent="0.2">
      <c r="A384" s="35"/>
      <c r="B384" s="39" t="str">
        <f>IF(A384="","",IFERROR(VLOOKUP(A384,Scénáře!$A$4:$B$503,2,FALSE()),"ID nenalezeno"))</f>
        <v/>
      </c>
      <c r="C384" s="37" t="str">
        <f>IF(A384="","",IFERROR(VLOOKUP(A384,Scénáře!$A$4:$C$503,3,FALSE())&amp;"",""))</f>
        <v/>
      </c>
      <c r="D384" s="35"/>
      <c r="E384" s="36"/>
      <c r="F384" s="35"/>
      <c r="G384" s="11"/>
      <c r="H384" s="11"/>
    </row>
    <row r="385" spans="1:8" x14ac:dyDescent="0.2">
      <c r="A385" s="35"/>
      <c r="B385" s="39" t="str">
        <f>IF(A385="","",IFERROR(VLOOKUP(A385,Scénáře!$A$4:$B$503,2,FALSE()),"ID nenalezeno"))</f>
        <v/>
      </c>
      <c r="C385" s="37" t="str">
        <f>IF(A385="","",IFERROR(VLOOKUP(A385,Scénáře!$A$4:$C$503,3,FALSE())&amp;"",""))</f>
        <v/>
      </c>
      <c r="D385" s="35"/>
      <c r="E385" s="36"/>
      <c r="F385" s="35"/>
      <c r="G385" s="11"/>
      <c r="H385" s="11"/>
    </row>
    <row r="386" spans="1:8" x14ac:dyDescent="0.2">
      <c r="A386" s="35"/>
      <c r="B386" s="39" t="str">
        <f>IF(A386="","",IFERROR(VLOOKUP(A386,Scénáře!$A$4:$B$503,2,FALSE()),"ID nenalezeno"))</f>
        <v/>
      </c>
      <c r="C386" s="37" t="str">
        <f>IF(A386="","",IFERROR(VLOOKUP(A386,Scénáře!$A$4:$C$503,3,FALSE())&amp;"",""))</f>
        <v/>
      </c>
      <c r="D386" s="35"/>
      <c r="E386" s="36"/>
      <c r="F386" s="35"/>
      <c r="G386" s="11"/>
      <c r="H386" s="11"/>
    </row>
    <row r="387" spans="1:8" x14ac:dyDescent="0.2">
      <c r="A387" s="35"/>
      <c r="B387" s="39" t="str">
        <f>IF(A387="","",IFERROR(VLOOKUP(A387,Scénáře!$A$4:$B$503,2,FALSE()),"ID nenalezeno"))</f>
        <v/>
      </c>
      <c r="C387" s="37" t="str">
        <f>IF(A387="","",IFERROR(VLOOKUP(A387,Scénáře!$A$4:$C$503,3,FALSE())&amp;"",""))</f>
        <v/>
      </c>
      <c r="D387" s="35"/>
      <c r="E387" s="36"/>
      <c r="F387" s="35"/>
      <c r="G387" s="11"/>
      <c r="H387" s="11"/>
    </row>
    <row r="388" spans="1:8" x14ac:dyDescent="0.2">
      <c r="A388" s="35"/>
      <c r="B388" s="39" t="str">
        <f>IF(A388="","",IFERROR(VLOOKUP(A388,Scénáře!$A$4:$B$503,2,FALSE()),"ID nenalezeno"))</f>
        <v/>
      </c>
      <c r="C388" s="37" t="str">
        <f>IF(A388="","",IFERROR(VLOOKUP(A388,Scénáře!$A$4:$C$503,3,FALSE())&amp;"",""))</f>
        <v/>
      </c>
      <c r="D388" s="35"/>
      <c r="E388" s="36"/>
      <c r="F388" s="35"/>
      <c r="G388" s="11"/>
      <c r="H388" s="11"/>
    </row>
    <row r="389" spans="1:8" x14ac:dyDescent="0.2">
      <c r="A389" s="35"/>
      <c r="B389" s="39" t="str">
        <f>IF(A389="","",IFERROR(VLOOKUP(A389,Scénáře!$A$4:$B$503,2,FALSE()),"ID nenalezeno"))</f>
        <v/>
      </c>
      <c r="C389" s="37" t="str">
        <f>IF(A389="","",IFERROR(VLOOKUP(A389,Scénáře!$A$4:$C$503,3,FALSE())&amp;"",""))</f>
        <v/>
      </c>
      <c r="D389" s="35"/>
      <c r="E389" s="36"/>
      <c r="F389" s="35"/>
      <c r="G389" s="11"/>
      <c r="H389" s="11"/>
    </row>
    <row r="390" spans="1:8" x14ac:dyDescent="0.2">
      <c r="A390" s="35"/>
      <c r="B390" s="39" t="str">
        <f>IF(A390="","",IFERROR(VLOOKUP(A390,Scénáře!$A$4:$B$503,2,FALSE()),"ID nenalezeno"))</f>
        <v/>
      </c>
      <c r="C390" s="37" t="str">
        <f>IF(A390="","",IFERROR(VLOOKUP(A390,Scénáře!$A$4:$C$503,3,FALSE())&amp;"",""))</f>
        <v/>
      </c>
      <c r="D390" s="35"/>
      <c r="E390" s="36"/>
      <c r="F390" s="35"/>
      <c r="G390" s="11"/>
      <c r="H390" s="11"/>
    </row>
    <row r="391" spans="1:8" x14ac:dyDescent="0.2">
      <c r="A391" s="35"/>
      <c r="B391" s="39" t="str">
        <f>IF(A391="","",IFERROR(VLOOKUP(A391,Scénáře!$A$4:$B$503,2,FALSE()),"ID nenalezeno"))</f>
        <v/>
      </c>
      <c r="C391" s="37" t="str">
        <f>IF(A391="","",IFERROR(VLOOKUP(A391,Scénáře!$A$4:$C$503,3,FALSE())&amp;"",""))</f>
        <v/>
      </c>
      <c r="D391" s="35"/>
      <c r="E391" s="36"/>
      <c r="F391" s="35"/>
      <c r="G391" s="11"/>
      <c r="H391" s="11"/>
    </row>
    <row r="392" spans="1:8" x14ac:dyDescent="0.2">
      <c r="A392" s="35"/>
      <c r="B392" s="39" t="str">
        <f>IF(A392="","",IFERROR(VLOOKUP(A392,Scénáře!$A$4:$B$503,2,FALSE()),"ID nenalezeno"))</f>
        <v/>
      </c>
      <c r="C392" s="37" t="str">
        <f>IF(A392="","",IFERROR(VLOOKUP(A392,Scénáře!$A$4:$C$503,3,FALSE())&amp;"",""))</f>
        <v/>
      </c>
      <c r="D392" s="35"/>
      <c r="E392" s="36"/>
      <c r="F392" s="35"/>
      <c r="G392" s="11"/>
      <c r="H392" s="11"/>
    </row>
    <row r="393" spans="1:8" x14ac:dyDescent="0.2">
      <c r="A393" s="35"/>
      <c r="B393" s="39" t="str">
        <f>IF(A393="","",IFERROR(VLOOKUP(A393,Scénáře!$A$4:$B$503,2,FALSE()),"ID nenalezeno"))</f>
        <v/>
      </c>
      <c r="C393" s="37" t="str">
        <f>IF(A393="","",IFERROR(VLOOKUP(A393,Scénáře!$A$4:$C$503,3,FALSE())&amp;"",""))</f>
        <v/>
      </c>
      <c r="D393" s="35"/>
      <c r="E393" s="36"/>
      <c r="F393" s="35"/>
      <c r="G393" s="11"/>
      <c r="H393" s="11"/>
    </row>
    <row r="394" spans="1:8" x14ac:dyDescent="0.2">
      <c r="A394" s="35"/>
      <c r="B394" s="39" t="str">
        <f>IF(A394="","",IFERROR(VLOOKUP(A394,Scénáře!$A$4:$B$503,2,FALSE()),"ID nenalezeno"))</f>
        <v/>
      </c>
      <c r="C394" s="37" t="str">
        <f>IF(A394="","",IFERROR(VLOOKUP(A394,Scénáře!$A$4:$C$503,3,FALSE())&amp;"",""))</f>
        <v/>
      </c>
      <c r="D394" s="35"/>
      <c r="E394" s="36"/>
      <c r="F394" s="35"/>
      <c r="G394" s="11"/>
      <c r="H394" s="11"/>
    </row>
    <row r="395" spans="1:8" x14ac:dyDescent="0.2">
      <c r="A395" s="35"/>
      <c r="B395" s="39" t="str">
        <f>IF(A395="","",IFERROR(VLOOKUP(A395,Scénáře!$A$4:$B$503,2,FALSE()),"ID nenalezeno"))</f>
        <v/>
      </c>
      <c r="C395" s="37" t="str">
        <f>IF(A395="","",IFERROR(VLOOKUP(A395,Scénáře!$A$4:$C$503,3,FALSE())&amp;"",""))</f>
        <v/>
      </c>
      <c r="D395" s="35"/>
      <c r="E395" s="36"/>
      <c r="F395" s="35"/>
      <c r="G395" s="11"/>
      <c r="H395" s="11"/>
    </row>
    <row r="396" spans="1:8" x14ac:dyDescent="0.2">
      <c r="A396" s="35"/>
      <c r="B396" s="39" t="str">
        <f>IF(A396="","",IFERROR(VLOOKUP(A396,Scénáře!$A$4:$B$503,2,FALSE()),"ID nenalezeno"))</f>
        <v/>
      </c>
      <c r="C396" s="37" t="str">
        <f>IF(A396="","",IFERROR(VLOOKUP(A396,Scénáře!$A$4:$C$503,3,FALSE())&amp;"",""))</f>
        <v/>
      </c>
      <c r="D396" s="35"/>
      <c r="E396" s="36"/>
      <c r="F396" s="35"/>
      <c r="G396" s="11"/>
      <c r="H396" s="11"/>
    </row>
    <row r="397" spans="1:8" x14ac:dyDescent="0.2">
      <c r="A397" s="35"/>
      <c r="B397" s="39" t="str">
        <f>IF(A397="","",IFERROR(VLOOKUP(A397,Scénáře!$A$4:$B$503,2,FALSE()),"ID nenalezeno"))</f>
        <v/>
      </c>
      <c r="C397" s="37" t="str">
        <f>IF(A397="","",IFERROR(VLOOKUP(A397,Scénáře!$A$4:$C$503,3,FALSE())&amp;"",""))</f>
        <v/>
      </c>
      <c r="D397" s="35"/>
      <c r="E397" s="36"/>
      <c r="F397" s="35"/>
      <c r="G397" s="11"/>
      <c r="H397" s="11"/>
    </row>
    <row r="398" spans="1:8" x14ac:dyDescent="0.2">
      <c r="A398" s="35"/>
      <c r="B398" s="39" t="str">
        <f>IF(A398="","",IFERROR(VLOOKUP(A398,Scénáře!$A$4:$B$503,2,FALSE()),"ID nenalezeno"))</f>
        <v/>
      </c>
      <c r="C398" s="37" t="str">
        <f>IF(A398="","",IFERROR(VLOOKUP(A398,Scénáře!$A$4:$C$503,3,FALSE())&amp;"",""))</f>
        <v/>
      </c>
      <c r="D398" s="35"/>
      <c r="E398" s="36"/>
      <c r="F398" s="35"/>
      <c r="G398" s="11"/>
      <c r="H398" s="11"/>
    </row>
    <row r="399" spans="1:8" x14ac:dyDescent="0.2">
      <c r="A399" s="35"/>
      <c r="B399" s="39" t="str">
        <f>IF(A399="","",IFERROR(VLOOKUP(A399,Scénáře!$A$4:$B$503,2,FALSE()),"ID nenalezeno"))</f>
        <v/>
      </c>
      <c r="C399" s="37" t="str">
        <f>IF(A399="","",IFERROR(VLOOKUP(A399,Scénáře!$A$4:$C$503,3,FALSE())&amp;"",""))</f>
        <v/>
      </c>
      <c r="D399" s="35"/>
      <c r="E399" s="36"/>
      <c r="F399" s="35"/>
      <c r="G399" s="11"/>
      <c r="H399" s="11"/>
    </row>
    <row r="400" spans="1:8" x14ac:dyDescent="0.2">
      <c r="A400" s="35"/>
      <c r="B400" s="39" t="str">
        <f>IF(A400="","",IFERROR(VLOOKUP(A400,Scénáře!$A$4:$B$503,2,FALSE()),"ID nenalezeno"))</f>
        <v/>
      </c>
      <c r="C400" s="37" t="str">
        <f>IF(A400="","",IFERROR(VLOOKUP(A400,Scénáře!$A$4:$C$503,3,FALSE())&amp;"",""))</f>
        <v/>
      </c>
      <c r="D400" s="35"/>
      <c r="E400" s="36"/>
      <c r="F400" s="35"/>
      <c r="G400" s="11"/>
      <c r="H400" s="11"/>
    </row>
    <row r="401" spans="1:8" x14ac:dyDescent="0.2">
      <c r="A401" s="35"/>
      <c r="B401" s="39" t="str">
        <f>IF(A401="","",IFERROR(VLOOKUP(A401,Scénáře!$A$4:$B$503,2,FALSE()),"ID nenalezeno"))</f>
        <v/>
      </c>
      <c r="C401" s="37" t="str">
        <f>IF(A401="","",IFERROR(VLOOKUP(A401,Scénáře!$A$4:$C$503,3,FALSE())&amp;"",""))</f>
        <v/>
      </c>
      <c r="D401" s="35"/>
      <c r="E401" s="36"/>
      <c r="F401" s="35"/>
      <c r="G401" s="11"/>
      <c r="H401" s="11"/>
    </row>
    <row r="402" spans="1:8" x14ac:dyDescent="0.2">
      <c r="A402" s="35"/>
      <c r="B402" s="39" t="str">
        <f>IF(A402="","",IFERROR(VLOOKUP(A402,Scénáře!$A$4:$B$503,2,FALSE()),"ID nenalezeno"))</f>
        <v/>
      </c>
      <c r="C402" s="37" t="str">
        <f>IF(A402="","",IFERROR(VLOOKUP(A402,Scénáře!$A$4:$C$503,3,FALSE())&amp;"",""))</f>
        <v/>
      </c>
      <c r="D402" s="35"/>
      <c r="E402" s="36"/>
      <c r="F402" s="35"/>
      <c r="G402" s="11"/>
      <c r="H402" s="11"/>
    </row>
    <row r="403" spans="1:8" x14ac:dyDescent="0.2">
      <c r="A403" s="35"/>
      <c r="B403" s="39" t="str">
        <f>IF(A403="","",IFERROR(VLOOKUP(A403,Scénáře!$A$4:$B$503,2,FALSE()),"ID nenalezeno"))</f>
        <v/>
      </c>
      <c r="C403" s="37" t="str">
        <f>IF(A403="","",IFERROR(VLOOKUP(A403,Scénáře!$A$4:$C$503,3,FALSE())&amp;"",""))</f>
        <v/>
      </c>
      <c r="D403" s="35"/>
      <c r="E403" s="36"/>
      <c r="F403" s="35"/>
      <c r="G403" s="11"/>
      <c r="H403" s="11"/>
    </row>
    <row r="404" spans="1:8" x14ac:dyDescent="0.2">
      <c r="A404" s="35"/>
      <c r="B404" s="39" t="str">
        <f>IF(A404="","",IFERROR(VLOOKUP(A404,Scénáře!$A$4:$B$503,2,FALSE()),"ID nenalezeno"))</f>
        <v/>
      </c>
      <c r="C404" s="37" t="str">
        <f>IF(A404="","",IFERROR(VLOOKUP(A404,Scénáře!$A$4:$C$503,3,FALSE())&amp;"",""))</f>
        <v/>
      </c>
      <c r="D404" s="35"/>
      <c r="E404" s="36"/>
      <c r="F404" s="35"/>
      <c r="G404" s="11"/>
      <c r="H404" s="11"/>
    </row>
    <row r="405" spans="1:8" x14ac:dyDescent="0.2">
      <c r="A405" s="35"/>
      <c r="B405" s="39" t="str">
        <f>IF(A405="","",IFERROR(VLOOKUP(A405,Scénáře!$A$4:$B$503,2,FALSE()),"ID nenalezeno"))</f>
        <v/>
      </c>
      <c r="C405" s="37" t="str">
        <f>IF(A405="","",IFERROR(VLOOKUP(A405,Scénáře!$A$4:$C$503,3,FALSE())&amp;"",""))</f>
        <v/>
      </c>
      <c r="D405" s="35"/>
      <c r="E405" s="36"/>
      <c r="F405" s="35"/>
      <c r="G405" s="11"/>
      <c r="H405" s="11"/>
    </row>
    <row r="406" spans="1:8" x14ac:dyDescent="0.2">
      <c r="A406" s="35"/>
      <c r="B406" s="39" t="str">
        <f>IF(A406="","",IFERROR(VLOOKUP(A406,Scénáře!$A$4:$B$503,2,FALSE()),"ID nenalezeno"))</f>
        <v/>
      </c>
      <c r="C406" s="37" t="str">
        <f>IF(A406="","",IFERROR(VLOOKUP(A406,Scénáře!$A$4:$C$503,3,FALSE())&amp;"",""))</f>
        <v/>
      </c>
      <c r="D406" s="35"/>
      <c r="E406" s="36"/>
      <c r="F406" s="35"/>
      <c r="G406" s="11"/>
      <c r="H406" s="11"/>
    </row>
    <row r="407" spans="1:8" x14ac:dyDescent="0.2">
      <c r="A407" s="35"/>
      <c r="B407" s="39" t="str">
        <f>IF(A407="","",IFERROR(VLOOKUP(A407,Scénáře!$A$4:$B$503,2,FALSE()),"ID nenalezeno"))</f>
        <v/>
      </c>
      <c r="C407" s="37" t="str">
        <f>IF(A407="","",IFERROR(VLOOKUP(A407,Scénáře!$A$4:$C$503,3,FALSE())&amp;"",""))</f>
        <v/>
      </c>
      <c r="D407" s="35"/>
      <c r="E407" s="36"/>
      <c r="F407" s="35"/>
      <c r="G407" s="11"/>
      <c r="H407" s="11"/>
    </row>
    <row r="408" spans="1:8" x14ac:dyDescent="0.2">
      <c r="A408" s="35"/>
      <c r="B408" s="39" t="str">
        <f>IF(A408="","",IFERROR(VLOOKUP(A408,Scénáře!$A$4:$B$503,2,FALSE()),"ID nenalezeno"))</f>
        <v/>
      </c>
      <c r="C408" s="37" t="str">
        <f>IF(A408="","",IFERROR(VLOOKUP(A408,Scénáře!$A$4:$C$503,3,FALSE())&amp;"",""))</f>
        <v/>
      </c>
      <c r="D408" s="35"/>
      <c r="E408" s="36"/>
      <c r="F408" s="35"/>
      <c r="G408" s="11"/>
      <c r="H408" s="11"/>
    </row>
    <row r="409" spans="1:8" x14ac:dyDescent="0.2">
      <c r="A409" s="35"/>
      <c r="B409" s="39" t="str">
        <f>IF(A409="","",IFERROR(VLOOKUP(A409,Scénáře!$A$4:$B$503,2,FALSE()),"ID nenalezeno"))</f>
        <v/>
      </c>
      <c r="C409" s="37" t="str">
        <f>IF(A409="","",IFERROR(VLOOKUP(A409,Scénáře!$A$4:$C$503,3,FALSE())&amp;"",""))</f>
        <v/>
      </c>
      <c r="D409" s="35"/>
      <c r="E409" s="36"/>
      <c r="F409" s="35"/>
      <c r="G409" s="11"/>
      <c r="H409" s="11"/>
    </row>
    <row r="410" spans="1:8" x14ac:dyDescent="0.2">
      <c r="A410" s="35"/>
      <c r="B410" s="39" t="str">
        <f>IF(A410="","",IFERROR(VLOOKUP(A410,Scénáře!$A$4:$B$503,2,FALSE()),"ID nenalezeno"))</f>
        <v/>
      </c>
      <c r="C410" s="37" t="str">
        <f>IF(A410="","",IFERROR(VLOOKUP(A410,Scénáře!$A$4:$C$503,3,FALSE())&amp;"",""))</f>
        <v/>
      </c>
      <c r="D410" s="35"/>
      <c r="E410" s="36"/>
      <c r="F410" s="35"/>
      <c r="G410" s="11"/>
      <c r="H410" s="11"/>
    </row>
    <row r="411" spans="1:8" x14ac:dyDescent="0.2">
      <c r="A411" s="35"/>
      <c r="B411" s="39" t="str">
        <f>IF(A411="","",IFERROR(VLOOKUP(A411,Scénáře!$A$4:$B$503,2,FALSE()),"ID nenalezeno"))</f>
        <v/>
      </c>
      <c r="C411" s="37" t="str">
        <f>IF(A411="","",IFERROR(VLOOKUP(A411,Scénáře!$A$4:$C$503,3,FALSE())&amp;"",""))</f>
        <v/>
      </c>
      <c r="D411" s="35"/>
      <c r="E411" s="36"/>
      <c r="F411" s="35"/>
      <c r="G411" s="11"/>
      <c r="H411" s="11"/>
    </row>
    <row r="412" spans="1:8" x14ac:dyDescent="0.2">
      <c r="A412" s="35"/>
      <c r="B412" s="39" t="str">
        <f>IF(A412="","",IFERROR(VLOOKUP(A412,Scénáře!$A$4:$B$503,2,FALSE()),"ID nenalezeno"))</f>
        <v/>
      </c>
      <c r="C412" s="37" t="str">
        <f>IF(A412="","",IFERROR(VLOOKUP(A412,Scénáře!$A$4:$C$503,3,FALSE())&amp;"",""))</f>
        <v/>
      </c>
      <c r="D412" s="35"/>
      <c r="E412" s="36"/>
      <c r="F412" s="35"/>
      <c r="G412" s="11"/>
      <c r="H412" s="11"/>
    </row>
    <row r="413" spans="1:8" x14ac:dyDescent="0.2">
      <c r="A413" s="35"/>
      <c r="B413" s="39" t="str">
        <f>IF(A413="","",IFERROR(VLOOKUP(A413,Scénáře!$A$4:$B$503,2,FALSE()),"ID nenalezeno"))</f>
        <v/>
      </c>
      <c r="C413" s="37" t="str">
        <f>IF(A413="","",IFERROR(VLOOKUP(A413,Scénáře!$A$4:$C$503,3,FALSE())&amp;"",""))</f>
        <v/>
      </c>
      <c r="D413" s="35"/>
      <c r="E413" s="36"/>
      <c r="F413" s="35"/>
      <c r="G413" s="11"/>
      <c r="H413" s="11"/>
    </row>
    <row r="414" spans="1:8" x14ac:dyDescent="0.2">
      <c r="A414" s="35"/>
      <c r="B414" s="39" t="str">
        <f>IF(A414="","",IFERROR(VLOOKUP(A414,Scénáře!$A$4:$B$503,2,FALSE()),"ID nenalezeno"))</f>
        <v/>
      </c>
      <c r="C414" s="37" t="str">
        <f>IF(A414="","",IFERROR(VLOOKUP(A414,Scénáře!$A$4:$C$503,3,FALSE())&amp;"",""))</f>
        <v/>
      </c>
      <c r="D414" s="35"/>
      <c r="E414" s="36"/>
      <c r="F414" s="35"/>
      <c r="G414" s="11"/>
      <c r="H414" s="11"/>
    </row>
    <row r="415" spans="1:8" x14ac:dyDescent="0.2">
      <c r="A415" s="35"/>
      <c r="B415" s="39" t="str">
        <f>IF(A415="","",IFERROR(VLOOKUP(A415,Scénáře!$A$4:$B$503,2,FALSE()),"ID nenalezeno"))</f>
        <v/>
      </c>
      <c r="C415" s="37" t="str">
        <f>IF(A415="","",IFERROR(VLOOKUP(A415,Scénáře!$A$4:$C$503,3,FALSE())&amp;"",""))</f>
        <v/>
      </c>
      <c r="D415" s="35"/>
      <c r="E415" s="36"/>
      <c r="F415" s="35"/>
      <c r="G415" s="11"/>
      <c r="H415" s="11"/>
    </row>
    <row r="416" spans="1:8" x14ac:dyDescent="0.2">
      <c r="A416" s="35"/>
      <c r="B416" s="39" t="str">
        <f>IF(A416="","",IFERROR(VLOOKUP(A416,Scénáře!$A$4:$B$503,2,FALSE()),"ID nenalezeno"))</f>
        <v/>
      </c>
      <c r="C416" s="37" t="str">
        <f>IF(A416="","",IFERROR(VLOOKUP(A416,Scénáře!$A$4:$C$503,3,FALSE())&amp;"",""))</f>
        <v/>
      </c>
      <c r="D416" s="35"/>
      <c r="E416" s="36"/>
      <c r="F416" s="35"/>
      <c r="G416" s="11"/>
      <c r="H416" s="11"/>
    </row>
    <row r="417" spans="1:8" x14ac:dyDescent="0.2">
      <c r="A417" s="35"/>
      <c r="B417" s="39" t="str">
        <f>IF(A417="","",IFERROR(VLOOKUP(A417,Scénáře!$A$4:$B$503,2,FALSE()),"ID nenalezeno"))</f>
        <v/>
      </c>
      <c r="C417" s="37" t="str">
        <f>IF(A417="","",IFERROR(VLOOKUP(A417,Scénáře!$A$4:$C$503,3,FALSE())&amp;"",""))</f>
        <v/>
      </c>
      <c r="D417" s="35"/>
      <c r="E417" s="36"/>
      <c r="F417" s="35"/>
      <c r="G417" s="11"/>
      <c r="H417" s="11"/>
    </row>
    <row r="418" spans="1:8" x14ac:dyDescent="0.2">
      <c r="A418" s="35"/>
      <c r="B418" s="39" t="str">
        <f>IF(A418="","",IFERROR(VLOOKUP(A418,Scénáře!$A$4:$B$503,2,FALSE()),"ID nenalezeno"))</f>
        <v/>
      </c>
      <c r="C418" s="37" t="str">
        <f>IF(A418="","",IFERROR(VLOOKUP(A418,Scénáře!$A$4:$C$503,3,FALSE())&amp;"",""))</f>
        <v/>
      </c>
      <c r="D418" s="35"/>
      <c r="E418" s="36"/>
      <c r="F418" s="35"/>
      <c r="G418" s="11"/>
      <c r="H418" s="11"/>
    </row>
    <row r="419" spans="1:8" x14ac:dyDescent="0.2">
      <c r="A419" s="35"/>
      <c r="B419" s="39" t="str">
        <f>IF(A419="","",IFERROR(VLOOKUP(A419,Scénáře!$A$4:$B$503,2,FALSE()),"ID nenalezeno"))</f>
        <v/>
      </c>
      <c r="C419" s="37" t="str">
        <f>IF(A419="","",IFERROR(VLOOKUP(A419,Scénáře!$A$4:$C$503,3,FALSE())&amp;"",""))</f>
        <v/>
      </c>
      <c r="D419" s="35"/>
      <c r="E419" s="36"/>
      <c r="F419" s="35"/>
      <c r="G419" s="11"/>
      <c r="H419" s="11"/>
    </row>
    <row r="420" spans="1:8" x14ac:dyDescent="0.2">
      <c r="A420" s="35"/>
      <c r="B420" s="39" t="str">
        <f>IF(A420="","",IFERROR(VLOOKUP(A420,Scénáře!$A$4:$B$503,2,FALSE()),"ID nenalezeno"))</f>
        <v/>
      </c>
      <c r="C420" s="37" t="str">
        <f>IF(A420="","",IFERROR(VLOOKUP(A420,Scénáře!$A$4:$C$503,3,FALSE())&amp;"",""))</f>
        <v/>
      </c>
      <c r="D420" s="35"/>
      <c r="E420" s="36"/>
      <c r="F420" s="35"/>
      <c r="G420" s="11"/>
      <c r="H420" s="11"/>
    </row>
    <row r="421" spans="1:8" x14ac:dyDescent="0.2">
      <c r="A421" s="35"/>
      <c r="B421" s="39" t="str">
        <f>IF(A421="","",IFERROR(VLOOKUP(A421,Scénáře!$A$4:$B$503,2,FALSE()),"ID nenalezeno"))</f>
        <v/>
      </c>
      <c r="C421" s="37" t="str">
        <f>IF(A421="","",IFERROR(VLOOKUP(A421,Scénáře!$A$4:$C$503,3,FALSE())&amp;"",""))</f>
        <v/>
      </c>
      <c r="D421" s="35"/>
      <c r="E421" s="36"/>
      <c r="F421" s="35"/>
      <c r="G421" s="11"/>
      <c r="H421" s="11"/>
    </row>
    <row r="422" spans="1:8" x14ac:dyDescent="0.2">
      <c r="A422" s="35"/>
      <c r="B422" s="39" t="str">
        <f>IF(A422="","",IFERROR(VLOOKUP(A422,Scénáře!$A$4:$B$503,2,FALSE()),"ID nenalezeno"))</f>
        <v/>
      </c>
      <c r="C422" s="37" t="str">
        <f>IF(A422="","",IFERROR(VLOOKUP(A422,Scénáře!$A$4:$C$503,3,FALSE())&amp;"",""))</f>
        <v/>
      </c>
      <c r="D422" s="35"/>
      <c r="E422" s="36"/>
      <c r="F422" s="35"/>
      <c r="G422" s="11"/>
      <c r="H422" s="11"/>
    </row>
    <row r="423" spans="1:8" x14ac:dyDescent="0.2">
      <c r="A423" s="35"/>
      <c r="B423" s="39" t="str">
        <f>IF(A423="","",IFERROR(VLOOKUP(A423,Scénáře!$A$4:$B$503,2,FALSE()),"ID nenalezeno"))</f>
        <v/>
      </c>
      <c r="C423" s="37" t="str">
        <f>IF(A423="","",IFERROR(VLOOKUP(A423,Scénáře!$A$4:$C$503,3,FALSE())&amp;"",""))</f>
        <v/>
      </c>
      <c r="D423" s="35"/>
      <c r="E423" s="36"/>
      <c r="F423" s="35"/>
      <c r="G423" s="11"/>
      <c r="H423" s="11"/>
    </row>
    <row r="424" spans="1:8" x14ac:dyDescent="0.2">
      <c r="A424" s="35"/>
      <c r="B424" s="39" t="str">
        <f>IF(A424="","",IFERROR(VLOOKUP(A424,Scénáře!$A$4:$B$503,2,FALSE()),"ID nenalezeno"))</f>
        <v/>
      </c>
      <c r="C424" s="37" t="str">
        <f>IF(A424="","",IFERROR(VLOOKUP(A424,Scénáře!$A$4:$C$503,3,FALSE())&amp;"",""))</f>
        <v/>
      </c>
      <c r="D424" s="35"/>
      <c r="E424" s="36"/>
      <c r="F424" s="35"/>
      <c r="G424" s="11"/>
      <c r="H424" s="11"/>
    </row>
    <row r="425" spans="1:8" x14ac:dyDescent="0.2">
      <c r="A425" s="35"/>
      <c r="B425" s="39" t="str">
        <f>IF(A425="","",IFERROR(VLOOKUP(A425,Scénáře!$A$4:$B$503,2,FALSE()),"ID nenalezeno"))</f>
        <v/>
      </c>
      <c r="C425" s="37" t="str">
        <f>IF(A425="","",IFERROR(VLOOKUP(A425,Scénáře!$A$4:$C$503,3,FALSE())&amp;"",""))</f>
        <v/>
      </c>
      <c r="D425" s="35"/>
      <c r="E425" s="36"/>
      <c r="F425" s="35"/>
      <c r="G425" s="11"/>
      <c r="H425" s="11"/>
    </row>
    <row r="426" spans="1:8" x14ac:dyDescent="0.2">
      <c r="A426" s="35"/>
      <c r="B426" s="39" t="str">
        <f>IF(A426="","",IFERROR(VLOOKUP(A426,Scénáře!$A$4:$B$503,2,FALSE()),"ID nenalezeno"))</f>
        <v/>
      </c>
      <c r="C426" s="37" t="str">
        <f>IF(A426="","",IFERROR(VLOOKUP(A426,Scénáře!$A$4:$C$503,3,FALSE())&amp;"",""))</f>
        <v/>
      </c>
      <c r="D426" s="35"/>
      <c r="E426" s="36"/>
      <c r="F426" s="35"/>
      <c r="G426" s="11"/>
      <c r="H426" s="11"/>
    </row>
    <row r="427" spans="1:8" x14ac:dyDescent="0.2">
      <c r="A427" s="35"/>
      <c r="B427" s="39" t="str">
        <f>IF(A427="","",IFERROR(VLOOKUP(A427,Scénáře!$A$4:$B$503,2,FALSE()),"ID nenalezeno"))</f>
        <v/>
      </c>
      <c r="C427" s="37" t="str">
        <f>IF(A427="","",IFERROR(VLOOKUP(A427,Scénáře!$A$4:$C$503,3,FALSE())&amp;"",""))</f>
        <v/>
      </c>
      <c r="D427" s="35"/>
      <c r="E427" s="36"/>
      <c r="F427" s="35"/>
      <c r="G427" s="11"/>
      <c r="H427" s="11"/>
    </row>
    <row r="428" spans="1:8" x14ac:dyDescent="0.2">
      <c r="A428" s="35"/>
      <c r="B428" s="39" t="str">
        <f>IF(A428="","",IFERROR(VLOOKUP(A428,Scénáře!$A$4:$B$503,2,FALSE()),"ID nenalezeno"))</f>
        <v/>
      </c>
      <c r="C428" s="37" t="str">
        <f>IF(A428="","",IFERROR(VLOOKUP(A428,Scénáře!$A$4:$C$503,3,FALSE())&amp;"",""))</f>
        <v/>
      </c>
      <c r="D428" s="35"/>
      <c r="E428" s="36"/>
      <c r="F428" s="35"/>
      <c r="G428" s="11"/>
      <c r="H428" s="11"/>
    </row>
    <row r="429" spans="1:8" x14ac:dyDescent="0.2">
      <c r="A429" s="35"/>
      <c r="B429" s="39" t="str">
        <f>IF(A429="","",IFERROR(VLOOKUP(A429,Scénáře!$A$4:$B$503,2,FALSE()),"ID nenalezeno"))</f>
        <v/>
      </c>
      <c r="C429" s="37" t="str">
        <f>IF(A429="","",IFERROR(VLOOKUP(A429,Scénáře!$A$4:$C$503,3,FALSE())&amp;"",""))</f>
        <v/>
      </c>
      <c r="D429" s="35"/>
      <c r="E429" s="36"/>
      <c r="F429" s="35"/>
      <c r="G429" s="11"/>
      <c r="H429" s="11"/>
    </row>
    <row r="430" spans="1:8" x14ac:dyDescent="0.2">
      <c r="A430" s="35"/>
      <c r="B430" s="39" t="str">
        <f>IF(A430="","",IFERROR(VLOOKUP(A430,Scénáře!$A$4:$B$503,2,FALSE()),"ID nenalezeno"))</f>
        <v/>
      </c>
      <c r="C430" s="37" t="str">
        <f>IF(A430="","",IFERROR(VLOOKUP(A430,Scénáře!$A$4:$C$503,3,FALSE())&amp;"",""))</f>
        <v/>
      </c>
      <c r="D430" s="35"/>
      <c r="E430" s="36"/>
      <c r="F430" s="35"/>
      <c r="G430" s="11"/>
      <c r="H430" s="11"/>
    </row>
    <row r="431" spans="1:8" x14ac:dyDescent="0.2">
      <c r="A431" s="35"/>
      <c r="B431" s="39" t="str">
        <f>IF(A431="","",IFERROR(VLOOKUP(A431,Scénáře!$A$4:$B$503,2,FALSE()),"ID nenalezeno"))</f>
        <v/>
      </c>
      <c r="C431" s="37" t="str">
        <f>IF(A431="","",IFERROR(VLOOKUP(A431,Scénáře!$A$4:$C$503,3,FALSE())&amp;"",""))</f>
        <v/>
      </c>
      <c r="D431" s="35"/>
      <c r="E431" s="36"/>
      <c r="F431" s="35"/>
      <c r="G431" s="11"/>
      <c r="H431" s="11"/>
    </row>
    <row r="432" spans="1:8" x14ac:dyDescent="0.2">
      <c r="A432" s="35"/>
      <c r="B432" s="39" t="str">
        <f>IF(A432="","",IFERROR(VLOOKUP(A432,Scénáře!$A$4:$B$503,2,FALSE()),"ID nenalezeno"))</f>
        <v/>
      </c>
      <c r="C432" s="37" t="str">
        <f>IF(A432="","",IFERROR(VLOOKUP(A432,Scénáře!$A$4:$C$503,3,FALSE())&amp;"",""))</f>
        <v/>
      </c>
      <c r="D432" s="35"/>
      <c r="E432" s="36"/>
      <c r="F432" s="35"/>
      <c r="G432" s="11"/>
      <c r="H432" s="11"/>
    </row>
    <row r="433" spans="1:8" x14ac:dyDescent="0.2">
      <c r="A433" s="35"/>
      <c r="B433" s="39" t="str">
        <f>IF(A433="","",IFERROR(VLOOKUP(A433,Scénáře!$A$4:$B$503,2,FALSE()),"ID nenalezeno"))</f>
        <v/>
      </c>
      <c r="C433" s="37" t="str">
        <f>IF(A433="","",IFERROR(VLOOKUP(A433,Scénáře!$A$4:$C$503,3,FALSE())&amp;"",""))</f>
        <v/>
      </c>
      <c r="D433" s="35"/>
      <c r="E433" s="36"/>
      <c r="F433" s="35"/>
      <c r="G433" s="11"/>
      <c r="H433" s="11"/>
    </row>
    <row r="434" spans="1:8" x14ac:dyDescent="0.2">
      <c r="A434" s="35"/>
      <c r="B434" s="39" t="str">
        <f>IF(A434="","",IFERROR(VLOOKUP(A434,Scénáře!$A$4:$B$503,2,FALSE()),"ID nenalezeno"))</f>
        <v/>
      </c>
      <c r="C434" s="37" t="str">
        <f>IF(A434="","",IFERROR(VLOOKUP(A434,Scénáře!$A$4:$C$503,3,FALSE())&amp;"",""))</f>
        <v/>
      </c>
      <c r="D434" s="35"/>
      <c r="E434" s="36"/>
      <c r="F434" s="35"/>
      <c r="G434" s="11"/>
      <c r="H434" s="11"/>
    </row>
    <row r="435" spans="1:8" x14ac:dyDescent="0.2">
      <c r="A435" s="35"/>
      <c r="B435" s="39" t="str">
        <f>IF(A435="","",IFERROR(VLOOKUP(A435,Scénáře!$A$4:$B$503,2,FALSE()),"ID nenalezeno"))</f>
        <v/>
      </c>
      <c r="C435" s="37" t="str">
        <f>IF(A435="","",IFERROR(VLOOKUP(A435,Scénáře!$A$4:$C$503,3,FALSE())&amp;"",""))</f>
        <v/>
      </c>
      <c r="D435" s="35"/>
      <c r="E435" s="36"/>
      <c r="F435" s="35"/>
      <c r="G435" s="11"/>
      <c r="H435" s="11"/>
    </row>
    <row r="436" spans="1:8" x14ac:dyDescent="0.2">
      <c r="A436" s="35"/>
      <c r="B436" s="39" t="str">
        <f>IF(A436="","",IFERROR(VLOOKUP(A436,Scénáře!$A$4:$B$503,2,FALSE()),"ID nenalezeno"))</f>
        <v/>
      </c>
      <c r="C436" s="37" t="str">
        <f>IF(A436="","",IFERROR(VLOOKUP(A436,Scénáře!$A$4:$C$503,3,FALSE())&amp;"",""))</f>
        <v/>
      </c>
      <c r="D436" s="35"/>
      <c r="E436" s="36"/>
      <c r="F436" s="35"/>
      <c r="G436" s="11"/>
      <c r="H436" s="11"/>
    </row>
    <row r="437" spans="1:8" x14ac:dyDescent="0.2">
      <c r="A437" s="35"/>
      <c r="B437" s="39" t="str">
        <f>IF(A437="","",IFERROR(VLOOKUP(A437,Scénáře!$A$4:$B$503,2,FALSE()),"ID nenalezeno"))</f>
        <v/>
      </c>
      <c r="C437" s="37" t="str">
        <f>IF(A437="","",IFERROR(VLOOKUP(A437,Scénáře!$A$4:$C$503,3,FALSE())&amp;"",""))</f>
        <v/>
      </c>
      <c r="D437" s="35"/>
      <c r="E437" s="36"/>
      <c r="F437" s="35"/>
      <c r="G437" s="11"/>
      <c r="H437" s="11"/>
    </row>
    <row r="438" spans="1:8" x14ac:dyDescent="0.2">
      <c r="A438" s="35"/>
      <c r="B438" s="39" t="str">
        <f>IF(A438="","",IFERROR(VLOOKUP(A438,Scénáře!$A$4:$B$503,2,FALSE()),"ID nenalezeno"))</f>
        <v/>
      </c>
      <c r="C438" s="37" t="str">
        <f>IF(A438="","",IFERROR(VLOOKUP(A438,Scénáře!$A$4:$C$503,3,FALSE())&amp;"",""))</f>
        <v/>
      </c>
      <c r="D438" s="35"/>
      <c r="E438" s="36"/>
      <c r="F438" s="35"/>
      <c r="G438" s="11"/>
      <c r="H438" s="11"/>
    </row>
    <row r="439" spans="1:8" x14ac:dyDescent="0.2">
      <c r="A439" s="35"/>
      <c r="B439" s="39" t="str">
        <f>IF(A439="","",IFERROR(VLOOKUP(A439,Scénáře!$A$4:$B$503,2,FALSE()),"ID nenalezeno"))</f>
        <v/>
      </c>
      <c r="C439" s="37" t="str">
        <f>IF(A439="","",IFERROR(VLOOKUP(A439,Scénáře!$A$4:$C$503,3,FALSE())&amp;"",""))</f>
        <v/>
      </c>
      <c r="D439" s="35"/>
      <c r="E439" s="36"/>
      <c r="F439" s="35"/>
      <c r="G439" s="11"/>
      <c r="H439" s="11"/>
    </row>
    <row r="440" spans="1:8" x14ac:dyDescent="0.2">
      <c r="A440" s="35"/>
      <c r="B440" s="39" t="str">
        <f>IF(A440="","",IFERROR(VLOOKUP(A440,Scénáře!$A$4:$B$503,2,FALSE()),"ID nenalezeno"))</f>
        <v/>
      </c>
      <c r="C440" s="37" t="str">
        <f>IF(A440="","",IFERROR(VLOOKUP(A440,Scénáře!$A$4:$C$503,3,FALSE())&amp;"",""))</f>
        <v/>
      </c>
      <c r="D440" s="35"/>
      <c r="E440" s="36"/>
      <c r="F440" s="35"/>
      <c r="G440" s="11"/>
      <c r="H440" s="11"/>
    </row>
    <row r="441" spans="1:8" x14ac:dyDescent="0.2">
      <c r="A441" s="35"/>
      <c r="B441" s="39" t="str">
        <f>IF(A441="","",IFERROR(VLOOKUP(A441,Scénáře!$A$4:$B$503,2,FALSE()),"ID nenalezeno"))</f>
        <v/>
      </c>
      <c r="C441" s="37" t="str">
        <f>IF(A441="","",IFERROR(VLOOKUP(A441,Scénáře!$A$4:$C$503,3,FALSE())&amp;"",""))</f>
        <v/>
      </c>
      <c r="D441" s="35"/>
      <c r="E441" s="36"/>
      <c r="F441" s="35"/>
      <c r="G441" s="11"/>
      <c r="H441" s="11"/>
    </row>
    <row r="442" spans="1:8" x14ac:dyDescent="0.2">
      <c r="A442" s="35"/>
      <c r="B442" s="39" t="str">
        <f>IF(A442="","",IFERROR(VLOOKUP(A442,Scénáře!$A$4:$B$503,2,FALSE()),"ID nenalezeno"))</f>
        <v/>
      </c>
      <c r="C442" s="37" t="str">
        <f>IF(A442="","",IFERROR(VLOOKUP(A442,Scénáře!$A$4:$C$503,3,FALSE())&amp;"",""))</f>
        <v/>
      </c>
      <c r="D442" s="35"/>
      <c r="E442" s="36"/>
      <c r="F442" s="35"/>
      <c r="G442" s="11"/>
      <c r="H442" s="11"/>
    </row>
    <row r="443" spans="1:8" x14ac:dyDescent="0.2">
      <c r="A443" s="35"/>
      <c r="B443" s="39" t="str">
        <f>IF(A443="","",IFERROR(VLOOKUP(A443,Scénáře!$A$4:$B$503,2,FALSE()),"ID nenalezeno"))</f>
        <v/>
      </c>
      <c r="C443" s="37" t="str">
        <f>IF(A443="","",IFERROR(VLOOKUP(A443,Scénáře!$A$4:$C$503,3,FALSE())&amp;"",""))</f>
        <v/>
      </c>
      <c r="D443" s="35"/>
      <c r="E443" s="36"/>
      <c r="F443" s="35"/>
      <c r="G443" s="11"/>
      <c r="H443" s="11"/>
    </row>
    <row r="444" spans="1:8" x14ac:dyDescent="0.2">
      <c r="A444" s="35"/>
      <c r="B444" s="39" t="str">
        <f>IF(A444="","",IFERROR(VLOOKUP(A444,Scénáře!$A$4:$B$503,2,FALSE()),"ID nenalezeno"))</f>
        <v/>
      </c>
      <c r="C444" s="37" t="str">
        <f>IF(A444="","",IFERROR(VLOOKUP(A444,Scénáře!$A$4:$C$503,3,FALSE())&amp;"",""))</f>
        <v/>
      </c>
      <c r="D444" s="35"/>
      <c r="E444" s="36"/>
      <c r="F444" s="35"/>
      <c r="G444" s="11"/>
      <c r="H444" s="11"/>
    </row>
    <row r="445" spans="1:8" x14ac:dyDescent="0.2">
      <c r="A445" s="35"/>
      <c r="B445" s="39" t="str">
        <f>IF(A445="","",IFERROR(VLOOKUP(A445,Scénáře!$A$4:$B$503,2,FALSE()),"ID nenalezeno"))</f>
        <v/>
      </c>
      <c r="C445" s="37" t="str">
        <f>IF(A445="","",IFERROR(VLOOKUP(A445,Scénáře!$A$4:$C$503,3,FALSE())&amp;"",""))</f>
        <v/>
      </c>
      <c r="D445" s="35"/>
      <c r="E445" s="36"/>
      <c r="F445" s="35"/>
      <c r="G445" s="11"/>
      <c r="H445" s="11"/>
    </row>
    <row r="446" spans="1:8" x14ac:dyDescent="0.2">
      <c r="A446" s="35"/>
      <c r="B446" s="39" t="str">
        <f>IF(A446="","",IFERROR(VLOOKUP(A446,Scénáře!$A$4:$B$503,2,FALSE()),"ID nenalezeno"))</f>
        <v/>
      </c>
      <c r="C446" s="37" t="str">
        <f>IF(A446="","",IFERROR(VLOOKUP(A446,Scénáře!$A$4:$C$503,3,FALSE())&amp;"",""))</f>
        <v/>
      </c>
      <c r="D446" s="35"/>
      <c r="E446" s="36"/>
      <c r="F446" s="35"/>
      <c r="G446" s="11"/>
      <c r="H446" s="11"/>
    </row>
    <row r="447" spans="1:8" x14ac:dyDescent="0.2">
      <c r="A447" s="35"/>
      <c r="B447" s="39" t="str">
        <f>IF(A447="","",IFERROR(VLOOKUP(A447,Scénáře!$A$4:$B$503,2,FALSE()),"ID nenalezeno"))</f>
        <v/>
      </c>
      <c r="C447" s="37" t="str">
        <f>IF(A447="","",IFERROR(VLOOKUP(A447,Scénáře!$A$4:$C$503,3,FALSE())&amp;"",""))</f>
        <v/>
      </c>
      <c r="D447" s="35"/>
      <c r="E447" s="36"/>
      <c r="F447" s="35"/>
      <c r="G447" s="11"/>
      <c r="H447" s="11"/>
    </row>
    <row r="448" spans="1:8" x14ac:dyDescent="0.2">
      <c r="A448" s="35"/>
      <c r="B448" s="39" t="str">
        <f>IF(A448="","",IFERROR(VLOOKUP(A448,Scénáře!$A$4:$B$503,2,FALSE()),"ID nenalezeno"))</f>
        <v/>
      </c>
      <c r="C448" s="37" t="str">
        <f>IF(A448="","",IFERROR(VLOOKUP(A448,Scénáře!$A$4:$C$503,3,FALSE())&amp;"",""))</f>
        <v/>
      </c>
      <c r="D448" s="35"/>
      <c r="E448" s="36"/>
      <c r="F448" s="35"/>
      <c r="G448" s="11"/>
      <c r="H448" s="11"/>
    </row>
    <row r="449" spans="1:8" x14ac:dyDescent="0.2">
      <c r="A449" s="35"/>
      <c r="B449" s="39" t="str">
        <f>IF(A449="","",IFERROR(VLOOKUP(A449,Scénáře!$A$4:$B$503,2,FALSE()),"ID nenalezeno"))</f>
        <v/>
      </c>
      <c r="C449" s="37" t="str">
        <f>IF(A449="","",IFERROR(VLOOKUP(A449,Scénáře!$A$4:$C$503,3,FALSE())&amp;"",""))</f>
        <v/>
      </c>
      <c r="D449" s="35"/>
      <c r="E449" s="36"/>
      <c r="F449" s="35"/>
      <c r="G449" s="11"/>
      <c r="H449" s="11"/>
    </row>
    <row r="450" spans="1:8" x14ac:dyDescent="0.2">
      <c r="A450" s="35"/>
      <c r="B450" s="39" t="str">
        <f>IF(A450="","",IFERROR(VLOOKUP(A450,Scénáře!$A$4:$B$503,2,FALSE()),"ID nenalezeno"))</f>
        <v/>
      </c>
      <c r="C450" s="37" t="str">
        <f>IF(A450="","",IFERROR(VLOOKUP(A450,Scénáře!$A$4:$C$503,3,FALSE())&amp;"",""))</f>
        <v/>
      </c>
      <c r="D450" s="35"/>
      <c r="E450" s="36"/>
      <c r="F450" s="35"/>
      <c r="G450" s="11"/>
      <c r="H450" s="11"/>
    </row>
    <row r="451" spans="1:8" x14ac:dyDescent="0.2">
      <c r="A451" s="35"/>
      <c r="B451" s="39" t="str">
        <f>IF(A451="","",IFERROR(VLOOKUP(A451,Scénáře!$A$4:$B$503,2,FALSE()),"ID nenalezeno"))</f>
        <v/>
      </c>
      <c r="C451" s="37" t="str">
        <f>IF(A451="","",IFERROR(VLOOKUP(A451,Scénáře!$A$4:$C$503,3,FALSE())&amp;"",""))</f>
        <v/>
      </c>
      <c r="D451" s="35"/>
      <c r="E451" s="36"/>
      <c r="F451" s="35"/>
      <c r="G451" s="11"/>
      <c r="H451" s="11"/>
    </row>
    <row r="452" spans="1:8" x14ac:dyDescent="0.2">
      <c r="A452" s="35"/>
      <c r="B452" s="39" t="str">
        <f>IF(A452="","",IFERROR(VLOOKUP(A452,Scénáře!$A$4:$B$503,2,FALSE()),"ID nenalezeno"))</f>
        <v/>
      </c>
      <c r="C452" s="37" t="str">
        <f>IF(A452="","",IFERROR(VLOOKUP(A452,Scénáře!$A$4:$C$503,3,FALSE())&amp;"",""))</f>
        <v/>
      </c>
      <c r="D452" s="35"/>
      <c r="E452" s="36"/>
      <c r="F452" s="35"/>
      <c r="G452" s="11"/>
      <c r="H452" s="11"/>
    </row>
    <row r="453" spans="1:8" x14ac:dyDescent="0.2">
      <c r="A453" s="35"/>
      <c r="B453" s="39" t="str">
        <f>IF(A453="","",IFERROR(VLOOKUP(A453,Scénáře!$A$4:$B$503,2,FALSE()),"ID nenalezeno"))</f>
        <v/>
      </c>
      <c r="C453" s="37" t="str">
        <f>IF(A453="","",IFERROR(VLOOKUP(A453,Scénáře!$A$4:$C$503,3,FALSE())&amp;"",""))</f>
        <v/>
      </c>
      <c r="D453" s="35"/>
      <c r="E453" s="36"/>
      <c r="F453" s="35"/>
      <c r="G453" s="11"/>
      <c r="H453" s="11"/>
    </row>
    <row r="454" spans="1:8" x14ac:dyDescent="0.2">
      <c r="A454" s="35"/>
      <c r="B454" s="39" t="str">
        <f>IF(A454="","",IFERROR(VLOOKUP(A454,Scénáře!$A$4:$B$503,2,FALSE()),"ID nenalezeno"))</f>
        <v/>
      </c>
      <c r="C454" s="37" t="str">
        <f>IF(A454="","",IFERROR(VLOOKUP(A454,Scénáře!$A$4:$C$503,3,FALSE())&amp;"",""))</f>
        <v/>
      </c>
      <c r="D454" s="35"/>
      <c r="E454" s="36"/>
      <c r="F454" s="35"/>
      <c r="G454" s="11"/>
      <c r="H454" s="11"/>
    </row>
    <row r="455" spans="1:8" x14ac:dyDescent="0.2">
      <c r="A455" s="35"/>
      <c r="B455" s="39" t="str">
        <f>IF(A455="","",IFERROR(VLOOKUP(A455,Scénáře!$A$4:$B$503,2,FALSE()),"ID nenalezeno"))</f>
        <v/>
      </c>
      <c r="C455" s="37" t="str">
        <f>IF(A455="","",IFERROR(VLOOKUP(A455,Scénáře!$A$4:$C$503,3,FALSE())&amp;"",""))</f>
        <v/>
      </c>
      <c r="D455" s="35"/>
      <c r="E455" s="36"/>
      <c r="F455" s="35"/>
      <c r="G455" s="11"/>
      <c r="H455" s="11"/>
    </row>
    <row r="456" spans="1:8" x14ac:dyDescent="0.2">
      <c r="A456" s="35"/>
      <c r="B456" s="39" t="str">
        <f>IF(A456="","",IFERROR(VLOOKUP(A456,Scénáře!$A$4:$B$503,2,FALSE()),"ID nenalezeno"))</f>
        <v/>
      </c>
      <c r="C456" s="37" t="str">
        <f>IF(A456="","",IFERROR(VLOOKUP(A456,Scénáře!$A$4:$C$503,3,FALSE())&amp;"",""))</f>
        <v/>
      </c>
      <c r="D456" s="35"/>
      <c r="E456" s="36"/>
      <c r="F456" s="35"/>
      <c r="G456" s="11"/>
      <c r="H456" s="11"/>
    </row>
    <row r="457" spans="1:8" x14ac:dyDescent="0.2">
      <c r="A457" s="35"/>
      <c r="B457" s="39" t="str">
        <f>IF(A457="","",IFERROR(VLOOKUP(A457,Scénáře!$A$4:$B$503,2,FALSE()),"ID nenalezeno"))</f>
        <v/>
      </c>
      <c r="C457" s="37" t="str">
        <f>IF(A457="","",IFERROR(VLOOKUP(A457,Scénáře!$A$4:$C$503,3,FALSE())&amp;"",""))</f>
        <v/>
      </c>
      <c r="D457" s="35"/>
      <c r="E457" s="36"/>
      <c r="F457" s="35"/>
      <c r="G457" s="11"/>
      <c r="H457" s="11"/>
    </row>
    <row r="458" spans="1:8" x14ac:dyDescent="0.2">
      <c r="A458" s="35"/>
      <c r="B458" s="39" t="str">
        <f>IF(A458="","",IFERROR(VLOOKUP(A458,Scénáře!$A$4:$B$503,2,FALSE()),"ID nenalezeno"))</f>
        <v/>
      </c>
      <c r="C458" s="37" t="str">
        <f>IF(A458="","",IFERROR(VLOOKUP(A458,Scénáře!$A$4:$C$503,3,FALSE())&amp;"",""))</f>
        <v/>
      </c>
      <c r="D458" s="35"/>
      <c r="E458" s="36"/>
      <c r="F458" s="35"/>
      <c r="G458" s="11"/>
      <c r="H458" s="11"/>
    </row>
    <row r="459" spans="1:8" x14ac:dyDescent="0.2">
      <c r="A459" s="35"/>
      <c r="B459" s="39" t="str">
        <f>IF(A459="","",IFERROR(VLOOKUP(A459,Scénáře!$A$4:$B$503,2,FALSE()),"ID nenalezeno"))</f>
        <v/>
      </c>
      <c r="C459" s="37" t="str">
        <f>IF(A459="","",IFERROR(VLOOKUP(A459,Scénáře!$A$4:$C$503,3,FALSE())&amp;"",""))</f>
        <v/>
      </c>
      <c r="D459" s="35"/>
      <c r="E459" s="36"/>
      <c r="F459" s="35"/>
      <c r="G459" s="11"/>
      <c r="H459" s="11"/>
    </row>
    <row r="460" spans="1:8" x14ac:dyDescent="0.2">
      <c r="A460" s="35"/>
      <c r="B460" s="39" t="str">
        <f>IF(A460="","",IFERROR(VLOOKUP(A460,Scénáře!$A$4:$B$503,2,FALSE()),"ID nenalezeno"))</f>
        <v/>
      </c>
      <c r="C460" s="37" t="str">
        <f>IF(A460="","",IFERROR(VLOOKUP(A460,Scénáře!$A$4:$C$503,3,FALSE())&amp;"",""))</f>
        <v/>
      </c>
      <c r="D460" s="35"/>
      <c r="E460" s="36"/>
      <c r="F460" s="35"/>
      <c r="G460" s="11"/>
      <c r="H460" s="11"/>
    </row>
    <row r="461" spans="1:8" x14ac:dyDescent="0.2">
      <c r="A461" s="35"/>
      <c r="B461" s="39" t="str">
        <f>IF(A461="","",IFERROR(VLOOKUP(A461,Scénáře!$A$4:$B$503,2,FALSE()),"ID nenalezeno"))</f>
        <v/>
      </c>
      <c r="C461" s="37" t="str">
        <f>IF(A461="","",IFERROR(VLOOKUP(A461,Scénáře!$A$4:$C$503,3,FALSE())&amp;"",""))</f>
        <v/>
      </c>
      <c r="D461" s="35"/>
      <c r="E461" s="36"/>
      <c r="F461" s="35"/>
      <c r="G461" s="11"/>
      <c r="H461" s="11"/>
    </row>
    <row r="462" spans="1:8" x14ac:dyDescent="0.2">
      <c r="A462" s="35"/>
      <c r="B462" s="39" t="str">
        <f>IF(A462="","",IFERROR(VLOOKUP(A462,Scénáře!$A$4:$B$503,2,FALSE()),"ID nenalezeno"))</f>
        <v/>
      </c>
      <c r="C462" s="37" t="str">
        <f>IF(A462="","",IFERROR(VLOOKUP(A462,Scénáře!$A$4:$C$503,3,FALSE())&amp;"",""))</f>
        <v/>
      </c>
      <c r="D462" s="35"/>
      <c r="E462" s="36"/>
      <c r="F462" s="35"/>
      <c r="G462" s="11"/>
      <c r="H462" s="11"/>
    </row>
    <row r="463" spans="1:8" x14ac:dyDescent="0.2">
      <c r="A463" s="35"/>
      <c r="B463" s="39" t="str">
        <f>IF(A463="","",IFERROR(VLOOKUP(A463,Scénáře!$A$4:$B$503,2,FALSE()),"ID nenalezeno"))</f>
        <v/>
      </c>
      <c r="C463" s="37" t="str">
        <f>IF(A463="","",IFERROR(VLOOKUP(A463,Scénáře!$A$4:$C$503,3,FALSE())&amp;"",""))</f>
        <v/>
      </c>
      <c r="D463" s="35"/>
      <c r="E463" s="36"/>
      <c r="F463" s="35"/>
      <c r="G463" s="11"/>
      <c r="H463" s="11"/>
    </row>
    <row r="464" spans="1:8" x14ac:dyDescent="0.2">
      <c r="A464" s="35"/>
      <c r="B464" s="39" t="str">
        <f>IF(A464="","",IFERROR(VLOOKUP(A464,Scénáře!$A$4:$B$503,2,FALSE()),"ID nenalezeno"))</f>
        <v/>
      </c>
      <c r="C464" s="37" t="str">
        <f>IF(A464="","",IFERROR(VLOOKUP(A464,Scénáře!$A$4:$C$503,3,FALSE())&amp;"",""))</f>
        <v/>
      </c>
      <c r="D464" s="35"/>
      <c r="E464" s="36"/>
      <c r="F464" s="35"/>
      <c r="G464" s="11"/>
      <c r="H464" s="11"/>
    </row>
    <row r="465" spans="1:8" x14ac:dyDescent="0.2">
      <c r="A465" s="35"/>
      <c r="B465" s="39" t="str">
        <f>IF(A465="","",IFERROR(VLOOKUP(A465,Scénáře!$A$4:$B$503,2,FALSE()),"ID nenalezeno"))</f>
        <v/>
      </c>
      <c r="C465" s="37" t="str">
        <f>IF(A465="","",IFERROR(VLOOKUP(A465,Scénáře!$A$4:$C$503,3,FALSE())&amp;"",""))</f>
        <v/>
      </c>
      <c r="D465" s="35"/>
      <c r="E465" s="36"/>
      <c r="F465" s="35"/>
      <c r="G465" s="11"/>
      <c r="H465" s="11"/>
    </row>
    <row r="466" spans="1:8" x14ac:dyDescent="0.2">
      <c r="A466" s="35"/>
      <c r="B466" s="39" t="str">
        <f>IF(A466="","",IFERROR(VLOOKUP(A466,Scénáře!$A$4:$B$503,2,FALSE()),"ID nenalezeno"))</f>
        <v/>
      </c>
      <c r="C466" s="37" t="str">
        <f>IF(A466="","",IFERROR(VLOOKUP(A466,Scénáře!$A$4:$C$503,3,FALSE())&amp;"",""))</f>
        <v/>
      </c>
      <c r="D466" s="35"/>
      <c r="E466" s="36"/>
      <c r="F466" s="35"/>
      <c r="G466" s="11"/>
      <c r="H466" s="11"/>
    </row>
    <row r="467" spans="1:8" x14ac:dyDescent="0.2">
      <c r="A467" s="35"/>
      <c r="B467" s="39" t="str">
        <f>IF(A467="","",IFERROR(VLOOKUP(A467,Scénáře!$A$4:$B$503,2,FALSE()),"ID nenalezeno"))</f>
        <v/>
      </c>
      <c r="C467" s="37" t="str">
        <f>IF(A467="","",IFERROR(VLOOKUP(A467,Scénáře!$A$4:$C$503,3,FALSE())&amp;"",""))</f>
        <v/>
      </c>
      <c r="D467" s="35"/>
      <c r="E467" s="36"/>
      <c r="F467" s="35"/>
      <c r="G467" s="11"/>
      <c r="H467" s="11"/>
    </row>
    <row r="468" spans="1:8" x14ac:dyDescent="0.2">
      <c r="A468" s="35"/>
      <c r="B468" s="39" t="str">
        <f>IF(A468="","",IFERROR(VLOOKUP(A468,Scénáře!$A$4:$B$503,2,FALSE()),"ID nenalezeno"))</f>
        <v/>
      </c>
      <c r="C468" s="37" t="str">
        <f>IF(A468="","",IFERROR(VLOOKUP(A468,Scénáře!$A$4:$C$503,3,FALSE())&amp;"",""))</f>
        <v/>
      </c>
      <c r="D468" s="35"/>
      <c r="E468" s="36"/>
      <c r="F468" s="35"/>
      <c r="G468" s="11"/>
      <c r="H468" s="11"/>
    </row>
    <row r="469" spans="1:8" x14ac:dyDescent="0.2">
      <c r="A469" s="35"/>
      <c r="B469" s="39" t="str">
        <f>IF(A469="","",IFERROR(VLOOKUP(A469,Scénáře!$A$4:$B$503,2,FALSE()),"ID nenalezeno"))</f>
        <v/>
      </c>
      <c r="C469" s="37" t="str">
        <f>IF(A469="","",IFERROR(VLOOKUP(A469,Scénáře!$A$4:$C$503,3,FALSE())&amp;"",""))</f>
        <v/>
      </c>
      <c r="D469" s="35"/>
      <c r="E469" s="36"/>
      <c r="F469" s="35"/>
      <c r="G469" s="11"/>
      <c r="H469" s="11"/>
    </row>
    <row r="470" spans="1:8" x14ac:dyDescent="0.2">
      <c r="A470" s="35"/>
      <c r="B470" s="39" t="str">
        <f>IF(A470="","",IFERROR(VLOOKUP(A470,Scénáře!$A$4:$B$503,2,FALSE()),"ID nenalezeno"))</f>
        <v/>
      </c>
      <c r="C470" s="37" t="str">
        <f>IF(A470="","",IFERROR(VLOOKUP(A470,Scénáře!$A$4:$C$503,3,FALSE())&amp;"",""))</f>
        <v/>
      </c>
      <c r="D470" s="35"/>
      <c r="E470" s="36"/>
      <c r="F470" s="35"/>
      <c r="G470" s="11"/>
      <c r="H470" s="11"/>
    </row>
    <row r="471" spans="1:8" x14ac:dyDescent="0.2">
      <c r="A471" s="35"/>
      <c r="B471" s="39" t="str">
        <f>IF(A471="","",IFERROR(VLOOKUP(A471,Scénáře!$A$4:$B$503,2,FALSE()),"ID nenalezeno"))</f>
        <v/>
      </c>
      <c r="C471" s="37" t="str">
        <f>IF(A471="","",IFERROR(VLOOKUP(A471,Scénáře!$A$4:$C$503,3,FALSE())&amp;"",""))</f>
        <v/>
      </c>
      <c r="D471" s="35"/>
      <c r="E471" s="36"/>
      <c r="F471" s="35"/>
      <c r="G471" s="11"/>
      <c r="H471" s="11"/>
    </row>
    <row r="472" spans="1:8" x14ac:dyDescent="0.2">
      <c r="A472" s="35"/>
      <c r="B472" s="39" t="str">
        <f>IF(A472="","",IFERROR(VLOOKUP(A472,Scénáře!$A$4:$B$503,2,FALSE()),"ID nenalezeno"))</f>
        <v/>
      </c>
      <c r="C472" s="37" t="str">
        <f>IF(A472="","",IFERROR(VLOOKUP(A472,Scénáře!$A$4:$C$503,3,FALSE())&amp;"",""))</f>
        <v/>
      </c>
      <c r="D472" s="35"/>
      <c r="E472" s="36"/>
      <c r="F472" s="35"/>
      <c r="G472" s="11"/>
      <c r="H472" s="11"/>
    </row>
    <row r="473" spans="1:8" x14ac:dyDescent="0.2">
      <c r="A473" s="35"/>
      <c r="B473" s="39" t="str">
        <f>IF(A473="","",IFERROR(VLOOKUP(A473,Scénáře!$A$4:$B$503,2,FALSE()),"ID nenalezeno"))</f>
        <v/>
      </c>
      <c r="C473" s="37" t="str">
        <f>IF(A473="","",IFERROR(VLOOKUP(A473,Scénáře!$A$4:$C$503,3,FALSE())&amp;"",""))</f>
        <v/>
      </c>
      <c r="D473" s="35"/>
      <c r="E473" s="36"/>
      <c r="F473" s="35"/>
      <c r="G473" s="11"/>
      <c r="H473" s="11"/>
    </row>
    <row r="474" spans="1:8" x14ac:dyDescent="0.2">
      <c r="A474" s="35"/>
      <c r="B474" s="39" t="str">
        <f>IF(A474="","",IFERROR(VLOOKUP(A474,Scénáře!$A$4:$B$503,2,FALSE()),"ID nenalezeno"))</f>
        <v/>
      </c>
      <c r="C474" s="37" t="str">
        <f>IF(A474="","",IFERROR(VLOOKUP(A474,Scénáře!$A$4:$C$503,3,FALSE())&amp;"",""))</f>
        <v/>
      </c>
      <c r="D474" s="35"/>
      <c r="E474" s="36"/>
      <c r="F474" s="35"/>
      <c r="G474" s="11"/>
      <c r="H474" s="11"/>
    </row>
    <row r="475" spans="1:8" x14ac:dyDescent="0.2">
      <c r="A475" s="35"/>
      <c r="B475" s="39" t="str">
        <f>IF(A475="","",IFERROR(VLOOKUP(A475,Scénáře!$A$4:$B$503,2,FALSE()),"ID nenalezeno"))</f>
        <v/>
      </c>
      <c r="C475" s="37" t="str">
        <f>IF(A475="","",IFERROR(VLOOKUP(A475,Scénáře!$A$4:$C$503,3,FALSE())&amp;"",""))</f>
        <v/>
      </c>
      <c r="D475" s="35"/>
      <c r="E475" s="36"/>
      <c r="F475" s="35"/>
      <c r="G475" s="11"/>
      <c r="H475" s="11"/>
    </row>
    <row r="476" spans="1:8" x14ac:dyDescent="0.2">
      <c r="A476" s="35"/>
      <c r="B476" s="39" t="str">
        <f>IF(A476="","",IFERROR(VLOOKUP(A476,Scénáře!$A$4:$B$503,2,FALSE()),"ID nenalezeno"))</f>
        <v/>
      </c>
      <c r="C476" s="37" t="str">
        <f>IF(A476="","",IFERROR(VLOOKUP(A476,Scénáře!$A$4:$C$503,3,FALSE())&amp;"",""))</f>
        <v/>
      </c>
      <c r="D476" s="35"/>
      <c r="E476" s="36"/>
      <c r="F476" s="35"/>
      <c r="G476" s="11"/>
      <c r="H476" s="11"/>
    </row>
    <row r="477" spans="1:8" x14ac:dyDescent="0.2">
      <c r="A477" s="35"/>
      <c r="B477" s="39" t="str">
        <f>IF(A477="","",IFERROR(VLOOKUP(A477,Scénáře!$A$4:$B$503,2,FALSE()),"ID nenalezeno"))</f>
        <v/>
      </c>
      <c r="C477" s="37" t="str">
        <f>IF(A477="","",IFERROR(VLOOKUP(A477,Scénáře!$A$4:$C$503,3,FALSE())&amp;"",""))</f>
        <v/>
      </c>
      <c r="D477" s="35"/>
      <c r="E477" s="36"/>
      <c r="F477" s="35"/>
      <c r="G477" s="11"/>
      <c r="H477" s="11"/>
    </row>
    <row r="478" spans="1:8" x14ac:dyDescent="0.2">
      <c r="A478" s="35"/>
      <c r="B478" s="39" t="str">
        <f>IF(A478="","",IFERROR(VLOOKUP(A478,Scénáře!$A$4:$B$503,2,FALSE()),"ID nenalezeno"))</f>
        <v/>
      </c>
      <c r="C478" s="37" t="str">
        <f>IF(A478="","",IFERROR(VLOOKUP(A478,Scénáře!$A$4:$C$503,3,FALSE())&amp;"",""))</f>
        <v/>
      </c>
      <c r="D478" s="35"/>
      <c r="E478" s="36"/>
      <c r="F478" s="35"/>
      <c r="G478" s="11"/>
      <c r="H478" s="11"/>
    </row>
    <row r="479" spans="1:8" x14ac:dyDescent="0.2">
      <c r="A479" s="35"/>
      <c r="B479" s="39" t="str">
        <f>IF(A479="","",IFERROR(VLOOKUP(A479,Scénáře!$A$4:$B$503,2,FALSE()),"ID nenalezeno"))</f>
        <v/>
      </c>
      <c r="C479" s="37" t="str">
        <f>IF(A479="","",IFERROR(VLOOKUP(A479,Scénáře!$A$4:$C$503,3,FALSE())&amp;"",""))</f>
        <v/>
      </c>
      <c r="D479" s="35"/>
      <c r="E479" s="36"/>
      <c r="F479" s="35"/>
      <c r="G479" s="11"/>
      <c r="H479" s="11"/>
    </row>
    <row r="480" spans="1:8" x14ac:dyDescent="0.2">
      <c r="A480" s="35"/>
      <c r="B480" s="39" t="str">
        <f>IF(A480="","",IFERROR(VLOOKUP(A480,Scénáře!$A$4:$B$503,2,FALSE()),"ID nenalezeno"))</f>
        <v/>
      </c>
      <c r="C480" s="37" t="str">
        <f>IF(A480="","",IFERROR(VLOOKUP(A480,Scénáře!$A$4:$C$503,3,FALSE())&amp;"",""))</f>
        <v/>
      </c>
      <c r="D480" s="35"/>
      <c r="E480" s="36"/>
      <c r="F480" s="35"/>
      <c r="G480" s="11"/>
      <c r="H480" s="11"/>
    </row>
    <row r="481" spans="1:8" x14ac:dyDescent="0.2">
      <c r="A481" s="35"/>
      <c r="B481" s="39" t="str">
        <f>IF(A481="","",IFERROR(VLOOKUP(A481,Scénáře!$A$4:$B$503,2,FALSE()),"ID nenalezeno"))</f>
        <v/>
      </c>
      <c r="C481" s="37" t="str">
        <f>IF(A481="","",IFERROR(VLOOKUP(A481,Scénáře!$A$4:$C$503,3,FALSE())&amp;"",""))</f>
        <v/>
      </c>
      <c r="D481" s="35"/>
      <c r="E481" s="36"/>
      <c r="F481" s="35"/>
      <c r="G481" s="11"/>
      <c r="H481" s="11"/>
    </row>
    <row r="482" spans="1:8" x14ac:dyDescent="0.2">
      <c r="A482" s="35"/>
      <c r="B482" s="39" t="str">
        <f>IF(A482="","",IFERROR(VLOOKUP(A482,Scénáře!$A$4:$B$503,2,FALSE()),"ID nenalezeno"))</f>
        <v/>
      </c>
      <c r="C482" s="37" t="str">
        <f>IF(A482="","",IFERROR(VLOOKUP(A482,Scénáře!$A$4:$C$503,3,FALSE())&amp;"",""))</f>
        <v/>
      </c>
      <c r="D482" s="35"/>
      <c r="E482" s="36"/>
      <c r="F482" s="35"/>
      <c r="G482" s="11"/>
      <c r="H482" s="11"/>
    </row>
    <row r="483" spans="1:8" x14ac:dyDescent="0.2">
      <c r="A483" s="35"/>
      <c r="B483" s="39" t="str">
        <f>IF(A483="","",IFERROR(VLOOKUP(A483,Scénáře!$A$4:$B$503,2,FALSE()),"ID nenalezeno"))</f>
        <v/>
      </c>
      <c r="C483" s="37" t="str">
        <f>IF(A483="","",IFERROR(VLOOKUP(A483,Scénáře!$A$4:$C$503,3,FALSE())&amp;"",""))</f>
        <v/>
      </c>
      <c r="D483" s="35"/>
      <c r="E483" s="36"/>
      <c r="F483" s="35"/>
      <c r="G483" s="11"/>
      <c r="H483" s="11"/>
    </row>
    <row r="484" spans="1:8" x14ac:dyDescent="0.2">
      <c r="A484" s="35"/>
      <c r="B484" s="39" t="str">
        <f>IF(A484="","",IFERROR(VLOOKUP(A484,Scénáře!$A$4:$B$503,2,FALSE()),"ID nenalezeno"))</f>
        <v/>
      </c>
      <c r="C484" s="37" t="str">
        <f>IF(A484="","",IFERROR(VLOOKUP(A484,Scénáře!$A$4:$C$503,3,FALSE())&amp;"",""))</f>
        <v/>
      </c>
      <c r="D484" s="35"/>
      <c r="E484" s="36"/>
      <c r="F484" s="35"/>
      <c r="G484" s="11"/>
      <c r="H484" s="11"/>
    </row>
    <row r="485" spans="1:8" x14ac:dyDescent="0.2">
      <c r="A485" s="35"/>
      <c r="B485" s="39" t="str">
        <f>IF(A485="","",IFERROR(VLOOKUP(A485,Scénáře!$A$4:$B$503,2,FALSE()),"ID nenalezeno"))</f>
        <v/>
      </c>
      <c r="C485" s="37" t="str">
        <f>IF(A485="","",IFERROR(VLOOKUP(A485,Scénáře!$A$4:$C$503,3,FALSE())&amp;"",""))</f>
        <v/>
      </c>
      <c r="D485" s="35"/>
      <c r="E485" s="36"/>
      <c r="F485" s="35"/>
      <c r="G485" s="11"/>
      <c r="H485" s="11"/>
    </row>
    <row r="486" spans="1:8" x14ac:dyDescent="0.2">
      <c r="A486" s="35"/>
      <c r="B486" s="39" t="str">
        <f>IF(A486="","",IFERROR(VLOOKUP(A486,Scénáře!$A$4:$B$503,2,FALSE()),"ID nenalezeno"))</f>
        <v/>
      </c>
      <c r="C486" s="37" t="str">
        <f>IF(A486="","",IFERROR(VLOOKUP(A486,Scénáře!$A$4:$C$503,3,FALSE())&amp;"",""))</f>
        <v/>
      </c>
      <c r="D486" s="35"/>
      <c r="E486" s="36"/>
      <c r="F486" s="35"/>
      <c r="G486" s="11"/>
      <c r="H486" s="11"/>
    </row>
    <row r="487" spans="1:8" x14ac:dyDescent="0.2">
      <c r="A487" s="35"/>
      <c r="B487" s="39" t="str">
        <f>IF(A487="","",IFERROR(VLOOKUP(A487,Scénáře!$A$4:$B$503,2,FALSE()),"ID nenalezeno"))</f>
        <v/>
      </c>
      <c r="C487" s="37" t="str">
        <f>IF(A487="","",IFERROR(VLOOKUP(A487,Scénáře!$A$4:$C$503,3,FALSE())&amp;"",""))</f>
        <v/>
      </c>
      <c r="D487" s="35"/>
      <c r="E487" s="36"/>
      <c r="F487" s="35"/>
      <c r="G487" s="11"/>
      <c r="H487" s="11"/>
    </row>
    <row r="488" spans="1:8" x14ac:dyDescent="0.2">
      <c r="A488" s="35"/>
      <c r="B488" s="39" t="str">
        <f>IF(A488="","",IFERROR(VLOOKUP(A488,Scénáře!$A$4:$B$503,2,FALSE()),"ID nenalezeno"))</f>
        <v/>
      </c>
      <c r="C488" s="37" t="str">
        <f>IF(A488="","",IFERROR(VLOOKUP(A488,Scénáře!$A$4:$C$503,3,FALSE())&amp;"",""))</f>
        <v/>
      </c>
      <c r="D488" s="35"/>
      <c r="E488" s="36"/>
      <c r="F488" s="35"/>
      <c r="G488" s="11"/>
      <c r="H488" s="11"/>
    </row>
    <row r="489" spans="1:8" x14ac:dyDescent="0.2">
      <c r="A489" s="35"/>
      <c r="B489" s="39" t="str">
        <f>IF(A489="","",IFERROR(VLOOKUP(A489,Scénáře!$A$4:$B$503,2,FALSE()),"ID nenalezeno"))</f>
        <v/>
      </c>
      <c r="C489" s="37" t="str">
        <f>IF(A489="","",IFERROR(VLOOKUP(A489,Scénáře!$A$4:$C$503,3,FALSE())&amp;"",""))</f>
        <v/>
      </c>
      <c r="D489" s="35"/>
      <c r="E489" s="36"/>
      <c r="F489" s="35"/>
      <c r="G489" s="11"/>
      <c r="H489" s="11"/>
    </row>
    <row r="490" spans="1:8" x14ac:dyDescent="0.2">
      <c r="A490" s="35"/>
      <c r="B490" s="39" t="str">
        <f>IF(A490="","",IFERROR(VLOOKUP(A490,Scénáře!$A$4:$B$503,2,FALSE()),"ID nenalezeno"))</f>
        <v/>
      </c>
      <c r="C490" s="37" t="str">
        <f>IF(A490="","",IFERROR(VLOOKUP(A490,Scénáře!$A$4:$C$503,3,FALSE())&amp;"",""))</f>
        <v/>
      </c>
      <c r="D490" s="35"/>
      <c r="E490" s="36"/>
      <c r="F490" s="35"/>
      <c r="G490" s="11"/>
      <c r="H490" s="11"/>
    </row>
    <row r="491" spans="1:8" x14ac:dyDescent="0.2">
      <c r="A491" s="35"/>
      <c r="B491" s="39" t="str">
        <f>IF(A491="","",IFERROR(VLOOKUP(A491,Scénáře!$A$4:$B$503,2,FALSE()),"ID nenalezeno"))</f>
        <v/>
      </c>
      <c r="C491" s="37" t="str">
        <f>IF(A491="","",IFERROR(VLOOKUP(A491,Scénáře!$A$4:$C$503,3,FALSE())&amp;"",""))</f>
        <v/>
      </c>
      <c r="D491" s="35"/>
      <c r="E491" s="36"/>
      <c r="F491" s="35"/>
      <c r="G491" s="11"/>
      <c r="H491" s="11"/>
    </row>
    <row r="492" spans="1:8" x14ac:dyDescent="0.2">
      <c r="A492" s="35"/>
      <c r="B492" s="39" t="str">
        <f>IF(A492="","",IFERROR(VLOOKUP(A492,Scénáře!$A$4:$B$503,2,FALSE()),"ID nenalezeno"))</f>
        <v/>
      </c>
      <c r="C492" s="37" t="str">
        <f>IF(A492="","",IFERROR(VLOOKUP(A492,Scénáře!$A$4:$C$503,3,FALSE())&amp;"",""))</f>
        <v/>
      </c>
      <c r="D492" s="35"/>
      <c r="E492" s="36"/>
      <c r="F492" s="35"/>
      <c r="G492" s="11"/>
      <c r="H492" s="11"/>
    </row>
    <row r="493" spans="1:8" x14ac:dyDescent="0.2">
      <c r="A493" s="35"/>
      <c r="B493" s="39" t="str">
        <f>IF(A493="","",IFERROR(VLOOKUP(A493,Scénáře!$A$4:$B$503,2,FALSE()),"ID nenalezeno"))</f>
        <v/>
      </c>
      <c r="C493" s="37" t="str">
        <f>IF(A493="","",IFERROR(VLOOKUP(A493,Scénáře!$A$4:$C$503,3,FALSE())&amp;"",""))</f>
        <v/>
      </c>
      <c r="D493" s="35"/>
      <c r="E493" s="36"/>
      <c r="F493" s="35"/>
      <c r="G493" s="11"/>
      <c r="H493" s="11"/>
    </row>
    <row r="494" spans="1:8" x14ac:dyDescent="0.2">
      <c r="A494" s="35"/>
      <c r="B494" s="39" t="str">
        <f>IF(A494="","",IFERROR(VLOOKUP(A494,Scénáře!$A$4:$B$503,2,FALSE()),"ID nenalezeno"))</f>
        <v/>
      </c>
      <c r="C494" s="37" t="str">
        <f>IF(A494="","",IFERROR(VLOOKUP(A494,Scénáře!$A$4:$C$503,3,FALSE())&amp;"",""))</f>
        <v/>
      </c>
      <c r="D494" s="35"/>
      <c r="E494" s="36"/>
      <c r="F494" s="35"/>
      <c r="G494" s="11"/>
      <c r="H494" s="11"/>
    </row>
    <row r="495" spans="1:8" x14ac:dyDescent="0.2">
      <c r="A495" s="35"/>
      <c r="B495" s="39" t="str">
        <f>IF(A495="","",IFERROR(VLOOKUP(A495,Scénáře!$A$4:$B$503,2,FALSE()),"ID nenalezeno"))</f>
        <v/>
      </c>
      <c r="C495" s="37" t="str">
        <f>IF(A495="","",IFERROR(VLOOKUP(A495,Scénáře!$A$4:$C$503,3,FALSE())&amp;"",""))</f>
        <v/>
      </c>
      <c r="D495" s="35"/>
      <c r="E495" s="36"/>
      <c r="F495" s="35"/>
      <c r="G495" s="11"/>
      <c r="H495" s="11"/>
    </row>
    <row r="496" spans="1:8" x14ac:dyDescent="0.2">
      <c r="A496" s="35"/>
      <c r="B496" s="39" t="str">
        <f>IF(A496="","",IFERROR(VLOOKUP(A496,Scénáře!$A$4:$B$503,2,FALSE()),"ID nenalezeno"))</f>
        <v/>
      </c>
      <c r="C496" s="37" t="str">
        <f>IF(A496="","",IFERROR(VLOOKUP(A496,Scénáře!$A$4:$C$503,3,FALSE())&amp;"",""))</f>
        <v/>
      </c>
      <c r="D496" s="35"/>
      <c r="E496" s="36"/>
      <c r="F496" s="35"/>
      <c r="G496" s="11"/>
      <c r="H496" s="11"/>
    </row>
    <row r="497" spans="1:8" x14ac:dyDescent="0.2">
      <c r="A497" s="35"/>
      <c r="B497" s="39" t="str">
        <f>IF(A497="","",IFERROR(VLOOKUP(A497,Scénáře!$A$4:$B$503,2,FALSE()),"ID nenalezeno"))</f>
        <v/>
      </c>
      <c r="C497" s="37" t="str">
        <f>IF(A497="","",IFERROR(VLOOKUP(A497,Scénáře!$A$4:$C$503,3,FALSE())&amp;"",""))</f>
        <v/>
      </c>
      <c r="D497" s="35"/>
      <c r="E497" s="36"/>
      <c r="F497" s="35"/>
      <c r="G497" s="11"/>
      <c r="H497" s="11"/>
    </row>
    <row r="498" spans="1:8" x14ac:dyDescent="0.2">
      <c r="A498" s="35"/>
      <c r="B498" s="39" t="str">
        <f>IF(A498="","",IFERROR(VLOOKUP(A498,Scénáře!$A$4:$B$503,2,FALSE()),"ID nenalezeno"))</f>
        <v/>
      </c>
      <c r="C498" s="37" t="str">
        <f>IF(A498="","",IFERROR(VLOOKUP(A498,Scénáře!$A$4:$C$503,3,FALSE())&amp;"",""))</f>
        <v/>
      </c>
      <c r="D498" s="35"/>
      <c r="E498" s="36"/>
      <c r="F498" s="35"/>
      <c r="G498" s="11"/>
      <c r="H498" s="11"/>
    </row>
    <row r="499" spans="1:8" x14ac:dyDescent="0.2">
      <c r="A499" s="35"/>
      <c r="B499" s="39" t="str">
        <f>IF(A499="","",IFERROR(VLOOKUP(A499,Scénáře!$A$4:$B$503,2,FALSE()),"ID nenalezeno"))</f>
        <v/>
      </c>
      <c r="C499" s="37" t="str">
        <f>IF(A499="","",IFERROR(VLOOKUP(A499,Scénáře!$A$4:$C$503,3,FALSE())&amp;"",""))</f>
        <v/>
      </c>
      <c r="D499" s="35"/>
      <c r="E499" s="36"/>
      <c r="F499" s="35"/>
      <c r="G499" s="11"/>
      <c r="H499" s="11"/>
    </row>
    <row r="500" spans="1:8" x14ac:dyDescent="0.2">
      <c r="A500" s="35"/>
      <c r="B500" s="39" t="str">
        <f>IF(A500="","",IFERROR(VLOOKUP(A500,Scénáře!$A$4:$B$503,2,FALSE()),"ID nenalezeno"))</f>
        <v/>
      </c>
      <c r="C500" s="37" t="str">
        <f>IF(A500="","",IFERROR(VLOOKUP(A500,Scénáře!$A$4:$C$503,3,FALSE())&amp;"",""))</f>
        <v/>
      </c>
      <c r="D500" s="35"/>
      <c r="E500" s="36"/>
      <c r="F500" s="35"/>
      <c r="G500" s="11"/>
      <c r="H500" s="11"/>
    </row>
    <row r="501" spans="1:8" x14ac:dyDescent="0.2">
      <c r="A501" s="35"/>
      <c r="B501" s="39" t="str">
        <f>IF(A501="","",IFERROR(VLOOKUP(A501,Scénáře!$A$4:$B$503,2,FALSE()),"ID nenalezeno"))</f>
        <v/>
      </c>
      <c r="C501" s="37" t="str">
        <f>IF(A501="","",IFERROR(VLOOKUP(A501,Scénáře!$A$4:$C$503,3,FALSE())&amp;"",""))</f>
        <v/>
      </c>
      <c r="D501" s="35"/>
      <c r="E501" s="36"/>
      <c r="F501" s="35"/>
      <c r="G501" s="11"/>
      <c r="H501" s="11"/>
    </row>
    <row r="502" spans="1:8" x14ac:dyDescent="0.2">
      <c r="A502" s="35"/>
      <c r="B502" s="39" t="str">
        <f>IF(A502="","",IFERROR(VLOOKUP(A502,Scénáře!$A$4:$B$503,2,FALSE()),"ID nenalezeno"))</f>
        <v/>
      </c>
      <c r="C502" s="37" t="str">
        <f>IF(A502="","",IFERROR(VLOOKUP(A502,Scénáře!$A$4:$C$503,3,FALSE())&amp;"",""))</f>
        <v/>
      </c>
      <c r="D502" s="35"/>
      <c r="E502" s="36"/>
      <c r="F502" s="35"/>
      <c r="G502" s="11"/>
      <c r="H502" s="11"/>
    </row>
    <row r="503" spans="1:8" x14ac:dyDescent="0.2">
      <c r="A503" s="35"/>
      <c r="B503" s="39" t="str">
        <f>IF(A503="","",IFERROR(VLOOKUP(A503,Scénáře!$A$4:$B$503,2,FALSE()),"ID nenalezeno"))</f>
        <v/>
      </c>
      <c r="C503" s="37" t="str">
        <f>IF(A503="","",IFERROR(VLOOKUP(A503,Scénáře!$A$4:$C$503,3,FALSE())&amp;"",""))</f>
        <v/>
      </c>
      <c r="D503" s="35"/>
      <c r="E503" s="36"/>
      <c r="F503" s="35"/>
      <c r="G503" s="11"/>
      <c r="H503" s="11"/>
    </row>
  </sheetData>
  <autoFilter ref="A3:H503" xr:uid="{00000000-0009-0000-0000-000004000000}"/>
  <conditionalFormatting sqref="E4:E503">
    <cfRule type="expression" dxfId="11" priority="3">
      <formula>AND($A4&lt;&gt;"",$E4="")</formula>
    </cfRule>
  </conditionalFormatting>
  <conditionalFormatting sqref="G4:G503">
    <cfRule type="expression" dxfId="10" priority="2">
      <formula>AND($A4&lt;&gt;"",$G4="")</formula>
    </cfRule>
  </conditionalFormatting>
  <dataValidations count="1">
    <dataValidation type="date" operator="greaterThan" allowBlank="1" showErrorMessage="1" errorTitle="Neplatné datum" error="Zadejte datum ve formátu DD.MM.RRRR." sqref="E4:E503" xr:uid="{00000000-0002-0000-0400-000003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Neplatná hodnota" error="Vyberte hodnotu z rozbalovacího seznamu." xr:uid="{00000000-0002-0000-0400-000000000000}">
          <x14:formula1>
            <xm:f>Scénáře!$A$4:$A$503</xm:f>
          </x14:formula1>
          <x14:formula2>
            <xm:f>0</xm:f>
          </x14:formula2>
          <xm:sqref>A4:A503</xm:sqref>
        </x14:dataValidation>
        <x14:dataValidation type="list" allowBlank="1" showErrorMessage="1" errorTitle="Neplatná hodnota" error="Vyberte hodnotu z rozbalovacího seznamu." xr:uid="{00000000-0002-0000-0400-000001000000}">
          <x14:formula1>
            <xm:f>Nastavení!$K$4:$K$11</xm:f>
          </x14:formula1>
          <x14:formula2>
            <xm:f>0</xm:f>
          </x14:formula2>
          <xm:sqref>D4:D503</xm:sqref>
        </x14:dataValidation>
        <x14:dataValidation type="list" allowBlank="1" showErrorMessage="1" errorTitle="Neplatná hodnota" error="Vyberte hodnotu z rozbalovacího seznamu." xr:uid="{00000000-0002-0000-0400-000002000000}">
          <x14:formula1>
            <xm:f>Nastavení!$T$4:$T$9</xm:f>
          </x14:formula1>
          <x14:formula2>
            <xm:f>0</xm:f>
          </x14:formula2>
          <xm:sqref>F4:F503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A1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0" customWidth="1"/>
    <col min="2" max="2" width="32" customWidth="1"/>
    <col min="3" max="3" width="30" customWidth="1"/>
    <col min="4" max="4" width="40" customWidth="1"/>
    <col min="5" max="5" width="12" customWidth="1"/>
    <col min="6" max="6" width="16" customWidth="1"/>
    <col min="7" max="8" width="12" customWidth="1"/>
    <col min="9" max="9" width="30" customWidth="1"/>
    <col min="10" max="11" width="13" customWidth="1"/>
    <col min="12" max="12" width="30" customWidth="1"/>
    <col min="13" max="13" width="14" customWidth="1"/>
    <col min="14" max="15" width="13" customWidth="1"/>
    <col min="16" max="20" width="10" customWidth="1"/>
    <col min="21" max="21" width="9" customWidth="1"/>
    <col min="22" max="23" width="11" customWidth="1"/>
    <col min="24" max="24" width="30" customWidth="1"/>
    <col min="25" max="25" width="36" customWidth="1"/>
    <col min="26" max="26" width="8" customWidth="1"/>
    <col min="27" max="27" width="9" customWidth="1"/>
  </cols>
  <sheetData>
    <row r="1" spans="1:27" ht="20" x14ac:dyDescent="0.2">
      <c r="A1" s="7" t="s">
        <v>278</v>
      </c>
    </row>
    <row r="2" spans="1:27" ht="15" customHeight="1" x14ac:dyDescent="0.2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 t="s">
        <v>123</v>
      </c>
      <c r="N2" s="3"/>
      <c r="O2" s="3"/>
      <c r="P2" s="1" t="s">
        <v>125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5" customHeight="1" x14ac:dyDescent="0.2">
      <c r="A3" s="31" t="s">
        <v>128</v>
      </c>
      <c r="B3" s="31" t="s">
        <v>103</v>
      </c>
      <c r="C3" s="31" t="s">
        <v>279</v>
      </c>
      <c r="D3" s="31" t="s">
        <v>280</v>
      </c>
      <c r="E3" s="31" t="s">
        <v>281</v>
      </c>
      <c r="F3" s="31" t="s">
        <v>282</v>
      </c>
      <c r="G3" s="31" t="s">
        <v>283</v>
      </c>
      <c r="H3" s="31" t="s">
        <v>284</v>
      </c>
      <c r="I3" s="31" t="s">
        <v>285</v>
      </c>
      <c r="J3" s="31" t="s">
        <v>286</v>
      </c>
      <c r="K3" s="31" t="s">
        <v>287</v>
      </c>
      <c r="L3" s="31" t="s">
        <v>288</v>
      </c>
      <c r="M3" s="32" t="s">
        <v>289</v>
      </c>
      <c r="N3" s="32" t="s">
        <v>290</v>
      </c>
      <c r="O3" s="32" t="s">
        <v>291</v>
      </c>
      <c r="P3" s="34" t="s">
        <v>107</v>
      </c>
      <c r="Q3" s="34" t="s">
        <v>292</v>
      </c>
      <c r="R3" s="34" t="s">
        <v>293</v>
      </c>
      <c r="S3" s="34" t="s">
        <v>294</v>
      </c>
      <c r="T3" s="34" t="s">
        <v>63</v>
      </c>
      <c r="U3" s="34" t="s">
        <v>109</v>
      </c>
      <c r="V3" s="34" t="s">
        <v>110</v>
      </c>
      <c r="W3" s="34" t="s">
        <v>295</v>
      </c>
      <c r="X3" s="34" t="s">
        <v>296</v>
      </c>
      <c r="Y3" s="34" t="s">
        <v>297</v>
      </c>
      <c r="Z3" s="34" t="s">
        <v>298</v>
      </c>
      <c r="AA3" s="34" t="s">
        <v>299</v>
      </c>
    </row>
    <row r="4" spans="1:27" ht="28" x14ac:dyDescent="0.2">
      <c r="A4" s="35" t="s">
        <v>195</v>
      </c>
      <c r="B4" s="11" t="s">
        <v>300</v>
      </c>
      <c r="C4" s="35" t="s">
        <v>196</v>
      </c>
      <c r="D4" s="11" t="s">
        <v>301</v>
      </c>
      <c r="E4" s="35" t="s">
        <v>78</v>
      </c>
      <c r="F4" s="35" t="s">
        <v>172</v>
      </c>
      <c r="G4" s="35">
        <v>8</v>
      </c>
      <c r="H4" s="35">
        <v>8</v>
      </c>
      <c r="I4" s="11"/>
      <c r="J4" s="36">
        <v>46327</v>
      </c>
      <c r="K4" s="36">
        <v>46418</v>
      </c>
      <c r="L4" s="11"/>
      <c r="M4" s="35" t="s">
        <v>302</v>
      </c>
      <c r="N4" s="35"/>
      <c r="O4" s="36"/>
      <c r="P4" s="37">
        <f>IF($A4="","",COUNTIFS(Scénáře!$C$4:$C$503,$A4,Scénáře!$W$4:$W$503,"&lt;&gt;Zrušeno"))</f>
        <v>3</v>
      </c>
      <c r="Q4" s="37">
        <f>IF($A4="","",COUNTIFS(Scénáře!$C$4:$C$503,$A4,Scénáře!$W$4:$W$503,"Schváleno"))</f>
        <v>1</v>
      </c>
      <c r="R4" s="37">
        <f>IF($A4="","",SUMPRODUCT((Scénáře!$C$4:$C$503=$A4)*((Scénáře!$AA$4:$AA$503="Natočeno")+(Scénáře!$AA$4:$AA$503="Ve střihu")+(Scénáře!$AA$4:$AA$503="Sestříháno")+(Scénáře!$AA$4:$AA$503="Publikováno"))))</f>
        <v>0</v>
      </c>
      <c r="S4" s="37">
        <f>IF($A4="","",COUNTIFS(Scénáře!$C$4:$C$503,$A4,Scénáře!$AF$4:$AF$503,"&gt;0"))</f>
        <v>0</v>
      </c>
      <c r="T4" s="40">
        <f t="shared" ref="T4:T35" si="0">IF($A4="","",IF(N(G4)&gt;0,S4/G4,""))</f>
        <v>0</v>
      </c>
      <c r="U4" s="37">
        <f t="shared" ref="U4:U35" si="1">IF($A4="","",MAX(0,N(G4)-S4))</f>
        <v>8</v>
      </c>
      <c r="V4" s="37">
        <f>IF($A4="","",SUMIFS(Scénáře!$AE$4:$AE$503,Scénáře!$C$4:$C$503,$A4))</f>
        <v>0</v>
      </c>
      <c r="W4" s="37">
        <f>IF($A4="","",COUNTIFS(Publikace!$C$4:$C$503,$A4,Publikace!$G$4:$G$503,""))</f>
        <v>0</v>
      </c>
      <c r="X4" s="39" t="str">
        <f t="shared" ref="X4:X35" si="2">IF($A4="","",IF(N(G4)=0,"Doplňte plánovaný počet dílů",TRIM(IF(S4&lt;G4,"Publikováno "&amp;S4&amp;" z "&amp;G4&amp;". ","")&amp;IF(V4&gt;0,"Otevřené připomínky: "&amp;V4&amp;". ","")&amp;IF(W4&gt;0,"Chybí odkazy: "&amp;W4&amp;". ",""))&amp;IF(AND(S4&gt;=G4,V4=0,W4=0),"ANO – podmínky splněny","")))</f>
        <v>Publikováno 0 z 8.</v>
      </c>
      <c r="Y4" s="39" t="str">
        <f t="shared" ref="Y4:Y35" si="3">IF($A4="","",TRIM(IF(AND(M4="Uzavřená",OR(N4="",O4="")),"Uzavřeno bez potvrzení (kdo / kdy). ","")&amp;IF(AND(M4="Uzavřená",LEFT(X4,3)&lt;&gt;"ANO"),"Uzavřeno, ale podmínky nejsou splněny. ","")&amp;IF(AND(H4&lt;&gt;"",G4&lt;&gt;H4,I4=""),"Změněn rozsah bez uvedení důvodu. ","")&amp;IF(P4&gt;N(G4),"Více dílů než plán. ","")))</f>
        <v/>
      </c>
      <c r="Z4" s="37" t="str">
        <f t="shared" ref="Z4:Z35" si="4">IF($A4="","",IF(OR(M4="Uzavřená",M4="Zrušená"),"NE","ANO"))</f>
        <v>ANO</v>
      </c>
      <c r="AA4" s="37">
        <f>IF(Z4="ANO",COUNTIF($Z$4:Z4,"ANO"),"")</f>
        <v>1</v>
      </c>
    </row>
    <row r="5" spans="1:27" ht="28" x14ac:dyDescent="0.2">
      <c r="A5" s="35" t="s">
        <v>303</v>
      </c>
      <c r="B5" s="11" t="s">
        <v>304</v>
      </c>
      <c r="C5" s="35" t="s">
        <v>176</v>
      </c>
      <c r="D5" s="11" t="s">
        <v>305</v>
      </c>
      <c r="E5" s="35" t="s">
        <v>75</v>
      </c>
      <c r="F5" s="35" t="s">
        <v>182</v>
      </c>
      <c r="G5" s="35">
        <v>5</v>
      </c>
      <c r="H5" s="35">
        <v>5</v>
      </c>
      <c r="I5" s="11"/>
      <c r="J5" s="36">
        <v>46357</v>
      </c>
      <c r="K5" s="36">
        <v>46446</v>
      </c>
      <c r="L5" s="11" t="s">
        <v>306</v>
      </c>
      <c r="M5" s="35" t="s">
        <v>307</v>
      </c>
      <c r="N5" s="35"/>
      <c r="O5" s="36"/>
      <c r="P5" s="37">
        <f>IF($A5="","",COUNTIFS(Scénáře!$C$4:$C$503,$A5,Scénáře!$W$4:$W$503,"&lt;&gt;Zrušeno"))</f>
        <v>0</v>
      </c>
      <c r="Q5" s="37">
        <f>IF($A5="","",COUNTIFS(Scénáře!$C$4:$C$503,$A5,Scénáře!$W$4:$W$503,"Schváleno"))</f>
        <v>0</v>
      </c>
      <c r="R5" s="37">
        <f>IF($A5="","",SUMPRODUCT((Scénáře!$C$4:$C$503=$A5)*((Scénáře!$AA$4:$AA$503="Natočeno")+(Scénáře!$AA$4:$AA$503="Ve střihu")+(Scénáře!$AA$4:$AA$503="Sestříháno")+(Scénáře!$AA$4:$AA$503="Publikováno"))))</f>
        <v>0</v>
      </c>
      <c r="S5" s="37">
        <f>IF($A5="","",COUNTIFS(Scénáře!$C$4:$C$503,$A5,Scénáře!$AF$4:$AF$503,"&gt;0"))</f>
        <v>0</v>
      </c>
      <c r="T5" s="40">
        <f t="shared" si="0"/>
        <v>0</v>
      </c>
      <c r="U5" s="37">
        <f t="shared" si="1"/>
        <v>5</v>
      </c>
      <c r="V5" s="37">
        <f>IF($A5="","",SUMIFS(Scénáře!$AE$4:$AE$503,Scénáře!$C$4:$C$503,$A5))</f>
        <v>0</v>
      </c>
      <c r="W5" s="37">
        <f>IF($A5="","",COUNTIFS(Publikace!$C$4:$C$503,$A5,Publikace!$G$4:$G$503,""))</f>
        <v>0</v>
      </c>
      <c r="X5" s="39" t="str">
        <f t="shared" si="2"/>
        <v>Publikováno 0 z 5.</v>
      </c>
      <c r="Y5" s="39" t="str">
        <f t="shared" si="3"/>
        <v/>
      </c>
      <c r="Z5" s="37" t="str">
        <f t="shared" si="4"/>
        <v>ANO</v>
      </c>
      <c r="AA5" s="37">
        <f>IF(Z5="ANO",COUNTIF($Z$4:Z5,"ANO"),"")</f>
        <v>2</v>
      </c>
    </row>
    <row r="6" spans="1:27" x14ac:dyDescent="0.2">
      <c r="A6" s="35"/>
      <c r="B6" s="11"/>
      <c r="C6" s="35"/>
      <c r="D6" s="11"/>
      <c r="E6" s="35"/>
      <c r="F6" s="35"/>
      <c r="G6" s="35"/>
      <c r="H6" s="35"/>
      <c r="I6" s="11"/>
      <c r="J6" s="36"/>
      <c r="K6" s="36"/>
      <c r="L6" s="11"/>
      <c r="M6" s="35"/>
      <c r="N6" s="35"/>
      <c r="O6" s="36"/>
      <c r="P6" s="37" t="str">
        <f>IF($A6="","",COUNTIFS(Scénáře!$C$4:$C$503,$A6,Scénáře!$W$4:$W$503,"&lt;&gt;Zrušeno"))</f>
        <v/>
      </c>
      <c r="Q6" s="37" t="str">
        <f>IF($A6="","",COUNTIFS(Scénáře!$C$4:$C$503,$A6,Scénáře!$W$4:$W$503,"Schváleno"))</f>
        <v/>
      </c>
      <c r="R6" s="37" t="str">
        <f>IF($A6="","",SUMPRODUCT((Scénáře!$C$4:$C$503=$A6)*((Scénáře!$AA$4:$AA$503="Natočeno")+(Scénáře!$AA$4:$AA$503="Ve střihu")+(Scénáře!$AA$4:$AA$503="Sestříháno")+(Scénáře!$AA$4:$AA$503="Publikováno"))))</f>
        <v/>
      </c>
      <c r="S6" s="37" t="str">
        <f>IF($A6="","",COUNTIFS(Scénáře!$C$4:$C$503,$A6,Scénáře!$AF$4:$AF$503,"&gt;0"))</f>
        <v/>
      </c>
      <c r="T6" s="40" t="str">
        <f t="shared" si="0"/>
        <v/>
      </c>
      <c r="U6" s="37" t="str">
        <f t="shared" si="1"/>
        <v/>
      </c>
      <c r="V6" s="37" t="str">
        <f>IF($A6="","",SUMIFS(Scénáře!$AE$4:$AE$503,Scénáře!$C$4:$C$503,$A6))</f>
        <v/>
      </c>
      <c r="W6" s="37" t="str">
        <f>IF($A6="","",COUNTIFS(Publikace!$C$4:$C$503,$A6,Publikace!$G$4:$G$503,""))</f>
        <v/>
      </c>
      <c r="X6" s="39" t="str">
        <f t="shared" si="2"/>
        <v/>
      </c>
      <c r="Y6" s="39" t="str">
        <f t="shared" si="3"/>
        <v/>
      </c>
      <c r="Z6" s="37" t="str">
        <f t="shared" si="4"/>
        <v/>
      </c>
      <c r="AA6" s="37" t="str">
        <f>IF(Z6="ANO",COUNTIF($Z$4:Z6,"ANO"),"")</f>
        <v/>
      </c>
    </row>
    <row r="7" spans="1:27" x14ac:dyDescent="0.2">
      <c r="A7" s="35"/>
      <c r="B7" s="11"/>
      <c r="C7" s="35"/>
      <c r="D7" s="11"/>
      <c r="E7" s="35"/>
      <c r="F7" s="35"/>
      <c r="G7" s="35"/>
      <c r="H7" s="35"/>
      <c r="I7" s="11"/>
      <c r="J7" s="36"/>
      <c r="K7" s="36"/>
      <c r="L7" s="11"/>
      <c r="M7" s="35"/>
      <c r="N7" s="35"/>
      <c r="O7" s="36"/>
      <c r="P7" s="37" t="str">
        <f>IF($A7="","",COUNTIFS(Scénáře!$C$4:$C$503,$A7,Scénáře!$W$4:$W$503,"&lt;&gt;Zrušeno"))</f>
        <v/>
      </c>
      <c r="Q7" s="37" t="str">
        <f>IF($A7="","",COUNTIFS(Scénáře!$C$4:$C$503,$A7,Scénáře!$W$4:$W$503,"Schváleno"))</f>
        <v/>
      </c>
      <c r="R7" s="37" t="str">
        <f>IF($A7="","",SUMPRODUCT((Scénáře!$C$4:$C$503=$A7)*((Scénáře!$AA$4:$AA$503="Natočeno")+(Scénáře!$AA$4:$AA$503="Ve střihu")+(Scénáře!$AA$4:$AA$503="Sestříháno")+(Scénáře!$AA$4:$AA$503="Publikováno"))))</f>
        <v/>
      </c>
      <c r="S7" s="37" t="str">
        <f>IF($A7="","",COUNTIFS(Scénáře!$C$4:$C$503,$A7,Scénáře!$AF$4:$AF$503,"&gt;0"))</f>
        <v/>
      </c>
      <c r="T7" s="40" t="str">
        <f t="shared" si="0"/>
        <v/>
      </c>
      <c r="U7" s="37" t="str">
        <f t="shared" si="1"/>
        <v/>
      </c>
      <c r="V7" s="37" t="str">
        <f>IF($A7="","",SUMIFS(Scénáře!$AE$4:$AE$503,Scénáře!$C$4:$C$503,$A7))</f>
        <v/>
      </c>
      <c r="W7" s="37" t="str">
        <f>IF($A7="","",COUNTIFS(Publikace!$C$4:$C$503,$A7,Publikace!$G$4:$G$503,""))</f>
        <v/>
      </c>
      <c r="X7" s="39" t="str">
        <f t="shared" si="2"/>
        <v/>
      </c>
      <c r="Y7" s="39" t="str">
        <f t="shared" si="3"/>
        <v/>
      </c>
      <c r="Z7" s="37" t="str">
        <f t="shared" si="4"/>
        <v/>
      </c>
      <c r="AA7" s="37" t="str">
        <f>IF(Z7="ANO",COUNTIF($Z$4:Z7,"ANO"),"")</f>
        <v/>
      </c>
    </row>
    <row r="8" spans="1:27" x14ac:dyDescent="0.2">
      <c r="A8" s="35"/>
      <c r="B8" s="11"/>
      <c r="C8" s="35"/>
      <c r="D8" s="11"/>
      <c r="E8" s="35"/>
      <c r="F8" s="35"/>
      <c r="G8" s="35"/>
      <c r="H8" s="35"/>
      <c r="I8" s="11"/>
      <c r="J8" s="36"/>
      <c r="K8" s="36"/>
      <c r="L8" s="11"/>
      <c r="M8" s="35"/>
      <c r="N8" s="35"/>
      <c r="O8" s="36"/>
      <c r="P8" s="37" t="str">
        <f>IF($A8="","",COUNTIFS(Scénáře!$C$4:$C$503,$A8,Scénáře!$W$4:$W$503,"&lt;&gt;Zrušeno"))</f>
        <v/>
      </c>
      <c r="Q8" s="37" t="str">
        <f>IF($A8="","",COUNTIFS(Scénáře!$C$4:$C$503,$A8,Scénáře!$W$4:$W$503,"Schváleno"))</f>
        <v/>
      </c>
      <c r="R8" s="37" t="str">
        <f>IF($A8="","",SUMPRODUCT((Scénáře!$C$4:$C$503=$A8)*((Scénáře!$AA$4:$AA$503="Natočeno")+(Scénáře!$AA$4:$AA$503="Ve střihu")+(Scénáře!$AA$4:$AA$503="Sestříháno")+(Scénáře!$AA$4:$AA$503="Publikováno"))))</f>
        <v/>
      </c>
      <c r="S8" s="37" t="str">
        <f>IF($A8="","",COUNTIFS(Scénáře!$C$4:$C$503,$A8,Scénáře!$AF$4:$AF$503,"&gt;0"))</f>
        <v/>
      </c>
      <c r="T8" s="40" t="str">
        <f t="shared" si="0"/>
        <v/>
      </c>
      <c r="U8" s="37" t="str">
        <f t="shared" si="1"/>
        <v/>
      </c>
      <c r="V8" s="37" t="str">
        <f>IF($A8="","",SUMIFS(Scénáře!$AE$4:$AE$503,Scénáře!$C$4:$C$503,$A8))</f>
        <v/>
      </c>
      <c r="W8" s="37" t="str">
        <f>IF($A8="","",COUNTIFS(Publikace!$C$4:$C$503,$A8,Publikace!$G$4:$G$503,""))</f>
        <v/>
      </c>
      <c r="X8" s="39" t="str">
        <f t="shared" si="2"/>
        <v/>
      </c>
      <c r="Y8" s="39" t="str">
        <f t="shared" si="3"/>
        <v/>
      </c>
      <c r="Z8" s="37" t="str">
        <f t="shared" si="4"/>
        <v/>
      </c>
      <c r="AA8" s="37" t="str">
        <f>IF(Z8="ANO",COUNTIF($Z$4:Z8,"ANO"),"")</f>
        <v/>
      </c>
    </row>
    <row r="9" spans="1:27" x14ac:dyDescent="0.2">
      <c r="A9" s="35"/>
      <c r="B9" s="11"/>
      <c r="C9" s="35"/>
      <c r="D9" s="11"/>
      <c r="E9" s="35"/>
      <c r="F9" s="35"/>
      <c r="G9" s="35"/>
      <c r="H9" s="35"/>
      <c r="I9" s="11"/>
      <c r="J9" s="36"/>
      <c r="K9" s="36"/>
      <c r="L9" s="11"/>
      <c r="M9" s="35"/>
      <c r="N9" s="35"/>
      <c r="O9" s="36"/>
      <c r="P9" s="37" t="str">
        <f>IF($A9="","",COUNTIFS(Scénáře!$C$4:$C$503,$A9,Scénáře!$W$4:$W$503,"&lt;&gt;Zrušeno"))</f>
        <v/>
      </c>
      <c r="Q9" s="37" t="str">
        <f>IF($A9="","",COUNTIFS(Scénáře!$C$4:$C$503,$A9,Scénáře!$W$4:$W$503,"Schváleno"))</f>
        <v/>
      </c>
      <c r="R9" s="37" t="str">
        <f>IF($A9="","",SUMPRODUCT((Scénáře!$C$4:$C$503=$A9)*((Scénáře!$AA$4:$AA$503="Natočeno")+(Scénáře!$AA$4:$AA$503="Ve střihu")+(Scénáře!$AA$4:$AA$503="Sestříháno")+(Scénáře!$AA$4:$AA$503="Publikováno"))))</f>
        <v/>
      </c>
      <c r="S9" s="37" t="str">
        <f>IF($A9="","",COUNTIFS(Scénáře!$C$4:$C$503,$A9,Scénáře!$AF$4:$AF$503,"&gt;0"))</f>
        <v/>
      </c>
      <c r="T9" s="40" t="str">
        <f t="shared" si="0"/>
        <v/>
      </c>
      <c r="U9" s="37" t="str">
        <f t="shared" si="1"/>
        <v/>
      </c>
      <c r="V9" s="37" t="str">
        <f>IF($A9="","",SUMIFS(Scénáře!$AE$4:$AE$503,Scénáře!$C$4:$C$503,$A9))</f>
        <v/>
      </c>
      <c r="W9" s="37" t="str">
        <f>IF($A9="","",COUNTIFS(Publikace!$C$4:$C$503,$A9,Publikace!$G$4:$G$503,""))</f>
        <v/>
      </c>
      <c r="X9" s="39" t="str">
        <f t="shared" si="2"/>
        <v/>
      </c>
      <c r="Y9" s="39" t="str">
        <f t="shared" si="3"/>
        <v/>
      </c>
      <c r="Z9" s="37" t="str">
        <f t="shared" si="4"/>
        <v/>
      </c>
      <c r="AA9" s="37" t="str">
        <f>IF(Z9="ANO",COUNTIF($Z$4:Z9,"ANO"),"")</f>
        <v/>
      </c>
    </row>
    <row r="10" spans="1:27" x14ac:dyDescent="0.2">
      <c r="A10" s="35"/>
      <c r="B10" s="11"/>
      <c r="C10" s="35"/>
      <c r="D10" s="11"/>
      <c r="E10" s="35"/>
      <c r="F10" s="35"/>
      <c r="G10" s="35"/>
      <c r="H10" s="35"/>
      <c r="I10" s="11"/>
      <c r="J10" s="36"/>
      <c r="K10" s="36"/>
      <c r="L10" s="11"/>
      <c r="M10" s="35"/>
      <c r="N10" s="35"/>
      <c r="O10" s="36"/>
      <c r="P10" s="37" t="str">
        <f>IF($A10="","",COUNTIFS(Scénáře!$C$4:$C$503,$A10,Scénáře!$W$4:$W$503,"&lt;&gt;Zrušeno"))</f>
        <v/>
      </c>
      <c r="Q10" s="37" t="str">
        <f>IF($A10="","",COUNTIFS(Scénáře!$C$4:$C$503,$A10,Scénáře!$W$4:$W$503,"Schváleno"))</f>
        <v/>
      </c>
      <c r="R10" s="37" t="str">
        <f>IF($A10="","",SUMPRODUCT((Scénáře!$C$4:$C$503=$A10)*((Scénáře!$AA$4:$AA$503="Natočeno")+(Scénáře!$AA$4:$AA$503="Ve střihu")+(Scénáře!$AA$4:$AA$503="Sestříháno")+(Scénáře!$AA$4:$AA$503="Publikováno"))))</f>
        <v/>
      </c>
      <c r="S10" s="37" t="str">
        <f>IF($A10="","",COUNTIFS(Scénáře!$C$4:$C$503,$A10,Scénáře!$AF$4:$AF$503,"&gt;0"))</f>
        <v/>
      </c>
      <c r="T10" s="40" t="str">
        <f t="shared" si="0"/>
        <v/>
      </c>
      <c r="U10" s="37" t="str">
        <f t="shared" si="1"/>
        <v/>
      </c>
      <c r="V10" s="37" t="str">
        <f>IF($A10="","",SUMIFS(Scénáře!$AE$4:$AE$503,Scénáře!$C$4:$C$503,$A10))</f>
        <v/>
      </c>
      <c r="W10" s="37" t="str">
        <f>IF($A10="","",COUNTIFS(Publikace!$C$4:$C$503,$A10,Publikace!$G$4:$G$503,""))</f>
        <v/>
      </c>
      <c r="X10" s="39" t="str">
        <f t="shared" si="2"/>
        <v/>
      </c>
      <c r="Y10" s="39" t="str">
        <f t="shared" si="3"/>
        <v/>
      </c>
      <c r="Z10" s="37" t="str">
        <f t="shared" si="4"/>
        <v/>
      </c>
      <c r="AA10" s="37" t="str">
        <f>IF(Z10="ANO",COUNTIF($Z$4:Z10,"ANO"),"")</f>
        <v/>
      </c>
    </row>
    <row r="11" spans="1:27" x14ac:dyDescent="0.2">
      <c r="A11" s="35"/>
      <c r="B11" s="11"/>
      <c r="C11" s="35"/>
      <c r="D11" s="11"/>
      <c r="E11" s="35"/>
      <c r="F11" s="35"/>
      <c r="G11" s="35"/>
      <c r="H11" s="35"/>
      <c r="I11" s="11"/>
      <c r="J11" s="36"/>
      <c r="K11" s="36"/>
      <c r="L11" s="11"/>
      <c r="M11" s="35"/>
      <c r="N11" s="35"/>
      <c r="O11" s="36"/>
      <c r="P11" s="37" t="str">
        <f>IF($A11="","",COUNTIFS(Scénáře!$C$4:$C$503,$A11,Scénáře!$W$4:$W$503,"&lt;&gt;Zrušeno"))</f>
        <v/>
      </c>
      <c r="Q11" s="37" t="str">
        <f>IF($A11="","",COUNTIFS(Scénáře!$C$4:$C$503,$A11,Scénáře!$W$4:$W$503,"Schváleno"))</f>
        <v/>
      </c>
      <c r="R11" s="37" t="str">
        <f>IF($A11="","",SUMPRODUCT((Scénáře!$C$4:$C$503=$A11)*((Scénáře!$AA$4:$AA$503="Natočeno")+(Scénáře!$AA$4:$AA$503="Ve střihu")+(Scénáře!$AA$4:$AA$503="Sestříháno")+(Scénáře!$AA$4:$AA$503="Publikováno"))))</f>
        <v/>
      </c>
      <c r="S11" s="37" t="str">
        <f>IF($A11="","",COUNTIFS(Scénáře!$C$4:$C$503,$A11,Scénáře!$AF$4:$AF$503,"&gt;0"))</f>
        <v/>
      </c>
      <c r="T11" s="40" t="str">
        <f t="shared" si="0"/>
        <v/>
      </c>
      <c r="U11" s="37" t="str">
        <f t="shared" si="1"/>
        <v/>
      </c>
      <c r="V11" s="37" t="str">
        <f>IF($A11="","",SUMIFS(Scénáře!$AE$4:$AE$503,Scénáře!$C$4:$C$503,$A11))</f>
        <v/>
      </c>
      <c r="W11" s="37" t="str">
        <f>IF($A11="","",COUNTIFS(Publikace!$C$4:$C$503,$A11,Publikace!$G$4:$G$503,""))</f>
        <v/>
      </c>
      <c r="X11" s="39" t="str">
        <f t="shared" si="2"/>
        <v/>
      </c>
      <c r="Y11" s="39" t="str">
        <f t="shared" si="3"/>
        <v/>
      </c>
      <c r="Z11" s="37" t="str">
        <f t="shared" si="4"/>
        <v/>
      </c>
      <c r="AA11" s="37" t="str">
        <f>IF(Z11="ANO",COUNTIF($Z$4:Z11,"ANO"),"")</f>
        <v/>
      </c>
    </row>
    <row r="12" spans="1:27" x14ac:dyDescent="0.2">
      <c r="A12" s="35"/>
      <c r="B12" s="11"/>
      <c r="C12" s="35"/>
      <c r="D12" s="11"/>
      <c r="E12" s="35"/>
      <c r="F12" s="35"/>
      <c r="G12" s="35"/>
      <c r="H12" s="35"/>
      <c r="I12" s="11"/>
      <c r="J12" s="36"/>
      <c r="K12" s="36"/>
      <c r="L12" s="11"/>
      <c r="M12" s="35"/>
      <c r="N12" s="35"/>
      <c r="O12" s="36"/>
      <c r="P12" s="37" t="str">
        <f>IF($A12="","",COUNTIFS(Scénáře!$C$4:$C$503,$A12,Scénáře!$W$4:$W$503,"&lt;&gt;Zrušeno"))</f>
        <v/>
      </c>
      <c r="Q12" s="37" t="str">
        <f>IF($A12="","",COUNTIFS(Scénáře!$C$4:$C$503,$A12,Scénáře!$W$4:$W$503,"Schváleno"))</f>
        <v/>
      </c>
      <c r="R12" s="37" t="str">
        <f>IF($A12="","",SUMPRODUCT((Scénáře!$C$4:$C$503=$A12)*((Scénáře!$AA$4:$AA$503="Natočeno")+(Scénáře!$AA$4:$AA$503="Ve střihu")+(Scénáře!$AA$4:$AA$503="Sestříháno")+(Scénáře!$AA$4:$AA$503="Publikováno"))))</f>
        <v/>
      </c>
      <c r="S12" s="37" t="str">
        <f>IF($A12="","",COUNTIFS(Scénáře!$C$4:$C$503,$A12,Scénáře!$AF$4:$AF$503,"&gt;0"))</f>
        <v/>
      </c>
      <c r="T12" s="40" t="str">
        <f t="shared" si="0"/>
        <v/>
      </c>
      <c r="U12" s="37" t="str">
        <f t="shared" si="1"/>
        <v/>
      </c>
      <c r="V12" s="37" t="str">
        <f>IF($A12="","",SUMIFS(Scénáře!$AE$4:$AE$503,Scénáře!$C$4:$C$503,$A12))</f>
        <v/>
      </c>
      <c r="W12" s="37" t="str">
        <f>IF($A12="","",COUNTIFS(Publikace!$C$4:$C$503,$A12,Publikace!$G$4:$G$503,""))</f>
        <v/>
      </c>
      <c r="X12" s="39" t="str">
        <f t="shared" si="2"/>
        <v/>
      </c>
      <c r="Y12" s="39" t="str">
        <f t="shared" si="3"/>
        <v/>
      </c>
      <c r="Z12" s="37" t="str">
        <f t="shared" si="4"/>
        <v/>
      </c>
      <c r="AA12" s="37" t="str">
        <f>IF(Z12="ANO",COUNTIF($Z$4:Z12,"ANO"),"")</f>
        <v/>
      </c>
    </row>
    <row r="13" spans="1:27" x14ac:dyDescent="0.2">
      <c r="A13" s="35"/>
      <c r="B13" s="11"/>
      <c r="C13" s="35"/>
      <c r="D13" s="11"/>
      <c r="E13" s="35"/>
      <c r="F13" s="35"/>
      <c r="G13" s="35"/>
      <c r="H13" s="35"/>
      <c r="I13" s="11"/>
      <c r="J13" s="36"/>
      <c r="K13" s="36"/>
      <c r="L13" s="11"/>
      <c r="M13" s="35"/>
      <c r="N13" s="35"/>
      <c r="O13" s="36"/>
      <c r="P13" s="37" t="str">
        <f>IF($A13="","",COUNTIFS(Scénáře!$C$4:$C$503,$A13,Scénáře!$W$4:$W$503,"&lt;&gt;Zrušeno"))</f>
        <v/>
      </c>
      <c r="Q13" s="37" t="str">
        <f>IF($A13="","",COUNTIFS(Scénáře!$C$4:$C$503,$A13,Scénáře!$W$4:$W$503,"Schváleno"))</f>
        <v/>
      </c>
      <c r="R13" s="37" t="str">
        <f>IF($A13="","",SUMPRODUCT((Scénáře!$C$4:$C$503=$A13)*((Scénáře!$AA$4:$AA$503="Natočeno")+(Scénáře!$AA$4:$AA$503="Ve střihu")+(Scénáře!$AA$4:$AA$503="Sestříháno")+(Scénáře!$AA$4:$AA$503="Publikováno"))))</f>
        <v/>
      </c>
      <c r="S13" s="37" t="str">
        <f>IF($A13="","",COUNTIFS(Scénáře!$C$4:$C$503,$A13,Scénáře!$AF$4:$AF$503,"&gt;0"))</f>
        <v/>
      </c>
      <c r="T13" s="40" t="str">
        <f t="shared" si="0"/>
        <v/>
      </c>
      <c r="U13" s="37" t="str">
        <f t="shared" si="1"/>
        <v/>
      </c>
      <c r="V13" s="37" t="str">
        <f>IF($A13="","",SUMIFS(Scénáře!$AE$4:$AE$503,Scénáře!$C$4:$C$503,$A13))</f>
        <v/>
      </c>
      <c r="W13" s="37" t="str">
        <f>IF($A13="","",COUNTIFS(Publikace!$C$4:$C$503,$A13,Publikace!$G$4:$G$503,""))</f>
        <v/>
      </c>
      <c r="X13" s="39" t="str">
        <f t="shared" si="2"/>
        <v/>
      </c>
      <c r="Y13" s="39" t="str">
        <f t="shared" si="3"/>
        <v/>
      </c>
      <c r="Z13" s="37" t="str">
        <f t="shared" si="4"/>
        <v/>
      </c>
      <c r="AA13" s="37" t="str">
        <f>IF(Z13="ANO",COUNTIF($Z$4:Z13,"ANO"),"")</f>
        <v/>
      </c>
    </row>
    <row r="14" spans="1:27" x14ac:dyDescent="0.2">
      <c r="A14" s="35"/>
      <c r="B14" s="11"/>
      <c r="C14" s="35"/>
      <c r="D14" s="11"/>
      <c r="E14" s="35"/>
      <c r="F14" s="35"/>
      <c r="G14" s="35"/>
      <c r="H14" s="35"/>
      <c r="I14" s="11"/>
      <c r="J14" s="36"/>
      <c r="K14" s="36"/>
      <c r="L14" s="11"/>
      <c r="M14" s="35"/>
      <c r="N14" s="35"/>
      <c r="O14" s="36"/>
      <c r="P14" s="37" t="str">
        <f>IF($A14="","",COUNTIFS(Scénáře!$C$4:$C$503,$A14,Scénáře!$W$4:$W$503,"&lt;&gt;Zrušeno"))</f>
        <v/>
      </c>
      <c r="Q14" s="37" t="str">
        <f>IF($A14="","",COUNTIFS(Scénáře!$C$4:$C$503,$A14,Scénáře!$W$4:$W$503,"Schváleno"))</f>
        <v/>
      </c>
      <c r="R14" s="37" t="str">
        <f>IF($A14="","",SUMPRODUCT((Scénáře!$C$4:$C$503=$A14)*((Scénáře!$AA$4:$AA$503="Natočeno")+(Scénáře!$AA$4:$AA$503="Ve střihu")+(Scénáře!$AA$4:$AA$503="Sestříháno")+(Scénáře!$AA$4:$AA$503="Publikováno"))))</f>
        <v/>
      </c>
      <c r="S14" s="37" t="str">
        <f>IF($A14="","",COUNTIFS(Scénáře!$C$4:$C$503,$A14,Scénáře!$AF$4:$AF$503,"&gt;0"))</f>
        <v/>
      </c>
      <c r="T14" s="40" t="str">
        <f t="shared" si="0"/>
        <v/>
      </c>
      <c r="U14" s="37" t="str">
        <f t="shared" si="1"/>
        <v/>
      </c>
      <c r="V14" s="37" t="str">
        <f>IF($A14="","",SUMIFS(Scénáře!$AE$4:$AE$503,Scénáře!$C$4:$C$503,$A14))</f>
        <v/>
      </c>
      <c r="W14" s="37" t="str">
        <f>IF($A14="","",COUNTIFS(Publikace!$C$4:$C$503,$A14,Publikace!$G$4:$G$503,""))</f>
        <v/>
      </c>
      <c r="X14" s="39" t="str">
        <f t="shared" si="2"/>
        <v/>
      </c>
      <c r="Y14" s="39" t="str">
        <f t="shared" si="3"/>
        <v/>
      </c>
      <c r="Z14" s="37" t="str">
        <f t="shared" si="4"/>
        <v/>
      </c>
      <c r="AA14" s="37" t="str">
        <f>IF(Z14="ANO",COUNTIF($Z$4:Z14,"ANO"),"")</f>
        <v/>
      </c>
    </row>
    <row r="15" spans="1:27" x14ac:dyDescent="0.2">
      <c r="A15" s="35"/>
      <c r="B15" s="11"/>
      <c r="C15" s="35"/>
      <c r="D15" s="11"/>
      <c r="E15" s="35"/>
      <c r="F15" s="35"/>
      <c r="G15" s="35"/>
      <c r="H15" s="35"/>
      <c r="I15" s="11"/>
      <c r="J15" s="36"/>
      <c r="K15" s="36"/>
      <c r="L15" s="11"/>
      <c r="M15" s="35"/>
      <c r="N15" s="35"/>
      <c r="O15" s="36"/>
      <c r="P15" s="37" t="str">
        <f>IF($A15="","",COUNTIFS(Scénáře!$C$4:$C$503,$A15,Scénáře!$W$4:$W$503,"&lt;&gt;Zrušeno"))</f>
        <v/>
      </c>
      <c r="Q15" s="37" t="str">
        <f>IF($A15="","",COUNTIFS(Scénáře!$C$4:$C$503,$A15,Scénáře!$W$4:$W$503,"Schváleno"))</f>
        <v/>
      </c>
      <c r="R15" s="37" t="str">
        <f>IF($A15="","",SUMPRODUCT((Scénáře!$C$4:$C$503=$A15)*((Scénáře!$AA$4:$AA$503="Natočeno")+(Scénáře!$AA$4:$AA$503="Ve střihu")+(Scénáře!$AA$4:$AA$503="Sestříháno")+(Scénáře!$AA$4:$AA$503="Publikováno"))))</f>
        <v/>
      </c>
      <c r="S15" s="37" t="str">
        <f>IF($A15="","",COUNTIFS(Scénáře!$C$4:$C$503,$A15,Scénáře!$AF$4:$AF$503,"&gt;0"))</f>
        <v/>
      </c>
      <c r="T15" s="40" t="str">
        <f t="shared" si="0"/>
        <v/>
      </c>
      <c r="U15" s="37" t="str">
        <f t="shared" si="1"/>
        <v/>
      </c>
      <c r="V15" s="37" t="str">
        <f>IF($A15="","",SUMIFS(Scénáře!$AE$4:$AE$503,Scénáře!$C$4:$C$503,$A15))</f>
        <v/>
      </c>
      <c r="W15" s="37" t="str">
        <f>IF($A15="","",COUNTIFS(Publikace!$C$4:$C$503,$A15,Publikace!$G$4:$G$503,""))</f>
        <v/>
      </c>
      <c r="X15" s="39" t="str">
        <f t="shared" si="2"/>
        <v/>
      </c>
      <c r="Y15" s="39" t="str">
        <f t="shared" si="3"/>
        <v/>
      </c>
      <c r="Z15" s="37" t="str">
        <f t="shared" si="4"/>
        <v/>
      </c>
      <c r="AA15" s="37" t="str">
        <f>IF(Z15="ANO",COUNTIF($Z$4:Z15,"ANO"),"")</f>
        <v/>
      </c>
    </row>
    <row r="16" spans="1:27" x14ac:dyDescent="0.2">
      <c r="A16" s="35"/>
      <c r="B16" s="11"/>
      <c r="C16" s="35"/>
      <c r="D16" s="11"/>
      <c r="E16" s="35"/>
      <c r="F16" s="35"/>
      <c r="G16" s="35"/>
      <c r="H16" s="35"/>
      <c r="I16" s="11"/>
      <c r="J16" s="36"/>
      <c r="K16" s="36"/>
      <c r="L16" s="11"/>
      <c r="M16" s="35"/>
      <c r="N16" s="35"/>
      <c r="O16" s="36"/>
      <c r="P16" s="37" t="str">
        <f>IF($A16="","",COUNTIFS(Scénáře!$C$4:$C$503,$A16,Scénáře!$W$4:$W$503,"&lt;&gt;Zrušeno"))</f>
        <v/>
      </c>
      <c r="Q16" s="37" t="str">
        <f>IF($A16="","",COUNTIFS(Scénáře!$C$4:$C$503,$A16,Scénáře!$W$4:$W$503,"Schváleno"))</f>
        <v/>
      </c>
      <c r="R16" s="37" t="str">
        <f>IF($A16="","",SUMPRODUCT((Scénáře!$C$4:$C$503=$A16)*((Scénáře!$AA$4:$AA$503="Natočeno")+(Scénáře!$AA$4:$AA$503="Ve střihu")+(Scénáře!$AA$4:$AA$503="Sestříháno")+(Scénáře!$AA$4:$AA$503="Publikováno"))))</f>
        <v/>
      </c>
      <c r="S16" s="37" t="str">
        <f>IF($A16="","",COUNTIFS(Scénáře!$C$4:$C$503,$A16,Scénáře!$AF$4:$AF$503,"&gt;0"))</f>
        <v/>
      </c>
      <c r="T16" s="40" t="str">
        <f t="shared" si="0"/>
        <v/>
      </c>
      <c r="U16" s="37" t="str">
        <f t="shared" si="1"/>
        <v/>
      </c>
      <c r="V16" s="37" t="str">
        <f>IF($A16="","",SUMIFS(Scénáře!$AE$4:$AE$503,Scénáře!$C$4:$C$503,$A16))</f>
        <v/>
      </c>
      <c r="W16" s="37" t="str">
        <f>IF($A16="","",COUNTIFS(Publikace!$C$4:$C$503,$A16,Publikace!$G$4:$G$503,""))</f>
        <v/>
      </c>
      <c r="X16" s="39" t="str">
        <f t="shared" si="2"/>
        <v/>
      </c>
      <c r="Y16" s="39" t="str">
        <f t="shared" si="3"/>
        <v/>
      </c>
      <c r="Z16" s="37" t="str">
        <f t="shared" si="4"/>
        <v/>
      </c>
      <c r="AA16" s="37" t="str">
        <f>IF(Z16="ANO",COUNTIF($Z$4:Z16,"ANO"),"")</f>
        <v/>
      </c>
    </row>
    <row r="17" spans="1:27" x14ac:dyDescent="0.2">
      <c r="A17" s="35"/>
      <c r="B17" s="11"/>
      <c r="C17" s="35"/>
      <c r="D17" s="11"/>
      <c r="E17" s="35"/>
      <c r="F17" s="35"/>
      <c r="G17" s="35"/>
      <c r="H17" s="35"/>
      <c r="I17" s="11"/>
      <c r="J17" s="36"/>
      <c r="K17" s="36"/>
      <c r="L17" s="11"/>
      <c r="M17" s="35"/>
      <c r="N17" s="35"/>
      <c r="O17" s="36"/>
      <c r="P17" s="37" t="str">
        <f>IF($A17="","",COUNTIFS(Scénáře!$C$4:$C$503,$A17,Scénáře!$W$4:$W$503,"&lt;&gt;Zrušeno"))</f>
        <v/>
      </c>
      <c r="Q17" s="37" t="str">
        <f>IF($A17="","",COUNTIFS(Scénáře!$C$4:$C$503,$A17,Scénáře!$W$4:$W$503,"Schváleno"))</f>
        <v/>
      </c>
      <c r="R17" s="37" t="str">
        <f>IF($A17="","",SUMPRODUCT((Scénáře!$C$4:$C$503=$A17)*((Scénáře!$AA$4:$AA$503="Natočeno")+(Scénáře!$AA$4:$AA$503="Ve střihu")+(Scénáře!$AA$4:$AA$503="Sestříháno")+(Scénáře!$AA$4:$AA$503="Publikováno"))))</f>
        <v/>
      </c>
      <c r="S17" s="37" t="str">
        <f>IF($A17="","",COUNTIFS(Scénáře!$C$4:$C$503,$A17,Scénáře!$AF$4:$AF$503,"&gt;0"))</f>
        <v/>
      </c>
      <c r="T17" s="40" t="str">
        <f t="shared" si="0"/>
        <v/>
      </c>
      <c r="U17" s="37" t="str">
        <f t="shared" si="1"/>
        <v/>
      </c>
      <c r="V17" s="37" t="str">
        <f>IF($A17="","",SUMIFS(Scénáře!$AE$4:$AE$503,Scénáře!$C$4:$C$503,$A17))</f>
        <v/>
      </c>
      <c r="W17" s="37" t="str">
        <f>IF($A17="","",COUNTIFS(Publikace!$C$4:$C$503,$A17,Publikace!$G$4:$G$503,""))</f>
        <v/>
      </c>
      <c r="X17" s="39" t="str">
        <f t="shared" si="2"/>
        <v/>
      </c>
      <c r="Y17" s="39" t="str">
        <f t="shared" si="3"/>
        <v/>
      </c>
      <c r="Z17" s="37" t="str">
        <f t="shared" si="4"/>
        <v/>
      </c>
      <c r="AA17" s="37" t="str">
        <f>IF(Z17="ANO",COUNTIF($Z$4:Z17,"ANO"),"")</f>
        <v/>
      </c>
    </row>
    <row r="18" spans="1:27" x14ac:dyDescent="0.2">
      <c r="A18" s="35"/>
      <c r="B18" s="11"/>
      <c r="C18" s="35"/>
      <c r="D18" s="11"/>
      <c r="E18" s="35"/>
      <c r="F18" s="35"/>
      <c r="G18" s="35"/>
      <c r="H18" s="35"/>
      <c r="I18" s="11"/>
      <c r="J18" s="36"/>
      <c r="K18" s="36"/>
      <c r="L18" s="11"/>
      <c r="M18" s="35"/>
      <c r="N18" s="35"/>
      <c r="O18" s="36"/>
      <c r="P18" s="37" t="str">
        <f>IF($A18="","",COUNTIFS(Scénáře!$C$4:$C$503,$A18,Scénáře!$W$4:$W$503,"&lt;&gt;Zrušeno"))</f>
        <v/>
      </c>
      <c r="Q18" s="37" t="str">
        <f>IF($A18="","",COUNTIFS(Scénáře!$C$4:$C$503,$A18,Scénáře!$W$4:$W$503,"Schváleno"))</f>
        <v/>
      </c>
      <c r="R18" s="37" t="str">
        <f>IF($A18="","",SUMPRODUCT((Scénáře!$C$4:$C$503=$A18)*((Scénáře!$AA$4:$AA$503="Natočeno")+(Scénáře!$AA$4:$AA$503="Ve střihu")+(Scénáře!$AA$4:$AA$503="Sestříháno")+(Scénáře!$AA$4:$AA$503="Publikováno"))))</f>
        <v/>
      </c>
      <c r="S18" s="37" t="str">
        <f>IF($A18="","",COUNTIFS(Scénáře!$C$4:$C$503,$A18,Scénáře!$AF$4:$AF$503,"&gt;0"))</f>
        <v/>
      </c>
      <c r="T18" s="40" t="str">
        <f t="shared" si="0"/>
        <v/>
      </c>
      <c r="U18" s="37" t="str">
        <f t="shared" si="1"/>
        <v/>
      </c>
      <c r="V18" s="37" t="str">
        <f>IF($A18="","",SUMIFS(Scénáře!$AE$4:$AE$503,Scénáře!$C$4:$C$503,$A18))</f>
        <v/>
      </c>
      <c r="W18" s="37" t="str">
        <f>IF($A18="","",COUNTIFS(Publikace!$C$4:$C$503,$A18,Publikace!$G$4:$G$503,""))</f>
        <v/>
      </c>
      <c r="X18" s="39" t="str">
        <f t="shared" si="2"/>
        <v/>
      </c>
      <c r="Y18" s="39" t="str">
        <f t="shared" si="3"/>
        <v/>
      </c>
      <c r="Z18" s="37" t="str">
        <f t="shared" si="4"/>
        <v/>
      </c>
      <c r="AA18" s="37" t="str">
        <f>IF(Z18="ANO",COUNTIF($Z$4:Z18,"ANO"),"")</f>
        <v/>
      </c>
    </row>
    <row r="19" spans="1:27" x14ac:dyDescent="0.2">
      <c r="A19" s="35"/>
      <c r="B19" s="11"/>
      <c r="C19" s="35"/>
      <c r="D19" s="11"/>
      <c r="E19" s="35"/>
      <c r="F19" s="35"/>
      <c r="G19" s="35"/>
      <c r="H19" s="35"/>
      <c r="I19" s="11"/>
      <c r="J19" s="36"/>
      <c r="K19" s="36"/>
      <c r="L19" s="11"/>
      <c r="M19" s="35"/>
      <c r="N19" s="35"/>
      <c r="O19" s="36"/>
      <c r="P19" s="37" t="str">
        <f>IF($A19="","",COUNTIFS(Scénáře!$C$4:$C$503,$A19,Scénáře!$W$4:$W$503,"&lt;&gt;Zrušeno"))</f>
        <v/>
      </c>
      <c r="Q19" s="37" t="str">
        <f>IF($A19="","",COUNTIFS(Scénáře!$C$4:$C$503,$A19,Scénáře!$W$4:$W$503,"Schváleno"))</f>
        <v/>
      </c>
      <c r="R19" s="37" t="str">
        <f>IF($A19="","",SUMPRODUCT((Scénáře!$C$4:$C$503=$A19)*((Scénáře!$AA$4:$AA$503="Natočeno")+(Scénáře!$AA$4:$AA$503="Ve střihu")+(Scénáře!$AA$4:$AA$503="Sestříháno")+(Scénáře!$AA$4:$AA$503="Publikováno"))))</f>
        <v/>
      </c>
      <c r="S19" s="37" t="str">
        <f>IF($A19="","",COUNTIFS(Scénáře!$C$4:$C$503,$A19,Scénáře!$AF$4:$AF$503,"&gt;0"))</f>
        <v/>
      </c>
      <c r="T19" s="40" t="str">
        <f t="shared" si="0"/>
        <v/>
      </c>
      <c r="U19" s="37" t="str">
        <f t="shared" si="1"/>
        <v/>
      </c>
      <c r="V19" s="37" t="str">
        <f>IF($A19="","",SUMIFS(Scénáře!$AE$4:$AE$503,Scénáře!$C$4:$C$503,$A19))</f>
        <v/>
      </c>
      <c r="W19" s="37" t="str">
        <f>IF($A19="","",COUNTIFS(Publikace!$C$4:$C$503,$A19,Publikace!$G$4:$G$503,""))</f>
        <v/>
      </c>
      <c r="X19" s="39" t="str">
        <f t="shared" si="2"/>
        <v/>
      </c>
      <c r="Y19" s="39" t="str">
        <f t="shared" si="3"/>
        <v/>
      </c>
      <c r="Z19" s="37" t="str">
        <f t="shared" si="4"/>
        <v/>
      </c>
      <c r="AA19" s="37" t="str">
        <f>IF(Z19="ANO",COUNTIF($Z$4:Z19,"ANO"),"")</f>
        <v/>
      </c>
    </row>
    <row r="20" spans="1:27" x14ac:dyDescent="0.2">
      <c r="A20" s="35"/>
      <c r="B20" s="11"/>
      <c r="C20" s="35"/>
      <c r="D20" s="11"/>
      <c r="E20" s="35"/>
      <c r="F20" s="35"/>
      <c r="G20" s="35"/>
      <c r="H20" s="35"/>
      <c r="I20" s="11"/>
      <c r="J20" s="36"/>
      <c r="K20" s="36"/>
      <c r="L20" s="11"/>
      <c r="M20" s="35"/>
      <c r="N20" s="35"/>
      <c r="O20" s="36"/>
      <c r="P20" s="37" t="str">
        <f>IF($A20="","",COUNTIFS(Scénáře!$C$4:$C$503,$A20,Scénáře!$W$4:$W$503,"&lt;&gt;Zrušeno"))</f>
        <v/>
      </c>
      <c r="Q20" s="37" t="str">
        <f>IF($A20="","",COUNTIFS(Scénáře!$C$4:$C$503,$A20,Scénáře!$W$4:$W$503,"Schváleno"))</f>
        <v/>
      </c>
      <c r="R20" s="37" t="str">
        <f>IF($A20="","",SUMPRODUCT((Scénáře!$C$4:$C$503=$A20)*((Scénáře!$AA$4:$AA$503="Natočeno")+(Scénáře!$AA$4:$AA$503="Ve střihu")+(Scénáře!$AA$4:$AA$503="Sestříháno")+(Scénáře!$AA$4:$AA$503="Publikováno"))))</f>
        <v/>
      </c>
      <c r="S20" s="37" t="str">
        <f>IF($A20="","",COUNTIFS(Scénáře!$C$4:$C$503,$A20,Scénáře!$AF$4:$AF$503,"&gt;0"))</f>
        <v/>
      </c>
      <c r="T20" s="40" t="str">
        <f t="shared" si="0"/>
        <v/>
      </c>
      <c r="U20" s="37" t="str">
        <f t="shared" si="1"/>
        <v/>
      </c>
      <c r="V20" s="37" t="str">
        <f>IF($A20="","",SUMIFS(Scénáře!$AE$4:$AE$503,Scénáře!$C$4:$C$503,$A20))</f>
        <v/>
      </c>
      <c r="W20" s="37" t="str">
        <f>IF($A20="","",COUNTIFS(Publikace!$C$4:$C$503,$A20,Publikace!$G$4:$G$503,""))</f>
        <v/>
      </c>
      <c r="X20" s="39" t="str">
        <f t="shared" si="2"/>
        <v/>
      </c>
      <c r="Y20" s="39" t="str">
        <f t="shared" si="3"/>
        <v/>
      </c>
      <c r="Z20" s="37" t="str">
        <f t="shared" si="4"/>
        <v/>
      </c>
      <c r="AA20" s="37" t="str">
        <f>IF(Z20="ANO",COUNTIF($Z$4:Z20,"ANO"),"")</f>
        <v/>
      </c>
    </row>
    <row r="21" spans="1:27" x14ac:dyDescent="0.2">
      <c r="A21" s="35"/>
      <c r="B21" s="11"/>
      <c r="C21" s="35"/>
      <c r="D21" s="11"/>
      <c r="E21" s="35"/>
      <c r="F21" s="35"/>
      <c r="G21" s="35"/>
      <c r="H21" s="35"/>
      <c r="I21" s="11"/>
      <c r="J21" s="36"/>
      <c r="K21" s="36"/>
      <c r="L21" s="11"/>
      <c r="M21" s="35"/>
      <c r="N21" s="35"/>
      <c r="O21" s="36"/>
      <c r="P21" s="37" t="str">
        <f>IF($A21="","",COUNTIFS(Scénáře!$C$4:$C$503,$A21,Scénáře!$W$4:$W$503,"&lt;&gt;Zrušeno"))</f>
        <v/>
      </c>
      <c r="Q21" s="37" t="str">
        <f>IF($A21="","",COUNTIFS(Scénáře!$C$4:$C$503,$A21,Scénáře!$W$4:$W$503,"Schváleno"))</f>
        <v/>
      </c>
      <c r="R21" s="37" t="str">
        <f>IF($A21="","",SUMPRODUCT((Scénáře!$C$4:$C$503=$A21)*((Scénáře!$AA$4:$AA$503="Natočeno")+(Scénáře!$AA$4:$AA$503="Ve střihu")+(Scénáře!$AA$4:$AA$503="Sestříháno")+(Scénáře!$AA$4:$AA$503="Publikováno"))))</f>
        <v/>
      </c>
      <c r="S21" s="37" t="str">
        <f>IF($A21="","",COUNTIFS(Scénáře!$C$4:$C$503,$A21,Scénáře!$AF$4:$AF$503,"&gt;0"))</f>
        <v/>
      </c>
      <c r="T21" s="40" t="str">
        <f t="shared" si="0"/>
        <v/>
      </c>
      <c r="U21" s="37" t="str">
        <f t="shared" si="1"/>
        <v/>
      </c>
      <c r="V21" s="37" t="str">
        <f>IF($A21="","",SUMIFS(Scénáře!$AE$4:$AE$503,Scénáře!$C$4:$C$503,$A21))</f>
        <v/>
      </c>
      <c r="W21" s="37" t="str">
        <f>IF($A21="","",COUNTIFS(Publikace!$C$4:$C$503,$A21,Publikace!$G$4:$G$503,""))</f>
        <v/>
      </c>
      <c r="X21" s="39" t="str">
        <f t="shared" si="2"/>
        <v/>
      </c>
      <c r="Y21" s="39" t="str">
        <f t="shared" si="3"/>
        <v/>
      </c>
      <c r="Z21" s="37" t="str">
        <f t="shared" si="4"/>
        <v/>
      </c>
      <c r="AA21" s="37" t="str">
        <f>IF(Z21="ANO",COUNTIF($Z$4:Z21,"ANO"),"")</f>
        <v/>
      </c>
    </row>
    <row r="22" spans="1:27" x14ac:dyDescent="0.2">
      <c r="A22" s="35"/>
      <c r="B22" s="11"/>
      <c r="C22" s="35"/>
      <c r="D22" s="11"/>
      <c r="E22" s="35"/>
      <c r="F22" s="35"/>
      <c r="G22" s="35"/>
      <c r="H22" s="35"/>
      <c r="I22" s="11"/>
      <c r="J22" s="36"/>
      <c r="K22" s="36"/>
      <c r="L22" s="11"/>
      <c r="M22" s="35"/>
      <c r="N22" s="35"/>
      <c r="O22" s="36"/>
      <c r="P22" s="37" t="str">
        <f>IF($A22="","",COUNTIFS(Scénáře!$C$4:$C$503,$A22,Scénáře!$W$4:$W$503,"&lt;&gt;Zrušeno"))</f>
        <v/>
      </c>
      <c r="Q22" s="37" t="str">
        <f>IF($A22="","",COUNTIFS(Scénáře!$C$4:$C$503,$A22,Scénáře!$W$4:$W$503,"Schváleno"))</f>
        <v/>
      </c>
      <c r="R22" s="37" t="str">
        <f>IF($A22="","",SUMPRODUCT((Scénáře!$C$4:$C$503=$A22)*((Scénáře!$AA$4:$AA$503="Natočeno")+(Scénáře!$AA$4:$AA$503="Ve střihu")+(Scénáře!$AA$4:$AA$503="Sestříháno")+(Scénáře!$AA$4:$AA$503="Publikováno"))))</f>
        <v/>
      </c>
      <c r="S22" s="37" t="str">
        <f>IF($A22="","",COUNTIFS(Scénáře!$C$4:$C$503,$A22,Scénáře!$AF$4:$AF$503,"&gt;0"))</f>
        <v/>
      </c>
      <c r="T22" s="40" t="str">
        <f t="shared" si="0"/>
        <v/>
      </c>
      <c r="U22" s="37" t="str">
        <f t="shared" si="1"/>
        <v/>
      </c>
      <c r="V22" s="37" t="str">
        <f>IF($A22="","",SUMIFS(Scénáře!$AE$4:$AE$503,Scénáře!$C$4:$C$503,$A22))</f>
        <v/>
      </c>
      <c r="W22" s="37" t="str">
        <f>IF($A22="","",COUNTIFS(Publikace!$C$4:$C$503,$A22,Publikace!$G$4:$G$503,""))</f>
        <v/>
      </c>
      <c r="X22" s="39" t="str">
        <f t="shared" si="2"/>
        <v/>
      </c>
      <c r="Y22" s="39" t="str">
        <f t="shared" si="3"/>
        <v/>
      </c>
      <c r="Z22" s="37" t="str">
        <f t="shared" si="4"/>
        <v/>
      </c>
      <c r="AA22" s="37" t="str">
        <f>IF(Z22="ANO",COUNTIF($Z$4:Z22,"ANO"),"")</f>
        <v/>
      </c>
    </row>
    <row r="23" spans="1:27" x14ac:dyDescent="0.2">
      <c r="A23" s="35"/>
      <c r="B23" s="11"/>
      <c r="C23" s="35"/>
      <c r="D23" s="11"/>
      <c r="E23" s="35"/>
      <c r="F23" s="35"/>
      <c r="G23" s="35"/>
      <c r="H23" s="35"/>
      <c r="I23" s="11"/>
      <c r="J23" s="36"/>
      <c r="K23" s="36"/>
      <c r="L23" s="11"/>
      <c r="M23" s="35"/>
      <c r="N23" s="35"/>
      <c r="O23" s="36"/>
      <c r="P23" s="37" t="str">
        <f>IF($A23="","",COUNTIFS(Scénáře!$C$4:$C$503,$A23,Scénáře!$W$4:$W$503,"&lt;&gt;Zrušeno"))</f>
        <v/>
      </c>
      <c r="Q23" s="37" t="str">
        <f>IF($A23="","",COUNTIFS(Scénáře!$C$4:$C$503,$A23,Scénáře!$W$4:$W$503,"Schváleno"))</f>
        <v/>
      </c>
      <c r="R23" s="37" t="str">
        <f>IF($A23="","",SUMPRODUCT((Scénáře!$C$4:$C$503=$A23)*((Scénáře!$AA$4:$AA$503="Natočeno")+(Scénáře!$AA$4:$AA$503="Ve střihu")+(Scénáře!$AA$4:$AA$503="Sestříháno")+(Scénáře!$AA$4:$AA$503="Publikováno"))))</f>
        <v/>
      </c>
      <c r="S23" s="37" t="str">
        <f>IF($A23="","",COUNTIFS(Scénáře!$C$4:$C$503,$A23,Scénáře!$AF$4:$AF$503,"&gt;0"))</f>
        <v/>
      </c>
      <c r="T23" s="40" t="str">
        <f t="shared" si="0"/>
        <v/>
      </c>
      <c r="U23" s="37" t="str">
        <f t="shared" si="1"/>
        <v/>
      </c>
      <c r="V23" s="37" t="str">
        <f>IF($A23="","",SUMIFS(Scénáře!$AE$4:$AE$503,Scénáře!$C$4:$C$503,$A23))</f>
        <v/>
      </c>
      <c r="W23" s="37" t="str">
        <f>IF($A23="","",COUNTIFS(Publikace!$C$4:$C$503,$A23,Publikace!$G$4:$G$503,""))</f>
        <v/>
      </c>
      <c r="X23" s="39" t="str">
        <f t="shared" si="2"/>
        <v/>
      </c>
      <c r="Y23" s="39" t="str">
        <f t="shared" si="3"/>
        <v/>
      </c>
      <c r="Z23" s="37" t="str">
        <f t="shared" si="4"/>
        <v/>
      </c>
      <c r="AA23" s="37" t="str">
        <f>IF(Z23="ANO",COUNTIF($Z$4:Z23,"ANO"),"")</f>
        <v/>
      </c>
    </row>
    <row r="24" spans="1:27" x14ac:dyDescent="0.2">
      <c r="A24" s="35"/>
      <c r="B24" s="11"/>
      <c r="C24" s="35"/>
      <c r="D24" s="11"/>
      <c r="E24" s="35"/>
      <c r="F24" s="35"/>
      <c r="G24" s="35"/>
      <c r="H24" s="35"/>
      <c r="I24" s="11"/>
      <c r="J24" s="36"/>
      <c r="K24" s="36"/>
      <c r="L24" s="11"/>
      <c r="M24" s="35"/>
      <c r="N24" s="35"/>
      <c r="O24" s="36"/>
      <c r="P24" s="37" t="str">
        <f>IF($A24="","",COUNTIFS(Scénáře!$C$4:$C$503,$A24,Scénáře!$W$4:$W$503,"&lt;&gt;Zrušeno"))</f>
        <v/>
      </c>
      <c r="Q24" s="37" t="str">
        <f>IF($A24="","",COUNTIFS(Scénáře!$C$4:$C$503,$A24,Scénáře!$W$4:$W$503,"Schváleno"))</f>
        <v/>
      </c>
      <c r="R24" s="37" t="str">
        <f>IF($A24="","",SUMPRODUCT((Scénáře!$C$4:$C$503=$A24)*((Scénáře!$AA$4:$AA$503="Natočeno")+(Scénáře!$AA$4:$AA$503="Ve střihu")+(Scénáře!$AA$4:$AA$503="Sestříháno")+(Scénáře!$AA$4:$AA$503="Publikováno"))))</f>
        <v/>
      </c>
      <c r="S24" s="37" t="str">
        <f>IF($A24="","",COUNTIFS(Scénáře!$C$4:$C$503,$A24,Scénáře!$AF$4:$AF$503,"&gt;0"))</f>
        <v/>
      </c>
      <c r="T24" s="40" t="str">
        <f t="shared" si="0"/>
        <v/>
      </c>
      <c r="U24" s="37" t="str">
        <f t="shared" si="1"/>
        <v/>
      </c>
      <c r="V24" s="37" t="str">
        <f>IF($A24="","",SUMIFS(Scénáře!$AE$4:$AE$503,Scénáře!$C$4:$C$503,$A24))</f>
        <v/>
      </c>
      <c r="W24" s="37" t="str">
        <f>IF($A24="","",COUNTIFS(Publikace!$C$4:$C$503,$A24,Publikace!$G$4:$G$503,""))</f>
        <v/>
      </c>
      <c r="X24" s="39" t="str">
        <f t="shared" si="2"/>
        <v/>
      </c>
      <c r="Y24" s="39" t="str">
        <f t="shared" si="3"/>
        <v/>
      </c>
      <c r="Z24" s="37" t="str">
        <f t="shared" si="4"/>
        <v/>
      </c>
      <c r="AA24" s="37" t="str">
        <f>IF(Z24="ANO",COUNTIF($Z$4:Z24,"ANO"),"")</f>
        <v/>
      </c>
    </row>
    <row r="25" spans="1:27" x14ac:dyDescent="0.2">
      <c r="A25" s="35"/>
      <c r="B25" s="11"/>
      <c r="C25" s="35"/>
      <c r="D25" s="11"/>
      <c r="E25" s="35"/>
      <c r="F25" s="35"/>
      <c r="G25" s="35"/>
      <c r="H25" s="35"/>
      <c r="I25" s="11"/>
      <c r="J25" s="36"/>
      <c r="K25" s="36"/>
      <c r="L25" s="11"/>
      <c r="M25" s="35"/>
      <c r="N25" s="35"/>
      <c r="O25" s="36"/>
      <c r="P25" s="37" t="str">
        <f>IF($A25="","",COUNTIFS(Scénáře!$C$4:$C$503,$A25,Scénáře!$W$4:$W$503,"&lt;&gt;Zrušeno"))</f>
        <v/>
      </c>
      <c r="Q25" s="37" t="str">
        <f>IF($A25="","",COUNTIFS(Scénáře!$C$4:$C$503,$A25,Scénáře!$W$4:$W$503,"Schváleno"))</f>
        <v/>
      </c>
      <c r="R25" s="37" t="str">
        <f>IF($A25="","",SUMPRODUCT((Scénáře!$C$4:$C$503=$A25)*((Scénáře!$AA$4:$AA$503="Natočeno")+(Scénáře!$AA$4:$AA$503="Ve střihu")+(Scénáře!$AA$4:$AA$503="Sestříháno")+(Scénáře!$AA$4:$AA$503="Publikováno"))))</f>
        <v/>
      </c>
      <c r="S25" s="37" t="str">
        <f>IF($A25="","",COUNTIFS(Scénáře!$C$4:$C$503,$A25,Scénáře!$AF$4:$AF$503,"&gt;0"))</f>
        <v/>
      </c>
      <c r="T25" s="40" t="str">
        <f t="shared" si="0"/>
        <v/>
      </c>
      <c r="U25" s="37" t="str">
        <f t="shared" si="1"/>
        <v/>
      </c>
      <c r="V25" s="37" t="str">
        <f>IF($A25="","",SUMIFS(Scénáře!$AE$4:$AE$503,Scénáře!$C$4:$C$503,$A25))</f>
        <v/>
      </c>
      <c r="W25" s="37" t="str">
        <f>IF($A25="","",COUNTIFS(Publikace!$C$4:$C$503,$A25,Publikace!$G$4:$G$503,""))</f>
        <v/>
      </c>
      <c r="X25" s="39" t="str">
        <f t="shared" si="2"/>
        <v/>
      </c>
      <c r="Y25" s="39" t="str">
        <f t="shared" si="3"/>
        <v/>
      </c>
      <c r="Z25" s="37" t="str">
        <f t="shared" si="4"/>
        <v/>
      </c>
      <c r="AA25" s="37" t="str">
        <f>IF(Z25="ANO",COUNTIF($Z$4:Z25,"ANO"),"")</f>
        <v/>
      </c>
    </row>
    <row r="26" spans="1:27" x14ac:dyDescent="0.2">
      <c r="A26" s="35"/>
      <c r="B26" s="11"/>
      <c r="C26" s="35"/>
      <c r="D26" s="11"/>
      <c r="E26" s="35"/>
      <c r="F26" s="35"/>
      <c r="G26" s="35"/>
      <c r="H26" s="35"/>
      <c r="I26" s="11"/>
      <c r="J26" s="36"/>
      <c r="K26" s="36"/>
      <c r="L26" s="11"/>
      <c r="M26" s="35"/>
      <c r="N26" s="35"/>
      <c r="O26" s="36"/>
      <c r="P26" s="37" t="str">
        <f>IF($A26="","",COUNTIFS(Scénáře!$C$4:$C$503,$A26,Scénáře!$W$4:$W$503,"&lt;&gt;Zrušeno"))</f>
        <v/>
      </c>
      <c r="Q26" s="37" t="str">
        <f>IF($A26="","",COUNTIFS(Scénáře!$C$4:$C$503,$A26,Scénáře!$W$4:$W$503,"Schváleno"))</f>
        <v/>
      </c>
      <c r="R26" s="37" t="str">
        <f>IF($A26="","",SUMPRODUCT((Scénáře!$C$4:$C$503=$A26)*((Scénáře!$AA$4:$AA$503="Natočeno")+(Scénáře!$AA$4:$AA$503="Ve střihu")+(Scénáře!$AA$4:$AA$503="Sestříháno")+(Scénáře!$AA$4:$AA$503="Publikováno"))))</f>
        <v/>
      </c>
      <c r="S26" s="37" t="str">
        <f>IF($A26="","",COUNTIFS(Scénáře!$C$4:$C$503,$A26,Scénáře!$AF$4:$AF$503,"&gt;0"))</f>
        <v/>
      </c>
      <c r="T26" s="40" t="str">
        <f t="shared" si="0"/>
        <v/>
      </c>
      <c r="U26" s="37" t="str">
        <f t="shared" si="1"/>
        <v/>
      </c>
      <c r="V26" s="37" t="str">
        <f>IF($A26="","",SUMIFS(Scénáře!$AE$4:$AE$503,Scénáře!$C$4:$C$503,$A26))</f>
        <v/>
      </c>
      <c r="W26" s="37" t="str">
        <f>IF($A26="","",COUNTIFS(Publikace!$C$4:$C$503,$A26,Publikace!$G$4:$G$503,""))</f>
        <v/>
      </c>
      <c r="X26" s="39" t="str">
        <f t="shared" si="2"/>
        <v/>
      </c>
      <c r="Y26" s="39" t="str">
        <f t="shared" si="3"/>
        <v/>
      </c>
      <c r="Z26" s="37" t="str">
        <f t="shared" si="4"/>
        <v/>
      </c>
      <c r="AA26" s="37" t="str">
        <f>IF(Z26="ANO",COUNTIF($Z$4:Z26,"ANO"),"")</f>
        <v/>
      </c>
    </row>
    <row r="27" spans="1:27" x14ac:dyDescent="0.2">
      <c r="A27" s="35"/>
      <c r="B27" s="11"/>
      <c r="C27" s="35"/>
      <c r="D27" s="11"/>
      <c r="E27" s="35"/>
      <c r="F27" s="35"/>
      <c r="G27" s="35"/>
      <c r="H27" s="35"/>
      <c r="I27" s="11"/>
      <c r="J27" s="36"/>
      <c r="K27" s="36"/>
      <c r="L27" s="11"/>
      <c r="M27" s="35"/>
      <c r="N27" s="35"/>
      <c r="O27" s="36"/>
      <c r="P27" s="37" t="str">
        <f>IF($A27="","",COUNTIFS(Scénáře!$C$4:$C$503,$A27,Scénáře!$W$4:$W$503,"&lt;&gt;Zrušeno"))</f>
        <v/>
      </c>
      <c r="Q27" s="37" t="str">
        <f>IF($A27="","",COUNTIFS(Scénáře!$C$4:$C$503,$A27,Scénáře!$W$4:$W$503,"Schváleno"))</f>
        <v/>
      </c>
      <c r="R27" s="37" t="str">
        <f>IF($A27="","",SUMPRODUCT((Scénáře!$C$4:$C$503=$A27)*((Scénáře!$AA$4:$AA$503="Natočeno")+(Scénáře!$AA$4:$AA$503="Ve střihu")+(Scénáře!$AA$4:$AA$503="Sestříháno")+(Scénáře!$AA$4:$AA$503="Publikováno"))))</f>
        <v/>
      </c>
      <c r="S27" s="37" t="str">
        <f>IF($A27="","",COUNTIFS(Scénáře!$C$4:$C$503,$A27,Scénáře!$AF$4:$AF$503,"&gt;0"))</f>
        <v/>
      </c>
      <c r="T27" s="40" t="str">
        <f t="shared" si="0"/>
        <v/>
      </c>
      <c r="U27" s="37" t="str">
        <f t="shared" si="1"/>
        <v/>
      </c>
      <c r="V27" s="37" t="str">
        <f>IF($A27="","",SUMIFS(Scénáře!$AE$4:$AE$503,Scénáře!$C$4:$C$503,$A27))</f>
        <v/>
      </c>
      <c r="W27" s="37" t="str">
        <f>IF($A27="","",COUNTIFS(Publikace!$C$4:$C$503,$A27,Publikace!$G$4:$G$503,""))</f>
        <v/>
      </c>
      <c r="X27" s="39" t="str">
        <f t="shared" si="2"/>
        <v/>
      </c>
      <c r="Y27" s="39" t="str">
        <f t="shared" si="3"/>
        <v/>
      </c>
      <c r="Z27" s="37" t="str">
        <f t="shared" si="4"/>
        <v/>
      </c>
      <c r="AA27" s="37" t="str">
        <f>IF(Z27="ANO",COUNTIF($Z$4:Z27,"ANO"),"")</f>
        <v/>
      </c>
    </row>
    <row r="28" spans="1:27" x14ac:dyDescent="0.2">
      <c r="A28" s="35"/>
      <c r="B28" s="11"/>
      <c r="C28" s="35"/>
      <c r="D28" s="11"/>
      <c r="E28" s="35"/>
      <c r="F28" s="35"/>
      <c r="G28" s="35"/>
      <c r="H28" s="35"/>
      <c r="I28" s="11"/>
      <c r="J28" s="36"/>
      <c r="K28" s="36"/>
      <c r="L28" s="11"/>
      <c r="M28" s="35"/>
      <c r="N28" s="35"/>
      <c r="O28" s="36"/>
      <c r="P28" s="37" t="str">
        <f>IF($A28="","",COUNTIFS(Scénáře!$C$4:$C$503,$A28,Scénáře!$W$4:$W$503,"&lt;&gt;Zrušeno"))</f>
        <v/>
      </c>
      <c r="Q28" s="37" t="str">
        <f>IF($A28="","",COUNTIFS(Scénáře!$C$4:$C$503,$A28,Scénáře!$W$4:$W$503,"Schváleno"))</f>
        <v/>
      </c>
      <c r="R28" s="37" t="str">
        <f>IF($A28="","",SUMPRODUCT((Scénáře!$C$4:$C$503=$A28)*((Scénáře!$AA$4:$AA$503="Natočeno")+(Scénáře!$AA$4:$AA$503="Ve střihu")+(Scénáře!$AA$4:$AA$503="Sestříháno")+(Scénáře!$AA$4:$AA$503="Publikováno"))))</f>
        <v/>
      </c>
      <c r="S28" s="37" t="str">
        <f>IF($A28="","",COUNTIFS(Scénáře!$C$4:$C$503,$A28,Scénáře!$AF$4:$AF$503,"&gt;0"))</f>
        <v/>
      </c>
      <c r="T28" s="40" t="str">
        <f t="shared" si="0"/>
        <v/>
      </c>
      <c r="U28" s="37" t="str">
        <f t="shared" si="1"/>
        <v/>
      </c>
      <c r="V28" s="37" t="str">
        <f>IF($A28="","",SUMIFS(Scénáře!$AE$4:$AE$503,Scénáře!$C$4:$C$503,$A28))</f>
        <v/>
      </c>
      <c r="W28" s="37" t="str">
        <f>IF($A28="","",COUNTIFS(Publikace!$C$4:$C$503,$A28,Publikace!$G$4:$G$503,""))</f>
        <v/>
      </c>
      <c r="X28" s="39" t="str">
        <f t="shared" si="2"/>
        <v/>
      </c>
      <c r="Y28" s="39" t="str">
        <f t="shared" si="3"/>
        <v/>
      </c>
      <c r="Z28" s="37" t="str">
        <f t="shared" si="4"/>
        <v/>
      </c>
      <c r="AA28" s="37" t="str">
        <f>IF(Z28="ANO",COUNTIF($Z$4:Z28,"ANO"),"")</f>
        <v/>
      </c>
    </row>
    <row r="29" spans="1:27" x14ac:dyDescent="0.2">
      <c r="A29" s="35"/>
      <c r="B29" s="11"/>
      <c r="C29" s="35"/>
      <c r="D29" s="11"/>
      <c r="E29" s="35"/>
      <c r="F29" s="35"/>
      <c r="G29" s="35"/>
      <c r="H29" s="35"/>
      <c r="I29" s="11"/>
      <c r="J29" s="36"/>
      <c r="K29" s="36"/>
      <c r="L29" s="11"/>
      <c r="M29" s="35"/>
      <c r="N29" s="35"/>
      <c r="O29" s="36"/>
      <c r="P29" s="37" t="str">
        <f>IF($A29="","",COUNTIFS(Scénáře!$C$4:$C$503,$A29,Scénáře!$W$4:$W$503,"&lt;&gt;Zrušeno"))</f>
        <v/>
      </c>
      <c r="Q29" s="37" t="str">
        <f>IF($A29="","",COUNTIFS(Scénáře!$C$4:$C$503,$A29,Scénáře!$W$4:$W$503,"Schváleno"))</f>
        <v/>
      </c>
      <c r="R29" s="37" t="str">
        <f>IF($A29="","",SUMPRODUCT((Scénáře!$C$4:$C$503=$A29)*((Scénáře!$AA$4:$AA$503="Natočeno")+(Scénáře!$AA$4:$AA$503="Ve střihu")+(Scénáře!$AA$4:$AA$503="Sestříháno")+(Scénáře!$AA$4:$AA$503="Publikováno"))))</f>
        <v/>
      </c>
      <c r="S29" s="37" t="str">
        <f>IF($A29="","",COUNTIFS(Scénáře!$C$4:$C$503,$A29,Scénáře!$AF$4:$AF$503,"&gt;0"))</f>
        <v/>
      </c>
      <c r="T29" s="40" t="str">
        <f t="shared" si="0"/>
        <v/>
      </c>
      <c r="U29" s="37" t="str">
        <f t="shared" si="1"/>
        <v/>
      </c>
      <c r="V29" s="37" t="str">
        <f>IF($A29="","",SUMIFS(Scénáře!$AE$4:$AE$503,Scénáře!$C$4:$C$503,$A29))</f>
        <v/>
      </c>
      <c r="W29" s="37" t="str">
        <f>IF($A29="","",COUNTIFS(Publikace!$C$4:$C$503,$A29,Publikace!$G$4:$G$503,""))</f>
        <v/>
      </c>
      <c r="X29" s="39" t="str">
        <f t="shared" si="2"/>
        <v/>
      </c>
      <c r="Y29" s="39" t="str">
        <f t="shared" si="3"/>
        <v/>
      </c>
      <c r="Z29" s="37" t="str">
        <f t="shared" si="4"/>
        <v/>
      </c>
      <c r="AA29" s="37" t="str">
        <f>IF(Z29="ANO",COUNTIF($Z$4:Z29,"ANO"),"")</f>
        <v/>
      </c>
    </row>
    <row r="30" spans="1:27" x14ac:dyDescent="0.2">
      <c r="A30" s="35"/>
      <c r="B30" s="11"/>
      <c r="C30" s="35"/>
      <c r="D30" s="11"/>
      <c r="E30" s="35"/>
      <c r="F30" s="35"/>
      <c r="G30" s="35"/>
      <c r="H30" s="35"/>
      <c r="I30" s="11"/>
      <c r="J30" s="36"/>
      <c r="K30" s="36"/>
      <c r="L30" s="11"/>
      <c r="M30" s="35"/>
      <c r="N30" s="35"/>
      <c r="O30" s="36"/>
      <c r="P30" s="37" t="str">
        <f>IF($A30="","",COUNTIFS(Scénáře!$C$4:$C$503,$A30,Scénáře!$W$4:$W$503,"&lt;&gt;Zrušeno"))</f>
        <v/>
      </c>
      <c r="Q30" s="37" t="str">
        <f>IF($A30="","",COUNTIFS(Scénáře!$C$4:$C$503,$A30,Scénáře!$W$4:$W$503,"Schváleno"))</f>
        <v/>
      </c>
      <c r="R30" s="37" t="str">
        <f>IF($A30="","",SUMPRODUCT((Scénáře!$C$4:$C$503=$A30)*((Scénáře!$AA$4:$AA$503="Natočeno")+(Scénáře!$AA$4:$AA$503="Ve střihu")+(Scénáře!$AA$4:$AA$503="Sestříháno")+(Scénáře!$AA$4:$AA$503="Publikováno"))))</f>
        <v/>
      </c>
      <c r="S30" s="37" t="str">
        <f>IF($A30="","",COUNTIFS(Scénáře!$C$4:$C$503,$A30,Scénáře!$AF$4:$AF$503,"&gt;0"))</f>
        <v/>
      </c>
      <c r="T30" s="40" t="str">
        <f t="shared" si="0"/>
        <v/>
      </c>
      <c r="U30" s="37" t="str">
        <f t="shared" si="1"/>
        <v/>
      </c>
      <c r="V30" s="37" t="str">
        <f>IF($A30="","",SUMIFS(Scénáře!$AE$4:$AE$503,Scénáře!$C$4:$C$503,$A30))</f>
        <v/>
      </c>
      <c r="W30" s="37" t="str">
        <f>IF($A30="","",COUNTIFS(Publikace!$C$4:$C$503,$A30,Publikace!$G$4:$G$503,""))</f>
        <v/>
      </c>
      <c r="X30" s="39" t="str">
        <f t="shared" si="2"/>
        <v/>
      </c>
      <c r="Y30" s="39" t="str">
        <f t="shared" si="3"/>
        <v/>
      </c>
      <c r="Z30" s="37" t="str">
        <f t="shared" si="4"/>
        <v/>
      </c>
      <c r="AA30" s="37" t="str">
        <f>IF(Z30="ANO",COUNTIF($Z$4:Z30,"ANO"),"")</f>
        <v/>
      </c>
    </row>
    <row r="31" spans="1:27" x14ac:dyDescent="0.2">
      <c r="A31" s="35"/>
      <c r="B31" s="11"/>
      <c r="C31" s="35"/>
      <c r="D31" s="11"/>
      <c r="E31" s="35"/>
      <c r="F31" s="35"/>
      <c r="G31" s="35"/>
      <c r="H31" s="35"/>
      <c r="I31" s="11"/>
      <c r="J31" s="36"/>
      <c r="K31" s="36"/>
      <c r="L31" s="11"/>
      <c r="M31" s="35"/>
      <c r="N31" s="35"/>
      <c r="O31" s="36"/>
      <c r="P31" s="37" t="str">
        <f>IF($A31="","",COUNTIFS(Scénáře!$C$4:$C$503,$A31,Scénáře!$W$4:$W$503,"&lt;&gt;Zrušeno"))</f>
        <v/>
      </c>
      <c r="Q31" s="37" t="str">
        <f>IF($A31="","",COUNTIFS(Scénáře!$C$4:$C$503,$A31,Scénáře!$W$4:$W$503,"Schváleno"))</f>
        <v/>
      </c>
      <c r="R31" s="37" t="str">
        <f>IF($A31="","",SUMPRODUCT((Scénáře!$C$4:$C$503=$A31)*((Scénáře!$AA$4:$AA$503="Natočeno")+(Scénáře!$AA$4:$AA$503="Ve střihu")+(Scénáře!$AA$4:$AA$503="Sestříháno")+(Scénáře!$AA$4:$AA$503="Publikováno"))))</f>
        <v/>
      </c>
      <c r="S31" s="37" t="str">
        <f>IF($A31="","",COUNTIFS(Scénáře!$C$4:$C$503,$A31,Scénáře!$AF$4:$AF$503,"&gt;0"))</f>
        <v/>
      </c>
      <c r="T31" s="40" t="str">
        <f t="shared" si="0"/>
        <v/>
      </c>
      <c r="U31" s="37" t="str">
        <f t="shared" si="1"/>
        <v/>
      </c>
      <c r="V31" s="37" t="str">
        <f>IF($A31="","",SUMIFS(Scénáře!$AE$4:$AE$503,Scénáře!$C$4:$C$503,$A31))</f>
        <v/>
      </c>
      <c r="W31" s="37" t="str">
        <f>IF($A31="","",COUNTIFS(Publikace!$C$4:$C$503,$A31,Publikace!$G$4:$G$503,""))</f>
        <v/>
      </c>
      <c r="X31" s="39" t="str">
        <f t="shared" si="2"/>
        <v/>
      </c>
      <c r="Y31" s="39" t="str">
        <f t="shared" si="3"/>
        <v/>
      </c>
      <c r="Z31" s="37" t="str">
        <f t="shared" si="4"/>
        <v/>
      </c>
      <c r="AA31" s="37" t="str">
        <f>IF(Z31="ANO",COUNTIF($Z$4:Z31,"ANO"),"")</f>
        <v/>
      </c>
    </row>
    <row r="32" spans="1:27" x14ac:dyDescent="0.2">
      <c r="A32" s="35"/>
      <c r="B32" s="11"/>
      <c r="C32" s="35"/>
      <c r="D32" s="11"/>
      <c r="E32" s="35"/>
      <c r="F32" s="35"/>
      <c r="G32" s="35"/>
      <c r="H32" s="35"/>
      <c r="I32" s="11"/>
      <c r="J32" s="36"/>
      <c r="K32" s="36"/>
      <c r="L32" s="11"/>
      <c r="M32" s="35"/>
      <c r="N32" s="35"/>
      <c r="O32" s="36"/>
      <c r="P32" s="37" t="str">
        <f>IF($A32="","",COUNTIFS(Scénáře!$C$4:$C$503,$A32,Scénáře!$W$4:$W$503,"&lt;&gt;Zrušeno"))</f>
        <v/>
      </c>
      <c r="Q32" s="37" t="str">
        <f>IF($A32="","",COUNTIFS(Scénáře!$C$4:$C$503,$A32,Scénáře!$W$4:$W$503,"Schváleno"))</f>
        <v/>
      </c>
      <c r="R32" s="37" t="str">
        <f>IF($A32="","",SUMPRODUCT((Scénáře!$C$4:$C$503=$A32)*((Scénáře!$AA$4:$AA$503="Natočeno")+(Scénáře!$AA$4:$AA$503="Ve střihu")+(Scénáře!$AA$4:$AA$503="Sestříháno")+(Scénáře!$AA$4:$AA$503="Publikováno"))))</f>
        <v/>
      </c>
      <c r="S32" s="37" t="str">
        <f>IF($A32="","",COUNTIFS(Scénáře!$C$4:$C$503,$A32,Scénáře!$AF$4:$AF$503,"&gt;0"))</f>
        <v/>
      </c>
      <c r="T32" s="40" t="str">
        <f t="shared" si="0"/>
        <v/>
      </c>
      <c r="U32" s="37" t="str">
        <f t="shared" si="1"/>
        <v/>
      </c>
      <c r="V32" s="37" t="str">
        <f>IF($A32="","",SUMIFS(Scénáře!$AE$4:$AE$503,Scénáře!$C$4:$C$503,$A32))</f>
        <v/>
      </c>
      <c r="W32" s="37" t="str">
        <f>IF($A32="","",COUNTIFS(Publikace!$C$4:$C$503,$A32,Publikace!$G$4:$G$503,""))</f>
        <v/>
      </c>
      <c r="X32" s="39" t="str">
        <f t="shared" si="2"/>
        <v/>
      </c>
      <c r="Y32" s="39" t="str">
        <f t="shared" si="3"/>
        <v/>
      </c>
      <c r="Z32" s="37" t="str">
        <f t="shared" si="4"/>
        <v/>
      </c>
      <c r="AA32" s="37" t="str">
        <f>IF(Z32="ANO",COUNTIF($Z$4:Z32,"ANO"),"")</f>
        <v/>
      </c>
    </row>
    <row r="33" spans="1:27" x14ac:dyDescent="0.2">
      <c r="A33" s="35"/>
      <c r="B33" s="11"/>
      <c r="C33" s="35"/>
      <c r="D33" s="11"/>
      <c r="E33" s="35"/>
      <c r="F33" s="35"/>
      <c r="G33" s="35"/>
      <c r="H33" s="35"/>
      <c r="I33" s="11"/>
      <c r="J33" s="36"/>
      <c r="K33" s="36"/>
      <c r="L33" s="11"/>
      <c r="M33" s="35"/>
      <c r="N33" s="35"/>
      <c r="O33" s="36"/>
      <c r="P33" s="37" t="str">
        <f>IF($A33="","",COUNTIFS(Scénáře!$C$4:$C$503,$A33,Scénáře!$W$4:$W$503,"&lt;&gt;Zrušeno"))</f>
        <v/>
      </c>
      <c r="Q33" s="37" t="str">
        <f>IF($A33="","",COUNTIFS(Scénáře!$C$4:$C$503,$A33,Scénáře!$W$4:$W$503,"Schváleno"))</f>
        <v/>
      </c>
      <c r="R33" s="37" t="str">
        <f>IF($A33="","",SUMPRODUCT((Scénáře!$C$4:$C$503=$A33)*((Scénáře!$AA$4:$AA$503="Natočeno")+(Scénáře!$AA$4:$AA$503="Ve střihu")+(Scénáře!$AA$4:$AA$503="Sestříháno")+(Scénáře!$AA$4:$AA$503="Publikováno"))))</f>
        <v/>
      </c>
      <c r="S33" s="37" t="str">
        <f>IF($A33="","",COUNTIFS(Scénáře!$C$4:$C$503,$A33,Scénáře!$AF$4:$AF$503,"&gt;0"))</f>
        <v/>
      </c>
      <c r="T33" s="40" t="str">
        <f t="shared" si="0"/>
        <v/>
      </c>
      <c r="U33" s="37" t="str">
        <f t="shared" si="1"/>
        <v/>
      </c>
      <c r="V33" s="37" t="str">
        <f>IF($A33="","",SUMIFS(Scénáře!$AE$4:$AE$503,Scénáře!$C$4:$C$503,$A33))</f>
        <v/>
      </c>
      <c r="W33" s="37" t="str">
        <f>IF($A33="","",COUNTIFS(Publikace!$C$4:$C$503,$A33,Publikace!$G$4:$G$503,""))</f>
        <v/>
      </c>
      <c r="X33" s="39" t="str">
        <f t="shared" si="2"/>
        <v/>
      </c>
      <c r="Y33" s="39" t="str">
        <f t="shared" si="3"/>
        <v/>
      </c>
      <c r="Z33" s="37" t="str">
        <f t="shared" si="4"/>
        <v/>
      </c>
      <c r="AA33" s="37" t="str">
        <f>IF(Z33="ANO",COUNTIF($Z$4:Z33,"ANO"),"")</f>
        <v/>
      </c>
    </row>
    <row r="34" spans="1:27" x14ac:dyDescent="0.2">
      <c r="A34" s="35"/>
      <c r="B34" s="11"/>
      <c r="C34" s="35"/>
      <c r="D34" s="11"/>
      <c r="E34" s="35"/>
      <c r="F34" s="35"/>
      <c r="G34" s="35"/>
      <c r="H34" s="35"/>
      <c r="I34" s="11"/>
      <c r="J34" s="36"/>
      <c r="K34" s="36"/>
      <c r="L34" s="11"/>
      <c r="M34" s="35"/>
      <c r="N34" s="35"/>
      <c r="O34" s="36"/>
      <c r="P34" s="37" t="str">
        <f>IF($A34="","",COUNTIFS(Scénáře!$C$4:$C$503,$A34,Scénáře!$W$4:$W$503,"&lt;&gt;Zrušeno"))</f>
        <v/>
      </c>
      <c r="Q34" s="37" t="str">
        <f>IF($A34="","",COUNTIFS(Scénáře!$C$4:$C$503,$A34,Scénáře!$W$4:$W$503,"Schváleno"))</f>
        <v/>
      </c>
      <c r="R34" s="37" t="str">
        <f>IF($A34="","",SUMPRODUCT((Scénáře!$C$4:$C$503=$A34)*((Scénáře!$AA$4:$AA$503="Natočeno")+(Scénáře!$AA$4:$AA$503="Ve střihu")+(Scénáře!$AA$4:$AA$503="Sestříháno")+(Scénáře!$AA$4:$AA$503="Publikováno"))))</f>
        <v/>
      </c>
      <c r="S34" s="37" t="str">
        <f>IF($A34="","",COUNTIFS(Scénáře!$C$4:$C$503,$A34,Scénáře!$AF$4:$AF$503,"&gt;0"))</f>
        <v/>
      </c>
      <c r="T34" s="40" t="str">
        <f t="shared" si="0"/>
        <v/>
      </c>
      <c r="U34" s="37" t="str">
        <f t="shared" si="1"/>
        <v/>
      </c>
      <c r="V34" s="37" t="str">
        <f>IF($A34="","",SUMIFS(Scénáře!$AE$4:$AE$503,Scénáře!$C$4:$C$503,$A34))</f>
        <v/>
      </c>
      <c r="W34" s="37" t="str">
        <f>IF($A34="","",COUNTIFS(Publikace!$C$4:$C$503,$A34,Publikace!$G$4:$G$503,""))</f>
        <v/>
      </c>
      <c r="X34" s="39" t="str">
        <f t="shared" si="2"/>
        <v/>
      </c>
      <c r="Y34" s="39" t="str">
        <f t="shared" si="3"/>
        <v/>
      </c>
      <c r="Z34" s="37" t="str">
        <f t="shared" si="4"/>
        <v/>
      </c>
      <c r="AA34" s="37" t="str">
        <f>IF(Z34="ANO",COUNTIF($Z$4:Z34,"ANO"),"")</f>
        <v/>
      </c>
    </row>
    <row r="35" spans="1:27" x14ac:dyDescent="0.2">
      <c r="A35" s="35"/>
      <c r="B35" s="11"/>
      <c r="C35" s="35"/>
      <c r="D35" s="11"/>
      <c r="E35" s="35"/>
      <c r="F35" s="35"/>
      <c r="G35" s="35"/>
      <c r="H35" s="35"/>
      <c r="I35" s="11"/>
      <c r="J35" s="36"/>
      <c r="K35" s="36"/>
      <c r="L35" s="11"/>
      <c r="M35" s="35"/>
      <c r="N35" s="35"/>
      <c r="O35" s="36"/>
      <c r="P35" s="37" t="str">
        <f>IF($A35="","",COUNTIFS(Scénáře!$C$4:$C$503,$A35,Scénáře!$W$4:$W$503,"&lt;&gt;Zrušeno"))</f>
        <v/>
      </c>
      <c r="Q35" s="37" t="str">
        <f>IF($A35="","",COUNTIFS(Scénáře!$C$4:$C$503,$A35,Scénáře!$W$4:$W$503,"Schváleno"))</f>
        <v/>
      </c>
      <c r="R35" s="37" t="str">
        <f>IF($A35="","",SUMPRODUCT((Scénáře!$C$4:$C$503=$A35)*((Scénáře!$AA$4:$AA$503="Natočeno")+(Scénáře!$AA$4:$AA$503="Ve střihu")+(Scénáře!$AA$4:$AA$503="Sestříháno")+(Scénáře!$AA$4:$AA$503="Publikováno"))))</f>
        <v/>
      </c>
      <c r="S35" s="37" t="str">
        <f>IF($A35="","",COUNTIFS(Scénáře!$C$4:$C$503,$A35,Scénáře!$AF$4:$AF$503,"&gt;0"))</f>
        <v/>
      </c>
      <c r="T35" s="40" t="str">
        <f t="shared" si="0"/>
        <v/>
      </c>
      <c r="U35" s="37" t="str">
        <f t="shared" si="1"/>
        <v/>
      </c>
      <c r="V35" s="37" t="str">
        <f>IF($A35="","",SUMIFS(Scénáře!$AE$4:$AE$503,Scénáře!$C$4:$C$503,$A35))</f>
        <v/>
      </c>
      <c r="W35" s="37" t="str">
        <f>IF($A35="","",COUNTIFS(Publikace!$C$4:$C$503,$A35,Publikace!$G$4:$G$503,""))</f>
        <v/>
      </c>
      <c r="X35" s="39" t="str">
        <f t="shared" si="2"/>
        <v/>
      </c>
      <c r="Y35" s="39" t="str">
        <f t="shared" si="3"/>
        <v/>
      </c>
      <c r="Z35" s="37" t="str">
        <f t="shared" si="4"/>
        <v/>
      </c>
      <c r="AA35" s="37" t="str">
        <f>IF(Z35="ANO",COUNTIF($Z$4:Z35,"ANO"),"")</f>
        <v/>
      </c>
    </row>
    <row r="36" spans="1:27" x14ac:dyDescent="0.2">
      <c r="A36" s="35"/>
      <c r="B36" s="11"/>
      <c r="C36" s="35"/>
      <c r="D36" s="11"/>
      <c r="E36" s="35"/>
      <c r="F36" s="35"/>
      <c r="G36" s="35"/>
      <c r="H36" s="35"/>
      <c r="I36" s="11"/>
      <c r="J36" s="36"/>
      <c r="K36" s="36"/>
      <c r="L36" s="11"/>
      <c r="M36" s="35"/>
      <c r="N36" s="35"/>
      <c r="O36" s="36"/>
      <c r="P36" s="37" t="str">
        <f>IF($A36="","",COUNTIFS(Scénáře!$C$4:$C$503,$A36,Scénáře!$W$4:$W$503,"&lt;&gt;Zrušeno"))</f>
        <v/>
      </c>
      <c r="Q36" s="37" t="str">
        <f>IF($A36="","",COUNTIFS(Scénáře!$C$4:$C$503,$A36,Scénáře!$W$4:$W$503,"Schváleno"))</f>
        <v/>
      </c>
      <c r="R36" s="37" t="str">
        <f>IF($A36="","",SUMPRODUCT((Scénáře!$C$4:$C$503=$A36)*((Scénáře!$AA$4:$AA$503="Natočeno")+(Scénáře!$AA$4:$AA$503="Ve střihu")+(Scénáře!$AA$4:$AA$503="Sestříháno")+(Scénáře!$AA$4:$AA$503="Publikováno"))))</f>
        <v/>
      </c>
      <c r="S36" s="37" t="str">
        <f>IF($A36="","",COUNTIFS(Scénáře!$C$4:$C$503,$A36,Scénáře!$AF$4:$AF$503,"&gt;0"))</f>
        <v/>
      </c>
      <c r="T36" s="40" t="str">
        <f t="shared" ref="T36:T67" si="5">IF($A36="","",IF(N(G36)&gt;0,S36/G36,""))</f>
        <v/>
      </c>
      <c r="U36" s="37" t="str">
        <f t="shared" ref="U36:U67" si="6">IF($A36="","",MAX(0,N(G36)-S36))</f>
        <v/>
      </c>
      <c r="V36" s="37" t="str">
        <f>IF($A36="","",SUMIFS(Scénáře!$AE$4:$AE$503,Scénáře!$C$4:$C$503,$A36))</f>
        <v/>
      </c>
      <c r="W36" s="37" t="str">
        <f>IF($A36="","",COUNTIFS(Publikace!$C$4:$C$503,$A36,Publikace!$G$4:$G$503,""))</f>
        <v/>
      </c>
      <c r="X36" s="39" t="str">
        <f t="shared" ref="X36:X67" si="7">IF($A36="","",IF(N(G36)=0,"Doplňte plánovaný počet dílů",TRIM(IF(S36&lt;G36,"Publikováno "&amp;S36&amp;" z "&amp;G36&amp;". ","")&amp;IF(V36&gt;0,"Otevřené připomínky: "&amp;V36&amp;". ","")&amp;IF(W36&gt;0,"Chybí odkazy: "&amp;W36&amp;". ",""))&amp;IF(AND(S36&gt;=G36,V36=0,W36=0),"ANO – podmínky splněny","")))</f>
        <v/>
      </c>
      <c r="Y36" s="39" t="str">
        <f t="shared" ref="Y36:Y67" si="8">IF($A36="","",TRIM(IF(AND(M36="Uzavřená",OR(N36="",O36="")),"Uzavřeno bez potvrzení (kdo / kdy). ","")&amp;IF(AND(M36="Uzavřená",LEFT(X36,3)&lt;&gt;"ANO"),"Uzavřeno, ale podmínky nejsou splněny. ","")&amp;IF(AND(H36&lt;&gt;"",G36&lt;&gt;H36,I36=""),"Změněn rozsah bez uvedení důvodu. ","")&amp;IF(P36&gt;N(G36),"Více dílů než plán. ","")))</f>
        <v/>
      </c>
      <c r="Z36" s="37" t="str">
        <f t="shared" ref="Z36:Z67" si="9">IF($A36="","",IF(OR(M36="Uzavřená",M36="Zrušená"),"NE","ANO"))</f>
        <v/>
      </c>
      <c r="AA36" s="37" t="str">
        <f>IF(Z36="ANO",COUNTIF($Z$4:Z36,"ANO"),"")</f>
        <v/>
      </c>
    </row>
    <row r="37" spans="1:27" x14ac:dyDescent="0.2">
      <c r="A37" s="35"/>
      <c r="B37" s="11"/>
      <c r="C37" s="35"/>
      <c r="D37" s="11"/>
      <c r="E37" s="35"/>
      <c r="F37" s="35"/>
      <c r="G37" s="35"/>
      <c r="H37" s="35"/>
      <c r="I37" s="11"/>
      <c r="J37" s="36"/>
      <c r="K37" s="36"/>
      <c r="L37" s="11"/>
      <c r="M37" s="35"/>
      <c r="N37" s="35"/>
      <c r="O37" s="36"/>
      <c r="P37" s="37" t="str">
        <f>IF($A37="","",COUNTIFS(Scénáře!$C$4:$C$503,$A37,Scénáře!$W$4:$W$503,"&lt;&gt;Zrušeno"))</f>
        <v/>
      </c>
      <c r="Q37" s="37" t="str">
        <f>IF($A37="","",COUNTIFS(Scénáře!$C$4:$C$503,$A37,Scénáře!$W$4:$W$503,"Schváleno"))</f>
        <v/>
      </c>
      <c r="R37" s="37" t="str">
        <f>IF($A37="","",SUMPRODUCT((Scénáře!$C$4:$C$503=$A37)*((Scénáře!$AA$4:$AA$503="Natočeno")+(Scénáře!$AA$4:$AA$503="Ve střihu")+(Scénáře!$AA$4:$AA$503="Sestříháno")+(Scénáře!$AA$4:$AA$503="Publikováno"))))</f>
        <v/>
      </c>
      <c r="S37" s="37" t="str">
        <f>IF($A37="","",COUNTIFS(Scénáře!$C$4:$C$503,$A37,Scénáře!$AF$4:$AF$503,"&gt;0"))</f>
        <v/>
      </c>
      <c r="T37" s="40" t="str">
        <f t="shared" si="5"/>
        <v/>
      </c>
      <c r="U37" s="37" t="str">
        <f t="shared" si="6"/>
        <v/>
      </c>
      <c r="V37" s="37" t="str">
        <f>IF($A37="","",SUMIFS(Scénáře!$AE$4:$AE$503,Scénáře!$C$4:$C$503,$A37))</f>
        <v/>
      </c>
      <c r="W37" s="37" t="str">
        <f>IF($A37="","",COUNTIFS(Publikace!$C$4:$C$503,$A37,Publikace!$G$4:$G$503,""))</f>
        <v/>
      </c>
      <c r="X37" s="39" t="str">
        <f t="shared" si="7"/>
        <v/>
      </c>
      <c r="Y37" s="39" t="str">
        <f t="shared" si="8"/>
        <v/>
      </c>
      <c r="Z37" s="37" t="str">
        <f t="shared" si="9"/>
        <v/>
      </c>
      <c r="AA37" s="37" t="str">
        <f>IF(Z37="ANO",COUNTIF($Z$4:Z37,"ANO"),"")</f>
        <v/>
      </c>
    </row>
    <row r="38" spans="1:27" x14ac:dyDescent="0.2">
      <c r="A38" s="35"/>
      <c r="B38" s="11"/>
      <c r="C38" s="35"/>
      <c r="D38" s="11"/>
      <c r="E38" s="35"/>
      <c r="F38" s="35"/>
      <c r="G38" s="35"/>
      <c r="H38" s="35"/>
      <c r="I38" s="11"/>
      <c r="J38" s="36"/>
      <c r="K38" s="36"/>
      <c r="L38" s="11"/>
      <c r="M38" s="35"/>
      <c r="N38" s="35"/>
      <c r="O38" s="36"/>
      <c r="P38" s="37" t="str">
        <f>IF($A38="","",COUNTIFS(Scénáře!$C$4:$C$503,$A38,Scénáře!$W$4:$W$503,"&lt;&gt;Zrušeno"))</f>
        <v/>
      </c>
      <c r="Q38" s="37" t="str">
        <f>IF($A38="","",COUNTIFS(Scénáře!$C$4:$C$503,$A38,Scénáře!$W$4:$W$503,"Schváleno"))</f>
        <v/>
      </c>
      <c r="R38" s="37" t="str">
        <f>IF($A38="","",SUMPRODUCT((Scénáře!$C$4:$C$503=$A38)*((Scénáře!$AA$4:$AA$503="Natočeno")+(Scénáře!$AA$4:$AA$503="Ve střihu")+(Scénáře!$AA$4:$AA$503="Sestříháno")+(Scénáře!$AA$4:$AA$503="Publikováno"))))</f>
        <v/>
      </c>
      <c r="S38" s="37" t="str">
        <f>IF($A38="","",COUNTIFS(Scénáře!$C$4:$C$503,$A38,Scénáře!$AF$4:$AF$503,"&gt;0"))</f>
        <v/>
      </c>
      <c r="T38" s="40" t="str">
        <f t="shared" si="5"/>
        <v/>
      </c>
      <c r="U38" s="37" t="str">
        <f t="shared" si="6"/>
        <v/>
      </c>
      <c r="V38" s="37" t="str">
        <f>IF($A38="","",SUMIFS(Scénáře!$AE$4:$AE$503,Scénáře!$C$4:$C$503,$A38))</f>
        <v/>
      </c>
      <c r="W38" s="37" t="str">
        <f>IF($A38="","",COUNTIFS(Publikace!$C$4:$C$503,$A38,Publikace!$G$4:$G$503,""))</f>
        <v/>
      </c>
      <c r="X38" s="39" t="str">
        <f t="shared" si="7"/>
        <v/>
      </c>
      <c r="Y38" s="39" t="str">
        <f t="shared" si="8"/>
        <v/>
      </c>
      <c r="Z38" s="37" t="str">
        <f t="shared" si="9"/>
        <v/>
      </c>
      <c r="AA38" s="37" t="str">
        <f>IF(Z38="ANO",COUNTIF($Z$4:Z38,"ANO"),"")</f>
        <v/>
      </c>
    </row>
    <row r="39" spans="1:27" x14ac:dyDescent="0.2">
      <c r="A39" s="35"/>
      <c r="B39" s="11"/>
      <c r="C39" s="35"/>
      <c r="D39" s="11"/>
      <c r="E39" s="35"/>
      <c r="F39" s="35"/>
      <c r="G39" s="35"/>
      <c r="H39" s="35"/>
      <c r="I39" s="11"/>
      <c r="J39" s="36"/>
      <c r="K39" s="36"/>
      <c r="L39" s="11"/>
      <c r="M39" s="35"/>
      <c r="N39" s="35"/>
      <c r="O39" s="36"/>
      <c r="P39" s="37" t="str">
        <f>IF($A39="","",COUNTIFS(Scénáře!$C$4:$C$503,$A39,Scénáře!$W$4:$W$503,"&lt;&gt;Zrušeno"))</f>
        <v/>
      </c>
      <c r="Q39" s="37" t="str">
        <f>IF($A39="","",COUNTIFS(Scénáře!$C$4:$C$503,$A39,Scénáře!$W$4:$W$503,"Schváleno"))</f>
        <v/>
      </c>
      <c r="R39" s="37" t="str">
        <f>IF($A39="","",SUMPRODUCT((Scénáře!$C$4:$C$503=$A39)*((Scénáře!$AA$4:$AA$503="Natočeno")+(Scénáře!$AA$4:$AA$503="Ve střihu")+(Scénáře!$AA$4:$AA$503="Sestříháno")+(Scénáře!$AA$4:$AA$503="Publikováno"))))</f>
        <v/>
      </c>
      <c r="S39" s="37" t="str">
        <f>IF($A39="","",COUNTIFS(Scénáře!$C$4:$C$503,$A39,Scénáře!$AF$4:$AF$503,"&gt;0"))</f>
        <v/>
      </c>
      <c r="T39" s="40" t="str">
        <f t="shared" si="5"/>
        <v/>
      </c>
      <c r="U39" s="37" t="str">
        <f t="shared" si="6"/>
        <v/>
      </c>
      <c r="V39" s="37" t="str">
        <f>IF($A39="","",SUMIFS(Scénáře!$AE$4:$AE$503,Scénáře!$C$4:$C$503,$A39))</f>
        <v/>
      </c>
      <c r="W39" s="37" t="str">
        <f>IF($A39="","",COUNTIFS(Publikace!$C$4:$C$503,$A39,Publikace!$G$4:$G$503,""))</f>
        <v/>
      </c>
      <c r="X39" s="39" t="str">
        <f t="shared" si="7"/>
        <v/>
      </c>
      <c r="Y39" s="39" t="str">
        <f t="shared" si="8"/>
        <v/>
      </c>
      <c r="Z39" s="37" t="str">
        <f t="shared" si="9"/>
        <v/>
      </c>
      <c r="AA39" s="37" t="str">
        <f>IF(Z39="ANO",COUNTIF($Z$4:Z39,"ANO"),"")</f>
        <v/>
      </c>
    </row>
    <row r="40" spans="1:27" x14ac:dyDescent="0.2">
      <c r="A40" s="35"/>
      <c r="B40" s="11"/>
      <c r="C40" s="35"/>
      <c r="D40" s="11"/>
      <c r="E40" s="35"/>
      <c r="F40" s="35"/>
      <c r="G40" s="35"/>
      <c r="H40" s="35"/>
      <c r="I40" s="11"/>
      <c r="J40" s="36"/>
      <c r="K40" s="36"/>
      <c r="L40" s="11"/>
      <c r="M40" s="35"/>
      <c r="N40" s="35"/>
      <c r="O40" s="36"/>
      <c r="P40" s="37" t="str">
        <f>IF($A40="","",COUNTIFS(Scénáře!$C$4:$C$503,$A40,Scénáře!$W$4:$W$503,"&lt;&gt;Zrušeno"))</f>
        <v/>
      </c>
      <c r="Q40" s="37" t="str">
        <f>IF($A40="","",COUNTIFS(Scénáře!$C$4:$C$503,$A40,Scénáře!$W$4:$W$503,"Schváleno"))</f>
        <v/>
      </c>
      <c r="R40" s="37" t="str">
        <f>IF($A40="","",SUMPRODUCT((Scénáře!$C$4:$C$503=$A40)*((Scénáře!$AA$4:$AA$503="Natočeno")+(Scénáře!$AA$4:$AA$503="Ve střihu")+(Scénáře!$AA$4:$AA$503="Sestříháno")+(Scénáře!$AA$4:$AA$503="Publikováno"))))</f>
        <v/>
      </c>
      <c r="S40" s="37" t="str">
        <f>IF($A40="","",COUNTIFS(Scénáře!$C$4:$C$503,$A40,Scénáře!$AF$4:$AF$503,"&gt;0"))</f>
        <v/>
      </c>
      <c r="T40" s="40" t="str">
        <f t="shared" si="5"/>
        <v/>
      </c>
      <c r="U40" s="37" t="str">
        <f t="shared" si="6"/>
        <v/>
      </c>
      <c r="V40" s="37" t="str">
        <f>IF($A40="","",SUMIFS(Scénáře!$AE$4:$AE$503,Scénáře!$C$4:$C$503,$A40))</f>
        <v/>
      </c>
      <c r="W40" s="37" t="str">
        <f>IF($A40="","",COUNTIFS(Publikace!$C$4:$C$503,$A40,Publikace!$G$4:$G$503,""))</f>
        <v/>
      </c>
      <c r="X40" s="39" t="str">
        <f t="shared" si="7"/>
        <v/>
      </c>
      <c r="Y40" s="39" t="str">
        <f t="shared" si="8"/>
        <v/>
      </c>
      <c r="Z40" s="37" t="str">
        <f t="shared" si="9"/>
        <v/>
      </c>
      <c r="AA40" s="37" t="str">
        <f>IF(Z40="ANO",COUNTIF($Z$4:Z40,"ANO"),"")</f>
        <v/>
      </c>
    </row>
    <row r="41" spans="1:27" x14ac:dyDescent="0.2">
      <c r="A41" s="35"/>
      <c r="B41" s="11"/>
      <c r="C41" s="35"/>
      <c r="D41" s="11"/>
      <c r="E41" s="35"/>
      <c r="F41" s="35"/>
      <c r="G41" s="35"/>
      <c r="H41" s="35"/>
      <c r="I41" s="11"/>
      <c r="J41" s="36"/>
      <c r="K41" s="36"/>
      <c r="L41" s="11"/>
      <c r="M41" s="35"/>
      <c r="N41" s="35"/>
      <c r="O41" s="36"/>
      <c r="P41" s="37" t="str">
        <f>IF($A41="","",COUNTIFS(Scénáře!$C$4:$C$503,$A41,Scénáře!$W$4:$W$503,"&lt;&gt;Zrušeno"))</f>
        <v/>
      </c>
      <c r="Q41" s="37" t="str">
        <f>IF($A41="","",COUNTIFS(Scénáře!$C$4:$C$503,$A41,Scénáře!$W$4:$W$503,"Schváleno"))</f>
        <v/>
      </c>
      <c r="R41" s="37" t="str">
        <f>IF($A41="","",SUMPRODUCT((Scénáře!$C$4:$C$503=$A41)*((Scénáře!$AA$4:$AA$503="Natočeno")+(Scénáře!$AA$4:$AA$503="Ve střihu")+(Scénáře!$AA$4:$AA$503="Sestříháno")+(Scénáře!$AA$4:$AA$503="Publikováno"))))</f>
        <v/>
      </c>
      <c r="S41" s="37" t="str">
        <f>IF($A41="","",COUNTIFS(Scénáře!$C$4:$C$503,$A41,Scénáře!$AF$4:$AF$503,"&gt;0"))</f>
        <v/>
      </c>
      <c r="T41" s="40" t="str">
        <f t="shared" si="5"/>
        <v/>
      </c>
      <c r="U41" s="37" t="str">
        <f t="shared" si="6"/>
        <v/>
      </c>
      <c r="V41" s="37" t="str">
        <f>IF($A41="","",SUMIFS(Scénáře!$AE$4:$AE$503,Scénáře!$C$4:$C$503,$A41))</f>
        <v/>
      </c>
      <c r="W41" s="37" t="str">
        <f>IF($A41="","",COUNTIFS(Publikace!$C$4:$C$503,$A41,Publikace!$G$4:$G$503,""))</f>
        <v/>
      </c>
      <c r="X41" s="39" t="str">
        <f t="shared" si="7"/>
        <v/>
      </c>
      <c r="Y41" s="39" t="str">
        <f t="shared" si="8"/>
        <v/>
      </c>
      <c r="Z41" s="37" t="str">
        <f t="shared" si="9"/>
        <v/>
      </c>
      <c r="AA41" s="37" t="str">
        <f>IF(Z41="ANO",COUNTIF($Z$4:Z41,"ANO"),"")</f>
        <v/>
      </c>
    </row>
    <row r="42" spans="1:27" x14ac:dyDescent="0.2">
      <c r="A42" s="35"/>
      <c r="B42" s="11"/>
      <c r="C42" s="35"/>
      <c r="D42" s="11"/>
      <c r="E42" s="35"/>
      <c r="F42" s="35"/>
      <c r="G42" s="35"/>
      <c r="H42" s="35"/>
      <c r="I42" s="11"/>
      <c r="J42" s="36"/>
      <c r="K42" s="36"/>
      <c r="L42" s="11"/>
      <c r="M42" s="35"/>
      <c r="N42" s="35"/>
      <c r="O42" s="36"/>
      <c r="P42" s="37" t="str">
        <f>IF($A42="","",COUNTIFS(Scénáře!$C$4:$C$503,$A42,Scénáře!$W$4:$W$503,"&lt;&gt;Zrušeno"))</f>
        <v/>
      </c>
      <c r="Q42" s="37" t="str">
        <f>IF($A42="","",COUNTIFS(Scénáře!$C$4:$C$503,$A42,Scénáře!$W$4:$W$503,"Schváleno"))</f>
        <v/>
      </c>
      <c r="R42" s="37" t="str">
        <f>IF($A42="","",SUMPRODUCT((Scénáře!$C$4:$C$503=$A42)*((Scénáře!$AA$4:$AA$503="Natočeno")+(Scénáře!$AA$4:$AA$503="Ve střihu")+(Scénáře!$AA$4:$AA$503="Sestříháno")+(Scénáře!$AA$4:$AA$503="Publikováno"))))</f>
        <v/>
      </c>
      <c r="S42" s="37" t="str">
        <f>IF($A42="","",COUNTIFS(Scénáře!$C$4:$C$503,$A42,Scénáře!$AF$4:$AF$503,"&gt;0"))</f>
        <v/>
      </c>
      <c r="T42" s="40" t="str">
        <f t="shared" si="5"/>
        <v/>
      </c>
      <c r="U42" s="37" t="str">
        <f t="shared" si="6"/>
        <v/>
      </c>
      <c r="V42" s="37" t="str">
        <f>IF($A42="","",SUMIFS(Scénáře!$AE$4:$AE$503,Scénáře!$C$4:$C$503,$A42))</f>
        <v/>
      </c>
      <c r="W42" s="37" t="str">
        <f>IF($A42="","",COUNTIFS(Publikace!$C$4:$C$503,$A42,Publikace!$G$4:$G$503,""))</f>
        <v/>
      </c>
      <c r="X42" s="39" t="str">
        <f t="shared" si="7"/>
        <v/>
      </c>
      <c r="Y42" s="39" t="str">
        <f t="shared" si="8"/>
        <v/>
      </c>
      <c r="Z42" s="37" t="str">
        <f t="shared" si="9"/>
        <v/>
      </c>
      <c r="AA42" s="37" t="str">
        <f>IF(Z42="ANO",COUNTIF($Z$4:Z42,"ANO"),"")</f>
        <v/>
      </c>
    </row>
    <row r="43" spans="1:27" x14ac:dyDescent="0.2">
      <c r="A43" s="35"/>
      <c r="B43" s="11"/>
      <c r="C43" s="35"/>
      <c r="D43" s="11"/>
      <c r="E43" s="35"/>
      <c r="F43" s="35"/>
      <c r="G43" s="35"/>
      <c r="H43" s="35"/>
      <c r="I43" s="11"/>
      <c r="J43" s="36"/>
      <c r="K43" s="36"/>
      <c r="L43" s="11"/>
      <c r="M43" s="35"/>
      <c r="N43" s="35"/>
      <c r="O43" s="36"/>
      <c r="P43" s="37" t="str">
        <f>IF($A43="","",COUNTIFS(Scénáře!$C$4:$C$503,$A43,Scénáře!$W$4:$W$503,"&lt;&gt;Zrušeno"))</f>
        <v/>
      </c>
      <c r="Q43" s="37" t="str">
        <f>IF($A43="","",COUNTIFS(Scénáře!$C$4:$C$503,$A43,Scénáře!$W$4:$W$503,"Schváleno"))</f>
        <v/>
      </c>
      <c r="R43" s="37" t="str">
        <f>IF($A43="","",SUMPRODUCT((Scénáře!$C$4:$C$503=$A43)*((Scénáře!$AA$4:$AA$503="Natočeno")+(Scénáře!$AA$4:$AA$503="Ve střihu")+(Scénáře!$AA$4:$AA$503="Sestříháno")+(Scénáře!$AA$4:$AA$503="Publikováno"))))</f>
        <v/>
      </c>
      <c r="S43" s="37" t="str">
        <f>IF($A43="","",COUNTIFS(Scénáře!$C$4:$C$503,$A43,Scénáře!$AF$4:$AF$503,"&gt;0"))</f>
        <v/>
      </c>
      <c r="T43" s="40" t="str">
        <f t="shared" si="5"/>
        <v/>
      </c>
      <c r="U43" s="37" t="str">
        <f t="shared" si="6"/>
        <v/>
      </c>
      <c r="V43" s="37" t="str">
        <f>IF($A43="","",SUMIFS(Scénáře!$AE$4:$AE$503,Scénáře!$C$4:$C$503,$A43))</f>
        <v/>
      </c>
      <c r="W43" s="37" t="str">
        <f>IF($A43="","",COUNTIFS(Publikace!$C$4:$C$503,$A43,Publikace!$G$4:$G$503,""))</f>
        <v/>
      </c>
      <c r="X43" s="39" t="str">
        <f t="shared" si="7"/>
        <v/>
      </c>
      <c r="Y43" s="39" t="str">
        <f t="shared" si="8"/>
        <v/>
      </c>
      <c r="Z43" s="37" t="str">
        <f t="shared" si="9"/>
        <v/>
      </c>
      <c r="AA43" s="37" t="str">
        <f>IF(Z43="ANO",COUNTIF($Z$4:Z43,"ANO"),"")</f>
        <v/>
      </c>
    </row>
    <row r="44" spans="1:27" x14ac:dyDescent="0.2">
      <c r="A44" s="35"/>
      <c r="B44" s="11"/>
      <c r="C44" s="35"/>
      <c r="D44" s="11"/>
      <c r="E44" s="35"/>
      <c r="F44" s="35"/>
      <c r="G44" s="35"/>
      <c r="H44" s="35"/>
      <c r="I44" s="11"/>
      <c r="J44" s="36"/>
      <c r="K44" s="36"/>
      <c r="L44" s="11"/>
      <c r="M44" s="35"/>
      <c r="N44" s="35"/>
      <c r="O44" s="36"/>
      <c r="P44" s="37" t="str">
        <f>IF($A44="","",COUNTIFS(Scénáře!$C$4:$C$503,$A44,Scénáře!$W$4:$W$503,"&lt;&gt;Zrušeno"))</f>
        <v/>
      </c>
      <c r="Q44" s="37" t="str">
        <f>IF($A44="","",COUNTIFS(Scénáře!$C$4:$C$503,$A44,Scénáře!$W$4:$W$503,"Schváleno"))</f>
        <v/>
      </c>
      <c r="R44" s="37" t="str">
        <f>IF($A44="","",SUMPRODUCT((Scénáře!$C$4:$C$503=$A44)*((Scénáře!$AA$4:$AA$503="Natočeno")+(Scénáře!$AA$4:$AA$503="Ve střihu")+(Scénáře!$AA$4:$AA$503="Sestříháno")+(Scénáře!$AA$4:$AA$503="Publikováno"))))</f>
        <v/>
      </c>
      <c r="S44" s="37" t="str">
        <f>IF($A44="","",COUNTIFS(Scénáře!$C$4:$C$503,$A44,Scénáře!$AF$4:$AF$503,"&gt;0"))</f>
        <v/>
      </c>
      <c r="T44" s="40" t="str">
        <f t="shared" si="5"/>
        <v/>
      </c>
      <c r="U44" s="37" t="str">
        <f t="shared" si="6"/>
        <v/>
      </c>
      <c r="V44" s="37" t="str">
        <f>IF($A44="","",SUMIFS(Scénáře!$AE$4:$AE$503,Scénáře!$C$4:$C$503,$A44))</f>
        <v/>
      </c>
      <c r="W44" s="37" t="str">
        <f>IF($A44="","",COUNTIFS(Publikace!$C$4:$C$503,$A44,Publikace!$G$4:$G$503,""))</f>
        <v/>
      </c>
      <c r="X44" s="39" t="str">
        <f t="shared" si="7"/>
        <v/>
      </c>
      <c r="Y44" s="39" t="str">
        <f t="shared" si="8"/>
        <v/>
      </c>
      <c r="Z44" s="37" t="str">
        <f t="shared" si="9"/>
        <v/>
      </c>
      <c r="AA44" s="37" t="str">
        <f>IF(Z44="ANO",COUNTIF($Z$4:Z44,"ANO"),"")</f>
        <v/>
      </c>
    </row>
    <row r="45" spans="1:27" x14ac:dyDescent="0.2">
      <c r="A45" s="35"/>
      <c r="B45" s="11"/>
      <c r="C45" s="35"/>
      <c r="D45" s="11"/>
      <c r="E45" s="35"/>
      <c r="F45" s="35"/>
      <c r="G45" s="35"/>
      <c r="H45" s="35"/>
      <c r="I45" s="11"/>
      <c r="J45" s="36"/>
      <c r="K45" s="36"/>
      <c r="L45" s="11"/>
      <c r="M45" s="35"/>
      <c r="N45" s="35"/>
      <c r="O45" s="36"/>
      <c r="P45" s="37" t="str">
        <f>IF($A45="","",COUNTIFS(Scénáře!$C$4:$C$503,$A45,Scénáře!$W$4:$W$503,"&lt;&gt;Zrušeno"))</f>
        <v/>
      </c>
      <c r="Q45" s="37" t="str">
        <f>IF($A45="","",COUNTIFS(Scénáře!$C$4:$C$503,$A45,Scénáře!$W$4:$W$503,"Schváleno"))</f>
        <v/>
      </c>
      <c r="R45" s="37" t="str">
        <f>IF($A45="","",SUMPRODUCT((Scénáře!$C$4:$C$503=$A45)*((Scénáře!$AA$4:$AA$503="Natočeno")+(Scénáře!$AA$4:$AA$503="Ve střihu")+(Scénáře!$AA$4:$AA$503="Sestříháno")+(Scénáře!$AA$4:$AA$503="Publikováno"))))</f>
        <v/>
      </c>
      <c r="S45" s="37" t="str">
        <f>IF($A45="","",COUNTIFS(Scénáře!$C$4:$C$503,$A45,Scénáře!$AF$4:$AF$503,"&gt;0"))</f>
        <v/>
      </c>
      <c r="T45" s="40" t="str">
        <f t="shared" si="5"/>
        <v/>
      </c>
      <c r="U45" s="37" t="str">
        <f t="shared" si="6"/>
        <v/>
      </c>
      <c r="V45" s="37" t="str">
        <f>IF($A45="","",SUMIFS(Scénáře!$AE$4:$AE$503,Scénáře!$C$4:$C$503,$A45))</f>
        <v/>
      </c>
      <c r="W45" s="37" t="str">
        <f>IF($A45="","",COUNTIFS(Publikace!$C$4:$C$503,$A45,Publikace!$G$4:$G$503,""))</f>
        <v/>
      </c>
      <c r="X45" s="39" t="str">
        <f t="shared" si="7"/>
        <v/>
      </c>
      <c r="Y45" s="39" t="str">
        <f t="shared" si="8"/>
        <v/>
      </c>
      <c r="Z45" s="37" t="str">
        <f t="shared" si="9"/>
        <v/>
      </c>
      <c r="AA45" s="37" t="str">
        <f>IF(Z45="ANO",COUNTIF($Z$4:Z45,"ANO"),"")</f>
        <v/>
      </c>
    </row>
    <row r="46" spans="1:27" x14ac:dyDescent="0.2">
      <c r="A46" s="35"/>
      <c r="B46" s="11"/>
      <c r="C46" s="35"/>
      <c r="D46" s="11"/>
      <c r="E46" s="35"/>
      <c r="F46" s="35"/>
      <c r="G46" s="35"/>
      <c r="H46" s="35"/>
      <c r="I46" s="11"/>
      <c r="J46" s="36"/>
      <c r="K46" s="36"/>
      <c r="L46" s="11"/>
      <c r="M46" s="35"/>
      <c r="N46" s="35"/>
      <c r="O46" s="36"/>
      <c r="P46" s="37" t="str">
        <f>IF($A46="","",COUNTIFS(Scénáře!$C$4:$C$503,$A46,Scénáře!$W$4:$W$503,"&lt;&gt;Zrušeno"))</f>
        <v/>
      </c>
      <c r="Q46" s="37" t="str">
        <f>IF($A46="","",COUNTIFS(Scénáře!$C$4:$C$503,$A46,Scénáře!$W$4:$W$503,"Schváleno"))</f>
        <v/>
      </c>
      <c r="R46" s="37" t="str">
        <f>IF($A46="","",SUMPRODUCT((Scénáře!$C$4:$C$503=$A46)*((Scénáře!$AA$4:$AA$503="Natočeno")+(Scénáře!$AA$4:$AA$503="Ve střihu")+(Scénáře!$AA$4:$AA$503="Sestříháno")+(Scénáře!$AA$4:$AA$503="Publikováno"))))</f>
        <v/>
      </c>
      <c r="S46" s="37" t="str">
        <f>IF($A46="","",COUNTIFS(Scénáře!$C$4:$C$503,$A46,Scénáře!$AF$4:$AF$503,"&gt;0"))</f>
        <v/>
      </c>
      <c r="T46" s="40" t="str">
        <f t="shared" si="5"/>
        <v/>
      </c>
      <c r="U46" s="37" t="str">
        <f t="shared" si="6"/>
        <v/>
      </c>
      <c r="V46" s="37" t="str">
        <f>IF($A46="","",SUMIFS(Scénáře!$AE$4:$AE$503,Scénáře!$C$4:$C$503,$A46))</f>
        <v/>
      </c>
      <c r="W46" s="37" t="str">
        <f>IF($A46="","",COUNTIFS(Publikace!$C$4:$C$503,$A46,Publikace!$G$4:$G$503,""))</f>
        <v/>
      </c>
      <c r="X46" s="39" t="str">
        <f t="shared" si="7"/>
        <v/>
      </c>
      <c r="Y46" s="39" t="str">
        <f t="shared" si="8"/>
        <v/>
      </c>
      <c r="Z46" s="37" t="str">
        <f t="shared" si="9"/>
        <v/>
      </c>
      <c r="AA46" s="37" t="str">
        <f>IF(Z46="ANO",COUNTIF($Z$4:Z46,"ANO"),"")</f>
        <v/>
      </c>
    </row>
    <row r="47" spans="1:27" x14ac:dyDescent="0.2">
      <c r="A47" s="35"/>
      <c r="B47" s="11"/>
      <c r="C47" s="35"/>
      <c r="D47" s="11"/>
      <c r="E47" s="35"/>
      <c r="F47" s="35"/>
      <c r="G47" s="35"/>
      <c r="H47" s="35"/>
      <c r="I47" s="11"/>
      <c r="J47" s="36"/>
      <c r="K47" s="36"/>
      <c r="L47" s="11"/>
      <c r="M47" s="35"/>
      <c r="N47" s="35"/>
      <c r="O47" s="36"/>
      <c r="P47" s="37" t="str">
        <f>IF($A47="","",COUNTIFS(Scénáře!$C$4:$C$503,$A47,Scénáře!$W$4:$W$503,"&lt;&gt;Zrušeno"))</f>
        <v/>
      </c>
      <c r="Q47" s="37" t="str">
        <f>IF($A47="","",COUNTIFS(Scénáře!$C$4:$C$503,$A47,Scénáře!$W$4:$W$503,"Schváleno"))</f>
        <v/>
      </c>
      <c r="R47" s="37" t="str">
        <f>IF($A47="","",SUMPRODUCT((Scénáře!$C$4:$C$503=$A47)*((Scénáře!$AA$4:$AA$503="Natočeno")+(Scénáře!$AA$4:$AA$503="Ve střihu")+(Scénáře!$AA$4:$AA$503="Sestříháno")+(Scénáře!$AA$4:$AA$503="Publikováno"))))</f>
        <v/>
      </c>
      <c r="S47" s="37" t="str">
        <f>IF($A47="","",COUNTIFS(Scénáře!$C$4:$C$503,$A47,Scénáře!$AF$4:$AF$503,"&gt;0"))</f>
        <v/>
      </c>
      <c r="T47" s="40" t="str">
        <f t="shared" si="5"/>
        <v/>
      </c>
      <c r="U47" s="37" t="str">
        <f t="shared" si="6"/>
        <v/>
      </c>
      <c r="V47" s="37" t="str">
        <f>IF($A47="","",SUMIFS(Scénáře!$AE$4:$AE$503,Scénáře!$C$4:$C$503,$A47))</f>
        <v/>
      </c>
      <c r="W47" s="37" t="str">
        <f>IF($A47="","",COUNTIFS(Publikace!$C$4:$C$503,$A47,Publikace!$G$4:$G$503,""))</f>
        <v/>
      </c>
      <c r="X47" s="39" t="str">
        <f t="shared" si="7"/>
        <v/>
      </c>
      <c r="Y47" s="39" t="str">
        <f t="shared" si="8"/>
        <v/>
      </c>
      <c r="Z47" s="37" t="str">
        <f t="shared" si="9"/>
        <v/>
      </c>
      <c r="AA47" s="37" t="str">
        <f>IF(Z47="ANO",COUNTIF($Z$4:Z47,"ANO"),"")</f>
        <v/>
      </c>
    </row>
    <row r="48" spans="1:27" x14ac:dyDescent="0.2">
      <c r="A48" s="35"/>
      <c r="B48" s="11"/>
      <c r="C48" s="35"/>
      <c r="D48" s="11"/>
      <c r="E48" s="35"/>
      <c r="F48" s="35"/>
      <c r="G48" s="35"/>
      <c r="H48" s="35"/>
      <c r="I48" s="11"/>
      <c r="J48" s="36"/>
      <c r="K48" s="36"/>
      <c r="L48" s="11"/>
      <c r="M48" s="35"/>
      <c r="N48" s="35"/>
      <c r="O48" s="36"/>
      <c r="P48" s="37" t="str">
        <f>IF($A48="","",COUNTIFS(Scénáře!$C$4:$C$503,$A48,Scénáře!$W$4:$W$503,"&lt;&gt;Zrušeno"))</f>
        <v/>
      </c>
      <c r="Q48" s="37" t="str">
        <f>IF($A48="","",COUNTIFS(Scénáře!$C$4:$C$503,$A48,Scénáře!$W$4:$W$503,"Schváleno"))</f>
        <v/>
      </c>
      <c r="R48" s="37" t="str">
        <f>IF($A48="","",SUMPRODUCT((Scénáře!$C$4:$C$503=$A48)*((Scénáře!$AA$4:$AA$503="Natočeno")+(Scénáře!$AA$4:$AA$503="Ve střihu")+(Scénáře!$AA$4:$AA$503="Sestříháno")+(Scénáře!$AA$4:$AA$503="Publikováno"))))</f>
        <v/>
      </c>
      <c r="S48" s="37" t="str">
        <f>IF($A48="","",COUNTIFS(Scénáře!$C$4:$C$503,$A48,Scénáře!$AF$4:$AF$503,"&gt;0"))</f>
        <v/>
      </c>
      <c r="T48" s="40" t="str">
        <f t="shared" si="5"/>
        <v/>
      </c>
      <c r="U48" s="37" t="str">
        <f t="shared" si="6"/>
        <v/>
      </c>
      <c r="V48" s="37" t="str">
        <f>IF($A48="","",SUMIFS(Scénáře!$AE$4:$AE$503,Scénáře!$C$4:$C$503,$A48))</f>
        <v/>
      </c>
      <c r="W48" s="37" t="str">
        <f>IF($A48="","",COUNTIFS(Publikace!$C$4:$C$503,$A48,Publikace!$G$4:$G$503,""))</f>
        <v/>
      </c>
      <c r="X48" s="39" t="str">
        <f t="shared" si="7"/>
        <v/>
      </c>
      <c r="Y48" s="39" t="str">
        <f t="shared" si="8"/>
        <v/>
      </c>
      <c r="Z48" s="37" t="str">
        <f t="shared" si="9"/>
        <v/>
      </c>
      <c r="AA48" s="37" t="str">
        <f>IF(Z48="ANO",COUNTIF($Z$4:Z48,"ANO"),"")</f>
        <v/>
      </c>
    </row>
    <row r="49" spans="1:27" x14ac:dyDescent="0.2">
      <c r="A49" s="35"/>
      <c r="B49" s="11"/>
      <c r="C49" s="35"/>
      <c r="D49" s="11"/>
      <c r="E49" s="35"/>
      <c r="F49" s="35"/>
      <c r="G49" s="35"/>
      <c r="H49" s="35"/>
      <c r="I49" s="11"/>
      <c r="J49" s="36"/>
      <c r="K49" s="36"/>
      <c r="L49" s="11"/>
      <c r="M49" s="35"/>
      <c r="N49" s="35"/>
      <c r="O49" s="36"/>
      <c r="P49" s="37" t="str">
        <f>IF($A49="","",COUNTIFS(Scénáře!$C$4:$C$503,$A49,Scénáře!$W$4:$W$503,"&lt;&gt;Zrušeno"))</f>
        <v/>
      </c>
      <c r="Q49" s="37" t="str">
        <f>IF($A49="","",COUNTIFS(Scénáře!$C$4:$C$503,$A49,Scénáře!$W$4:$W$503,"Schváleno"))</f>
        <v/>
      </c>
      <c r="R49" s="37" t="str">
        <f>IF($A49="","",SUMPRODUCT((Scénáře!$C$4:$C$503=$A49)*((Scénáře!$AA$4:$AA$503="Natočeno")+(Scénáře!$AA$4:$AA$503="Ve střihu")+(Scénáře!$AA$4:$AA$503="Sestříháno")+(Scénáře!$AA$4:$AA$503="Publikováno"))))</f>
        <v/>
      </c>
      <c r="S49" s="37" t="str">
        <f>IF($A49="","",COUNTIFS(Scénáře!$C$4:$C$503,$A49,Scénáře!$AF$4:$AF$503,"&gt;0"))</f>
        <v/>
      </c>
      <c r="T49" s="40" t="str">
        <f t="shared" si="5"/>
        <v/>
      </c>
      <c r="U49" s="37" t="str">
        <f t="shared" si="6"/>
        <v/>
      </c>
      <c r="V49" s="37" t="str">
        <f>IF($A49="","",SUMIFS(Scénáře!$AE$4:$AE$503,Scénáře!$C$4:$C$503,$A49))</f>
        <v/>
      </c>
      <c r="W49" s="37" t="str">
        <f>IF($A49="","",COUNTIFS(Publikace!$C$4:$C$503,$A49,Publikace!$G$4:$G$503,""))</f>
        <v/>
      </c>
      <c r="X49" s="39" t="str">
        <f t="shared" si="7"/>
        <v/>
      </c>
      <c r="Y49" s="39" t="str">
        <f t="shared" si="8"/>
        <v/>
      </c>
      <c r="Z49" s="37" t="str">
        <f t="shared" si="9"/>
        <v/>
      </c>
      <c r="AA49" s="37" t="str">
        <f>IF(Z49="ANO",COUNTIF($Z$4:Z49,"ANO"),"")</f>
        <v/>
      </c>
    </row>
    <row r="50" spans="1:27" x14ac:dyDescent="0.2">
      <c r="A50" s="35"/>
      <c r="B50" s="11"/>
      <c r="C50" s="35"/>
      <c r="D50" s="11"/>
      <c r="E50" s="35"/>
      <c r="F50" s="35"/>
      <c r="G50" s="35"/>
      <c r="H50" s="35"/>
      <c r="I50" s="11"/>
      <c r="J50" s="36"/>
      <c r="K50" s="36"/>
      <c r="L50" s="11"/>
      <c r="M50" s="35"/>
      <c r="N50" s="35"/>
      <c r="O50" s="36"/>
      <c r="P50" s="37" t="str">
        <f>IF($A50="","",COUNTIFS(Scénáře!$C$4:$C$503,$A50,Scénáře!$W$4:$W$503,"&lt;&gt;Zrušeno"))</f>
        <v/>
      </c>
      <c r="Q50" s="37" t="str">
        <f>IF($A50="","",COUNTIFS(Scénáře!$C$4:$C$503,$A50,Scénáře!$W$4:$W$503,"Schváleno"))</f>
        <v/>
      </c>
      <c r="R50" s="37" t="str">
        <f>IF($A50="","",SUMPRODUCT((Scénáře!$C$4:$C$503=$A50)*((Scénáře!$AA$4:$AA$503="Natočeno")+(Scénáře!$AA$4:$AA$503="Ve střihu")+(Scénáře!$AA$4:$AA$503="Sestříháno")+(Scénáře!$AA$4:$AA$503="Publikováno"))))</f>
        <v/>
      </c>
      <c r="S50" s="37" t="str">
        <f>IF($A50="","",COUNTIFS(Scénáře!$C$4:$C$503,$A50,Scénáře!$AF$4:$AF$503,"&gt;0"))</f>
        <v/>
      </c>
      <c r="T50" s="40" t="str">
        <f t="shared" si="5"/>
        <v/>
      </c>
      <c r="U50" s="37" t="str">
        <f t="shared" si="6"/>
        <v/>
      </c>
      <c r="V50" s="37" t="str">
        <f>IF($A50="","",SUMIFS(Scénáře!$AE$4:$AE$503,Scénáře!$C$4:$C$503,$A50))</f>
        <v/>
      </c>
      <c r="W50" s="37" t="str">
        <f>IF($A50="","",COUNTIFS(Publikace!$C$4:$C$503,$A50,Publikace!$G$4:$G$503,""))</f>
        <v/>
      </c>
      <c r="X50" s="39" t="str">
        <f t="shared" si="7"/>
        <v/>
      </c>
      <c r="Y50" s="39" t="str">
        <f t="shared" si="8"/>
        <v/>
      </c>
      <c r="Z50" s="37" t="str">
        <f t="shared" si="9"/>
        <v/>
      </c>
      <c r="AA50" s="37" t="str">
        <f>IF(Z50="ANO",COUNTIF($Z$4:Z50,"ANO"),"")</f>
        <v/>
      </c>
    </row>
    <row r="51" spans="1:27" x14ac:dyDescent="0.2">
      <c r="A51" s="35"/>
      <c r="B51" s="11"/>
      <c r="C51" s="35"/>
      <c r="D51" s="11"/>
      <c r="E51" s="35"/>
      <c r="F51" s="35"/>
      <c r="G51" s="35"/>
      <c r="H51" s="35"/>
      <c r="I51" s="11"/>
      <c r="J51" s="36"/>
      <c r="K51" s="36"/>
      <c r="L51" s="11"/>
      <c r="M51" s="35"/>
      <c r="N51" s="35"/>
      <c r="O51" s="36"/>
      <c r="P51" s="37" t="str">
        <f>IF($A51="","",COUNTIFS(Scénáře!$C$4:$C$503,$A51,Scénáře!$W$4:$W$503,"&lt;&gt;Zrušeno"))</f>
        <v/>
      </c>
      <c r="Q51" s="37" t="str">
        <f>IF($A51="","",COUNTIFS(Scénáře!$C$4:$C$503,$A51,Scénáře!$W$4:$W$503,"Schváleno"))</f>
        <v/>
      </c>
      <c r="R51" s="37" t="str">
        <f>IF($A51="","",SUMPRODUCT((Scénáře!$C$4:$C$503=$A51)*((Scénáře!$AA$4:$AA$503="Natočeno")+(Scénáře!$AA$4:$AA$503="Ve střihu")+(Scénáře!$AA$4:$AA$503="Sestříháno")+(Scénáře!$AA$4:$AA$503="Publikováno"))))</f>
        <v/>
      </c>
      <c r="S51" s="37" t="str">
        <f>IF($A51="","",COUNTIFS(Scénáře!$C$4:$C$503,$A51,Scénáře!$AF$4:$AF$503,"&gt;0"))</f>
        <v/>
      </c>
      <c r="T51" s="40" t="str">
        <f t="shared" si="5"/>
        <v/>
      </c>
      <c r="U51" s="37" t="str">
        <f t="shared" si="6"/>
        <v/>
      </c>
      <c r="V51" s="37" t="str">
        <f>IF($A51="","",SUMIFS(Scénáře!$AE$4:$AE$503,Scénáře!$C$4:$C$503,$A51))</f>
        <v/>
      </c>
      <c r="W51" s="37" t="str">
        <f>IF($A51="","",COUNTIFS(Publikace!$C$4:$C$503,$A51,Publikace!$G$4:$G$503,""))</f>
        <v/>
      </c>
      <c r="X51" s="39" t="str">
        <f t="shared" si="7"/>
        <v/>
      </c>
      <c r="Y51" s="39" t="str">
        <f t="shared" si="8"/>
        <v/>
      </c>
      <c r="Z51" s="37" t="str">
        <f t="shared" si="9"/>
        <v/>
      </c>
      <c r="AA51" s="37" t="str">
        <f>IF(Z51="ANO",COUNTIF($Z$4:Z51,"ANO"),"")</f>
        <v/>
      </c>
    </row>
    <row r="52" spans="1:27" x14ac:dyDescent="0.2">
      <c r="A52" s="35"/>
      <c r="B52" s="11"/>
      <c r="C52" s="35"/>
      <c r="D52" s="11"/>
      <c r="E52" s="35"/>
      <c r="F52" s="35"/>
      <c r="G52" s="35"/>
      <c r="H52" s="35"/>
      <c r="I52" s="11"/>
      <c r="J52" s="36"/>
      <c r="K52" s="36"/>
      <c r="L52" s="11"/>
      <c r="M52" s="35"/>
      <c r="N52" s="35"/>
      <c r="O52" s="36"/>
      <c r="P52" s="37" t="str">
        <f>IF($A52="","",COUNTIFS(Scénáře!$C$4:$C$503,$A52,Scénáře!$W$4:$W$503,"&lt;&gt;Zrušeno"))</f>
        <v/>
      </c>
      <c r="Q52" s="37" t="str">
        <f>IF($A52="","",COUNTIFS(Scénáře!$C$4:$C$503,$A52,Scénáře!$W$4:$W$503,"Schváleno"))</f>
        <v/>
      </c>
      <c r="R52" s="37" t="str">
        <f>IF($A52="","",SUMPRODUCT((Scénáře!$C$4:$C$503=$A52)*((Scénáře!$AA$4:$AA$503="Natočeno")+(Scénáře!$AA$4:$AA$503="Ve střihu")+(Scénáře!$AA$4:$AA$503="Sestříháno")+(Scénáře!$AA$4:$AA$503="Publikováno"))))</f>
        <v/>
      </c>
      <c r="S52" s="37" t="str">
        <f>IF($A52="","",COUNTIFS(Scénáře!$C$4:$C$503,$A52,Scénáře!$AF$4:$AF$503,"&gt;0"))</f>
        <v/>
      </c>
      <c r="T52" s="40" t="str">
        <f t="shared" si="5"/>
        <v/>
      </c>
      <c r="U52" s="37" t="str">
        <f t="shared" si="6"/>
        <v/>
      </c>
      <c r="V52" s="37" t="str">
        <f>IF($A52="","",SUMIFS(Scénáře!$AE$4:$AE$503,Scénáře!$C$4:$C$503,$A52))</f>
        <v/>
      </c>
      <c r="W52" s="37" t="str">
        <f>IF($A52="","",COUNTIFS(Publikace!$C$4:$C$503,$A52,Publikace!$G$4:$G$503,""))</f>
        <v/>
      </c>
      <c r="X52" s="39" t="str">
        <f t="shared" si="7"/>
        <v/>
      </c>
      <c r="Y52" s="39" t="str">
        <f t="shared" si="8"/>
        <v/>
      </c>
      <c r="Z52" s="37" t="str">
        <f t="shared" si="9"/>
        <v/>
      </c>
      <c r="AA52" s="37" t="str">
        <f>IF(Z52="ANO",COUNTIF($Z$4:Z52,"ANO"),"")</f>
        <v/>
      </c>
    </row>
    <row r="53" spans="1:27" x14ac:dyDescent="0.2">
      <c r="A53" s="35"/>
      <c r="B53" s="11"/>
      <c r="C53" s="35"/>
      <c r="D53" s="11"/>
      <c r="E53" s="35"/>
      <c r="F53" s="35"/>
      <c r="G53" s="35"/>
      <c r="H53" s="35"/>
      <c r="I53" s="11"/>
      <c r="J53" s="36"/>
      <c r="K53" s="36"/>
      <c r="L53" s="11"/>
      <c r="M53" s="35"/>
      <c r="N53" s="35"/>
      <c r="O53" s="36"/>
      <c r="P53" s="37" t="str">
        <f>IF($A53="","",COUNTIFS(Scénáře!$C$4:$C$503,$A53,Scénáře!$W$4:$W$503,"&lt;&gt;Zrušeno"))</f>
        <v/>
      </c>
      <c r="Q53" s="37" t="str">
        <f>IF($A53="","",COUNTIFS(Scénáře!$C$4:$C$503,$A53,Scénáře!$W$4:$W$503,"Schváleno"))</f>
        <v/>
      </c>
      <c r="R53" s="37" t="str">
        <f>IF($A53="","",SUMPRODUCT((Scénáře!$C$4:$C$503=$A53)*((Scénáře!$AA$4:$AA$503="Natočeno")+(Scénáře!$AA$4:$AA$503="Ve střihu")+(Scénáře!$AA$4:$AA$503="Sestříháno")+(Scénáře!$AA$4:$AA$503="Publikováno"))))</f>
        <v/>
      </c>
      <c r="S53" s="37" t="str">
        <f>IF($A53="","",COUNTIFS(Scénáře!$C$4:$C$503,$A53,Scénáře!$AF$4:$AF$503,"&gt;0"))</f>
        <v/>
      </c>
      <c r="T53" s="40" t="str">
        <f t="shared" si="5"/>
        <v/>
      </c>
      <c r="U53" s="37" t="str">
        <f t="shared" si="6"/>
        <v/>
      </c>
      <c r="V53" s="37" t="str">
        <f>IF($A53="","",SUMIFS(Scénáře!$AE$4:$AE$503,Scénáře!$C$4:$C$503,$A53))</f>
        <v/>
      </c>
      <c r="W53" s="37" t="str">
        <f>IF($A53="","",COUNTIFS(Publikace!$C$4:$C$503,$A53,Publikace!$G$4:$G$503,""))</f>
        <v/>
      </c>
      <c r="X53" s="39" t="str">
        <f t="shared" si="7"/>
        <v/>
      </c>
      <c r="Y53" s="39" t="str">
        <f t="shared" si="8"/>
        <v/>
      </c>
      <c r="Z53" s="37" t="str">
        <f t="shared" si="9"/>
        <v/>
      </c>
      <c r="AA53" s="37" t="str">
        <f>IF(Z53="ANO",COUNTIF($Z$4:Z53,"ANO"),"")</f>
        <v/>
      </c>
    </row>
    <row r="54" spans="1:27" x14ac:dyDescent="0.2">
      <c r="A54" s="35"/>
      <c r="B54" s="11"/>
      <c r="C54" s="35"/>
      <c r="D54" s="11"/>
      <c r="E54" s="35"/>
      <c r="F54" s="35"/>
      <c r="G54" s="35"/>
      <c r="H54" s="35"/>
      <c r="I54" s="11"/>
      <c r="J54" s="36"/>
      <c r="K54" s="36"/>
      <c r="L54" s="11"/>
      <c r="M54" s="35"/>
      <c r="N54" s="35"/>
      <c r="O54" s="36"/>
      <c r="P54" s="37" t="str">
        <f>IF($A54="","",COUNTIFS(Scénáře!$C$4:$C$503,$A54,Scénáře!$W$4:$W$503,"&lt;&gt;Zrušeno"))</f>
        <v/>
      </c>
      <c r="Q54" s="37" t="str">
        <f>IF($A54="","",COUNTIFS(Scénáře!$C$4:$C$503,$A54,Scénáře!$W$4:$W$503,"Schváleno"))</f>
        <v/>
      </c>
      <c r="R54" s="37" t="str">
        <f>IF($A54="","",SUMPRODUCT((Scénáře!$C$4:$C$503=$A54)*((Scénáře!$AA$4:$AA$503="Natočeno")+(Scénáře!$AA$4:$AA$503="Ve střihu")+(Scénáře!$AA$4:$AA$503="Sestříháno")+(Scénáře!$AA$4:$AA$503="Publikováno"))))</f>
        <v/>
      </c>
      <c r="S54" s="37" t="str">
        <f>IF($A54="","",COUNTIFS(Scénáře!$C$4:$C$503,$A54,Scénáře!$AF$4:$AF$503,"&gt;0"))</f>
        <v/>
      </c>
      <c r="T54" s="40" t="str">
        <f t="shared" si="5"/>
        <v/>
      </c>
      <c r="U54" s="37" t="str">
        <f t="shared" si="6"/>
        <v/>
      </c>
      <c r="V54" s="37" t="str">
        <f>IF($A54="","",SUMIFS(Scénáře!$AE$4:$AE$503,Scénáře!$C$4:$C$503,$A54))</f>
        <v/>
      </c>
      <c r="W54" s="37" t="str">
        <f>IF($A54="","",COUNTIFS(Publikace!$C$4:$C$503,$A54,Publikace!$G$4:$G$503,""))</f>
        <v/>
      </c>
      <c r="X54" s="39" t="str">
        <f t="shared" si="7"/>
        <v/>
      </c>
      <c r="Y54" s="39" t="str">
        <f t="shared" si="8"/>
        <v/>
      </c>
      <c r="Z54" s="37" t="str">
        <f t="shared" si="9"/>
        <v/>
      </c>
      <c r="AA54" s="37" t="str">
        <f>IF(Z54="ANO",COUNTIF($Z$4:Z54,"ANO"),"")</f>
        <v/>
      </c>
    </row>
    <row r="55" spans="1:27" x14ac:dyDescent="0.2">
      <c r="A55" s="35"/>
      <c r="B55" s="11"/>
      <c r="C55" s="35"/>
      <c r="D55" s="11"/>
      <c r="E55" s="35"/>
      <c r="F55" s="35"/>
      <c r="G55" s="35"/>
      <c r="H55" s="35"/>
      <c r="I55" s="11"/>
      <c r="J55" s="36"/>
      <c r="K55" s="36"/>
      <c r="L55" s="11"/>
      <c r="M55" s="35"/>
      <c r="N55" s="35"/>
      <c r="O55" s="36"/>
      <c r="P55" s="37" t="str">
        <f>IF($A55="","",COUNTIFS(Scénáře!$C$4:$C$503,$A55,Scénáře!$W$4:$W$503,"&lt;&gt;Zrušeno"))</f>
        <v/>
      </c>
      <c r="Q55" s="37" t="str">
        <f>IF($A55="","",COUNTIFS(Scénáře!$C$4:$C$503,$A55,Scénáře!$W$4:$W$503,"Schváleno"))</f>
        <v/>
      </c>
      <c r="R55" s="37" t="str">
        <f>IF($A55="","",SUMPRODUCT((Scénáře!$C$4:$C$503=$A55)*((Scénáře!$AA$4:$AA$503="Natočeno")+(Scénáře!$AA$4:$AA$503="Ve střihu")+(Scénáře!$AA$4:$AA$503="Sestříháno")+(Scénáře!$AA$4:$AA$503="Publikováno"))))</f>
        <v/>
      </c>
      <c r="S55" s="37" t="str">
        <f>IF($A55="","",COUNTIFS(Scénáře!$C$4:$C$503,$A55,Scénáře!$AF$4:$AF$503,"&gt;0"))</f>
        <v/>
      </c>
      <c r="T55" s="40" t="str">
        <f t="shared" si="5"/>
        <v/>
      </c>
      <c r="U55" s="37" t="str">
        <f t="shared" si="6"/>
        <v/>
      </c>
      <c r="V55" s="37" t="str">
        <f>IF($A55="","",SUMIFS(Scénáře!$AE$4:$AE$503,Scénáře!$C$4:$C$503,$A55))</f>
        <v/>
      </c>
      <c r="W55" s="37" t="str">
        <f>IF($A55="","",COUNTIFS(Publikace!$C$4:$C$503,$A55,Publikace!$G$4:$G$503,""))</f>
        <v/>
      </c>
      <c r="X55" s="39" t="str">
        <f t="shared" si="7"/>
        <v/>
      </c>
      <c r="Y55" s="39" t="str">
        <f t="shared" si="8"/>
        <v/>
      </c>
      <c r="Z55" s="37" t="str">
        <f t="shared" si="9"/>
        <v/>
      </c>
      <c r="AA55" s="37" t="str">
        <f>IF(Z55="ANO",COUNTIF($Z$4:Z55,"ANO"),"")</f>
        <v/>
      </c>
    </row>
    <row r="56" spans="1:27" x14ac:dyDescent="0.2">
      <c r="A56" s="35"/>
      <c r="B56" s="11"/>
      <c r="C56" s="35"/>
      <c r="D56" s="11"/>
      <c r="E56" s="35"/>
      <c r="F56" s="35"/>
      <c r="G56" s="35"/>
      <c r="H56" s="35"/>
      <c r="I56" s="11"/>
      <c r="J56" s="36"/>
      <c r="K56" s="36"/>
      <c r="L56" s="11"/>
      <c r="M56" s="35"/>
      <c r="N56" s="35"/>
      <c r="O56" s="36"/>
      <c r="P56" s="37" t="str">
        <f>IF($A56="","",COUNTIFS(Scénáře!$C$4:$C$503,$A56,Scénáře!$W$4:$W$503,"&lt;&gt;Zrušeno"))</f>
        <v/>
      </c>
      <c r="Q56" s="37" t="str">
        <f>IF($A56="","",COUNTIFS(Scénáře!$C$4:$C$503,$A56,Scénáře!$W$4:$W$503,"Schváleno"))</f>
        <v/>
      </c>
      <c r="R56" s="37" t="str">
        <f>IF($A56="","",SUMPRODUCT((Scénáře!$C$4:$C$503=$A56)*((Scénáře!$AA$4:$AA$503="Natočeno")+(Scénáře!$AA$4:$AA$503="Ve střihu")+(Scénáře!$AA$4:$AA$503="Sestříháno")+(Scénáře!$AA$4:$AA$503="Publikováno"))))</f>
        <v/>
      </c>
      <c r="S56" s="37" t="str">
        <f>IF($A56="","",COUNTIFS(Scénáře!$C$4:$C$503,$A56,Scénáře!$AF$4:$AF$503,"&gt;0"))</f>
        <v/>
      </c>
      <c r="T56" s="40" t="str">
        <f t="shared" si="5"/>
        <v/>
      </c>
      <c r="U56" s="37" t="str">
        <f t="shared" si="6"/>
        <v/>
      </c>
      <c r="V56" s="37" t="str">
        <f>IF($A56="","",SUMIFS(Scénáře!$AE$4:$AE$503,Scénáře!$C$4:$C$503,$A56))</f>
        <v/>
      </c>
      <c r="W56" s="37" t="str">
        <f>IF($A56="","",COUNTIFS(Publikace!$C$4:$C$503,$A56,Publikace!$G$4:$G$503,""))</f>
        <v/>
      </c>
      <c r="X56" s="39" t="str">
        <f t="shared" si="7"/>
        <v/>
      </c>
      <c r="Y56" s="39" t="str">
        <f t="shared" si="8"/>
        <v/>
      </c>
      <c r="Z56" s="37" t="str">
        <f t="shared" si="9"/>
        <v/>
      </c>
      <c r="AA56" s="37" t="str">
        <f>IF(Z56="ANO",COUNTIF($Z$4:Z56,"ANO"),"")</f>
        <v/>
      </c>
    </row>
    <row r="57" spans="1:27" x14ac:dyDescent="0.2">
      <c r="A57" s="35"/>
      <c r="B57" s="11"/>
      <c r="C57" s="35"/>
      <c r="D57" s="11"/>
      <c r="E57" s="35"/>
      <c r="F57" s="35"/>
      <c r="G57" s="35"/>
      <c r="H57" s="35"/>
      <c r="I57" s="11"/>
      <c r="J57" s="36"/>
      <c r="K57" s="36"/>
      <c r="L57" s="11"/>
      <c r="M57" s="35"/>
      <c r="N57" s="35"/>
      <c r="O57" s="36"/>
      <c r="P57" s="37" t="str">
        <f>IF($A57="","",COUNTIFS(Scénáře!$C$4:$C$503,$A57,Scénáře!$W$4:$W$503,"&lt;&gt;Zrušeno"))</f>
        <v/>
      </c>
      <c r="Q57" s="37" t="str">
        <f>IF($A57="","",COUNTIFS(Scénáře!$C$4:$C$503,$A57,Scénáře!$W$4:$W$503,"Schváleno"))</f>
        <v/>
      </c>
      <c r="R57" s="37" t="str">
        <f>IF($A57="","",SUMPRODUCT((Scénáře!$C$4:$C$503=$A57)*((Scénáře!$AA$4:$AA$503="Natočeno")+(Scénáře!$AA$4:$AA$503="Ve střihu")+(Scénáře!$AA$4:$AA$503="Sestříháno")+(Scénáře!$AA$4:$AA$503="Publikováno"))))</f>
        <v/>
      </c>
      <c r="S57" s="37" t="str">
        <f>IF($A57="","",COUNTIFS(Scénáře!$C$4:$C$503,$A57,Scénáře!$AF$4:$AF$503,"&gt;0"))</f>
        <v/>
      </c>
      <c r="T57" s="40" t="str">
        <f t="shared" si="5"/>
        <v/>
      </c>
      <c r="U57" s="37" t="str">
        <f t="shared" si="6"/>
        <v/>
      </c>
      <c r="V57" s="37" t="str">
        <f>IF($A57="","",SUMIFS(Scénáře!$AE$4:$AE$503,Scénáře!$C$4:$C$503,$A57))</f>
        <v/>
      </c>
      <c r="W57" s="37" t="str">
        <f>IF($A57="","",COUNTIFS(Publikace!$C$4:$C$503,$A57,Publikace!$G$4:$G$503,""))</f>
        <v/>
      </c>
      <c r="X57" s="39" t="str">
        <f t="shared" si="7"/>
        <v/>
      </c>
      <c r="Y57" s="39" t="str">
        <f t="shared" si="8"/>
        <v/>
      </c>
      <c r="Z57" s="37" t="str">
        <f t="shared" si="9"/>
        <v/>
      </c>
      <c r="AA57" s="37" t="str">
        <f>IF(Z57="ANO",COUNTIF($Z$4:Z57,"ANO"),"")</f>
        <v/>
      </c>
    </row>
    <row r="58" spans="1:27" x14ac:dyDescent="0.2">
      <c r="A58" s="35"/>
      <c r="B58" s="11"/>
      <c r="C58" s="35"/>
      <c r="D58" s="11"/>
      <c r="E58" s="35"/>
      <c r="F58" s="35"/>
      <c r="G58" s="35"/>
      <c r="H58" s="35"/>
      <c r="I58" s="11"/>
      <c r="J58" s="36"/>
      <c r="K58" s="36"/>
      <c r="L58" s="11"/>
      <c r="M58" s="35"/>
      <c r="N58" s="35"/>
      <c r="O58" s="36"/>
      <c r="P58" s="37" t="str">
        <f>IF($A58="","",COUNTIFS(Scénáře!$C$4:$C$503,$A58,Scénáře!$W$4:$W$503,"&lt;&gt;Zrušeno"))</f>
        <v/>
      </c>
      <c r="Q58" s="37" t="str">
        <f>IF($A58="","",COUNTIFS(Scénáře!$C$4:$C$503,$A58,Scénáře!$W$4:$W$503,"Schváleno"))</f>
        <v/>
      </c>
      <c r="R58" s="37" t="str">
        <f>IF($A58="","",SUMPRODUCT((Scénáře!$C$4:$C$503=$A58)*((Scénáře!$AA$4:$AA$503="Natočeno")+(Scénáře!$AA$4:$AA$503="Ve střihu")+(Scénáře!$AA$4:$AA$503="Sestříháno")+(Scénáře!$AA$4:$AA$503="Publikováno"))))</f>
        <v/>
      </c>
      <c r="S58" s="37" t="str">
        <f>IF($A58="","",COUNTIFS(Scénáře!$C$4:$C$503,$A58,Scénáře!$AF$4:$AF$503,"&gt;0"))</f>
        <v/>
      </c>
      <c r="T58" s="40" t="str">
        <f t="shared" si="5"/>
        <v/>
      </c>
      <c r="U58" s="37" t="str">
        <f t="shared" si="6"/>
        <v/>
      </c>
      <c r="V58" s="37" t="str">
        <f>IF($A58="","",SUMIFS(Scénáře!$AE$4:$AE$503,Scénáře!$C$4:$C$503,$A58))</f>
        <v/>
      </c>
      <c r="W58" s="37" t="str">
        <f>IF($A58="","",COUNTIFS(Publikace!$C$4:$C$503,$A58,Publikace!$G$4:$G$503,""))</f>
        <v/>
      </c>
      <c r="X58" s="39" t="str">
        <f t="shared" si="7"/>
        <v/>
      </c>
      <c r="Y58" s="39" t="str">
        <f t="shared" si="8"/>
        <v/>
      </c>
      <c r="Z58" s="37" t="str">
        <f t="shared" si="9"/>
        <v/>
      </c>
      <c r="AA58" s="37" t="str">
        <f>IF(Z58="ANO",COUNTIF($Z$4:Z58,"ANO"),"")</f>
        <v/>
      </c>
    </row>
    <row r="59" spans="1:27" x14ac:dyDescent="0.2">
      <c r="A59" s="35"/>
      <c r="B59" s="11"/>
      <c r="C59" s="35"/>
      <c r="D59" s="11"/>
      <c r="E59" s="35"/>
      <c r="F59" s="35"/>
      <c r="G59" s="35"/>
      <c r="H59" s="35"/>
      <c r="I59" s="11"/>
      <c r="J59" s="36"/>
      <c r="K59" s="36"/>
      <c r="L59" s="11"/>
      <c r="M59" s="35"/>
      <c r="N59" s="35"/>
      <c r="O59" s="36"/>
      <c r="P59" s="37" t="str">
        <f>IF($A59="","",COUNTIFS(Scénáře!$C$4:$C$503,$A59,Scénáře!$W$4:$W$503,"&lt;&gt;Zrušeno"))</f>
        <v/>
      </c>
      <c r="Q59" s="37" t="str">
        <f>IF($A59="","",COUNTIFS(Scénáře!$C$4:$C$503,$A59,Scénáře!$W$4:$W$503,"Schváleno"))</f>
        <v/>
      </c>
      <c r="R59" s="37" t="str">
        <f>IF($A59="","",SUMPRODUCT((Scénáře!$C$4:$C$503=$A59)*((Scénáře!$AA$4:$AA$503="Natočeno")+(Scénáře!$AA$4:$AA$503="Ve střihu")+(Scénáře!$AA$4:$AA$503="Sestříháno")+(Scénáře!$AA$4:$AA$503="Publikováno"))))</f>
        <v/>
      </c>
      <c r="S59" s="37" t="str">
        <f>IF($A59="","",COUNTIFS(Scénáře!$C$4:$C$503,$A59,Scénáře!$AF$4:$AF$503,"&gt;0"))</f>
        <v/>
      </c>
      <c r="T59" s="40" t="str">
        <f t="shared" si="5"/>
        <v/>
      </c>
      <c r="U59" s="37" t="str">
        <f t="shared" si="6"/>
        <v/>
      </c>
      <c r="V59" s="37" t="str">
        <f>IF($A59="","",SUMIFS(Scénáře!$AE$4:$AE$503,Scénáře!$C$4:$C$503,$A59))</f>
        <v/>
      </c>
      <c r="W59" s="37" t="str">
        <f>IF($A59="","",COUNTIFS(Publikace!$C$4:$C$503,$A59,Publikace!$G$4:$G$503,""))</f>
        <v/>
      </c>
      <c r="X59" s="39" t="str">
        <f t="shared" si="7"/>
        <v/>
      </c>
      <c r="Y59" s="39" t="str">
        <f t="shared" si="8"/>
        <v/>
      </c>
      <c r="Z59" s="37" t="str">
        <f t="shared" si="9"/>
        <v/>
      </c>
      <c r="AA59" s="37" t="str">
        <f>IF(Z59="ANO",COUNTIF($Z$4:Z59,"ANO"),"")</f>
        <v/>
      </c>
    </row>
    <row r="60" spans="1:27" x14ac:dyDescent="0.2">
      <c r="A60" s="35"/>
      <c r="B60" s="11"/>
      <c r="C60" s="35"/>
      <c r="D60" s="11"/>
      <c r="E60" s="35"/>
      <c r="F60" s="35"/>
      <c r="G60" s="35"/>
      <c r="H60" s="35"/>
      <c r="I60" s="11"/>
      <c r="J60" s="36"/>
      <c r="K60" s="36"/>
      <c r="L60" s="11"/>
      <c r="M60" s="35"/>
      <c r="N60" s="35"/>
      <c r="O60" s="36"/>
      <c r="P60" s="37" t="str">
        <f>IF($A60="","",COUNTIFS(Scénáře!$C$4:$C$503,$A60,Scénáře!$W$4:$W$503,"&lt;&gt;Zrušeno"))</f>
        <v/>
      </c>
      <c r="Q60" s="37" t="str">
        <f>IF($A60="","",COUNTIFS(Scénáře!$C$4:$C$503,$A60,Scénáře!$W$4:$W$503,"Schváleno"))</f>
        <v/>
      </c>
      <c r="R60" s="37" t="str">
        <f>IF($A60="","",SUMPRODUCT((Scénáře!$C$4:$C$503=$A60)*((Scénáře!$AA$4:$AA$503="Natočeno")+(Scénáře!$AA$4:$AA$503="Ve střihu")+(Scénáře!$AA$4:$AA$503="Sestříháno")+(Scénáře!$AA$4:$AA$503="Publikováno"))))</f>
        <v/>
      </c>
      <c r="S60" s="37" t="str">
        <f>IF($A60="","",COUNTIFS(Scénáře!$C$4:$C$503,$A60,Scénáře!$AF$4:$AF$503,"&gt;0"))</f>
        <v/>
      </c>
      <c r="T60" s="40" t="str">
        <f t="shared" si="5"/>
        <v/>
      </c>
      <c r="U60" s="37" t="str">
        <f t="shared" si="6"/>
        <v/>
      </c>
      <c r="V60" s="37" t="str">
        <f>IF($A60="","",SUMIFS(Scénáře!$AE$4:$AE$503,Scénáře!$C$4:$C$503,$A60))</f>
        <v/>
      </c>
      <c r="W60" s="37" t="str">
        <f>IF($A60="","",COUNTIFS(Publikace!$C$4:$C$503,$A60,Publikace!$G$4:$G$503,""))</f>
        <v/>
      </c>
      <c r="X60" s="39" t="str">
        <f t="shared" si="7"/>
        <v/>
      </c>
      <c r="Y60" s="39" t="str">
        <f t="shared" si="8"/>
        <v/>
      </c>
      <c r="Z60" s="37" t="str">
        <f t="shared" si="9"/>
        <v/>
      </c>
      <c r="AA60" s="37" t="str">
        <f>IF(Z60="ANO",COUNTIF($Z$4:Z60,"ANO"),"")</f>
        <v/>
      </c>
    </row>
    <row r="61" spans="1:27" x14ac:dyDescent="0.2">
      <c r="A61" s="35"/>
      <c r="B61" s="11"/>
      <c r="C61" s="35"/>
      <c r="D61" s="11"/>
      <c r="E61" s="35"/>
      <c r="F61" s="35"/>
      <c r="G61" s="35"/>
      <c r="H61" s="35"/>
      <c r="I61" s="11"/>
      <c r="J61" s="36"/>
      <c r="K61" s="36"/>
      <c r="L61" s="11"/>
      <c r="M61" s="35"/>
      <c r="N61" s="35"/>
      <c r="O61" s="36"/>
      <c r="P61" s="37" t="str">
        <f>IF($A61="","",COUNTIFS(Scénáře!$C$4:$C$503,$A61,Scénáře!$W$4:$W$503,"&lt;&gt;Zrušeno"))</f>
        <v/>
      </c>
      <c r="Q61" s="37" t="str">
        <f>IF($A61="","",COUNTIFS(Scénáře!$C$4:$C$503,$A61,Scénáře!$W$4:$W$503,"Schváleno"))</f>
        <v/>
      </c>
      <c r="R61" s="37" t="str">
        <f>IF($A61="","",SUMPRODUCT((Scénáře!$C$4:$C$503=$A61)*((Scénáře!$AA$4:$AA$503="Natočeno")+(Scénáře!$AA$4:$AA$503="Ve střihu")+(Scénáře!$AA$4:$AA$503="Sestříháno")+(Scénáře!$AA$4:$AA$503="Publikováno"))))</f>
        <v/>
      </c>
      <c r="S61" s="37" t="str">
        <f>IF($A61="","",COUNTIFS(Scénáře!$C$4:$C$503,$A61,Scénáře!$AF$4:$AF$503,"&gt;0"))</f>
        <v/>
      </c>
      <c r="T61" s="40" t="str">
        <f t="shared" si="5"/>
        <v/>
      </c>
      <c r="U61" s="37" t="str">
        <f t="shared" si="6"/>
        <v/>
      </c>
      <c r="V61" s="37" t="str">
        <f>IF($A61="","",SUMIFS(Scénáře!$AE$4:$AE$503,Scénáře!$C$4:$C$503,$A61))</f>
        <v/>
      </c>
      <c r="W61" s="37" t="str">
        <f>IF($A61="","",COUNTIFS(Publikace!$C$4:$C$503,$A61,Publikace!$G$4:$G$503,""))</f>
        <v/>
      </c>
      <c r="X61" s="39" t="str">
        <f t="shared" si="7"/>
        <v/>
      </c>
      <c r="Y61" s="39" t="str">
        <f t="shared" si="8"/>
        <v/>
      </c>
      <c r="Z61" s="37" t="str">
        <f t="shared" si="9"/>
        <v/>
      </c>
      <c r="AA61" s="37" t="str">
        <f>IF(Z61="ANO",COUNTIF($Z$4:Z61,"ANO"),"")</f>
        <v/>
      </c>
    </row>
    <row r="62" spans="1:27" x14ac:dyDescent="0.2">
      <c r="A62" s="35"/>
      <c r="B62" s="11"/>
      <c r="C62" s="35"/>
      <c r="D62" s="11"/>
      <c r="E62" s="35"/>
      <c r="F62" s="35"/>
      <c r="G62" s="35"/>
      <c r="H62" s="35"/>
      <c r="I62" s="11"/>
      <c r="J62" s="36"/>
      <c r="K62" s="36"/>
      <c r="L62" s="11"/>
      <c r="M62" s="35"/>
      <c r="N62" s="35"/>
      <c r="O62" s="36"/>
      <c r="P62" s="37" t="str">
        <f>IF($A62="","",COUNTIFS(Scénáře!$C$4:$C$503,$A62,Scénáře!$W$4:$W$503,"&lt;&gt;Zrušeno"))</f>
        <v/>
      </c>
      <c r="Q62" s="37" t="str">
        <f>IF($A62="","",COUNTIFS(Scénáře!$C$4:$C$503,$A62,Scénáře!$W$4:$W$503,"Schváleno"))</f>
        <v/>
      </c>
      <c r="R62" s="37" t="str">
        <f>IF($A62="","",SUMPRODUCT((Scénáře!$C$4:$C$503=$A62)*((Scénáře!$AA$4:$AA$503="Natočeno")+(Scénáře!$AA$4:$AA$503="Ve střihu")+(Scénáře!$AA$4:$AA$503="Sestříháno")+(Scénáře!$AA$4:$AA$503="Publikováno"))))</f>
        <v/>
      </c>
      <c r="S62" s="37" t="str">
        <f>IF($A62="","",COUNTIFS(Scénáře!$C$4:$C$503,$A62,Scénáře!$AF$4:$AF$503,"&gt;0"))</f>
        <v/>
      </c>
      <c r="T62" s="40" t="str">
        <f t="shared" si="5"/>
        <v/>
      </c>
      <c r="U62" s="37" t="str">
        <f t="shared" si="6"/>
        <v/>
      </c>
      <c r="V62" s="37" t="str">
        <f>IF($A62="","",SUMIFS(Scénáře!$AE$4:$AE$503,Scénáře!$C$4:$C$503,$A62))</f>
        <v/>
      </c>
      <c r="W62" s="37" t="str">
        <f>IF($A62="","",COUNTIFS(Publikace!$C$4:$C$503,$A62,Publikace!$G$4:$G$503,""))</f>
        <v/>
      </c>
      <c r="X62" s="39" t="str">
        <f t="shared" si="7"/>
        <v/>
      </c>
      <c r="Y62" s="39" t="str">
        <f t="shared" si="8"/>
        <v/>
      </c>
      <c r="Z62" s="37" t="str">
        <f t="shared" si="9"/>
        <v/>
      </c>
      <c r="AA62" s="37" t="str">
        <f>IF(Z62="ANO",COUNTIF($Z$4:Z62,"ANO"),"")</f>
        <v/>
      </c>
    </row>
    <row r="63" spans="1:27" x14ac:dyDescent="0.2">
      <c r="A63" s="35"/>
      <c r="B63" s="11"/>
      <c r="C63" s="35"/>
      <c r="D63" s="11"/>
      <c r="E63" s="35"/>
      <c r="F63" s="35"/>
      <c r="G63" s="35"/>
      <c r="H63" s="35"/>
      <c r="I63" s="11"/>
      <c r="J63" s="36"/>
      <c r="K63" s="36"/>
      <c r="L63" s="11"/>
      <c r="M63" s="35"/>
      <c r="N63" s="35"/>
      <c r="O63" s="36"/>
      <c r="P63" s="37" t="str">
        <f>IF($A63="","",COUNTIFS(Scénáře!$C$4:$C$503,$A63,Scénáře!$W$4:$W$503,"&lt;&gt;Zrušeno"))</f>
        <v/>
      </c>
      <c r="Q63" s="37" t="str">
        <f>IF($A63="","",COUNTIFS(Scénáře!$C$4:$C$503,$A63,Scénáře!$W$4:$W$503,"Schváleno"))</f>
        <v/>
      </c>
      <c r="R63" s="37" t="str">
        <f>IF($A63="","",SUMPRODUCT((Scénáře!$C$4:$C$503=$A63)*((Scénáře!$AA$4:$AA$503="Natočeno")+(Scénáře!$AA$4:$AA$503="Ve střihu")+(Scénáře!$AA$4:$AA$503="Sestříháno")+(Scénáře!$AA$4:$AA$503="Publikováno"))))</f>
        <v/>
      </c>
      <c r="S63" s="37" t="str">
        <f>IF($A63="","",COUNTIFS(Scénáře!$C$4:$C$503,$A63,Scénáře!$AF$4:$AF$503,"&gt;0"))</f>
        <v/>
      </c>
      <c r="T63" s="40" t="str">
        <f t="shared" si="5"/>
        <v/>
      </c>
      <c r="U63" s="37" t="str">
        <f t="shared" si="6"/>
        <v/>
      </c>
      <c r="V63" s="37" t="str">
        <f>IF($A63="","",SUMIFS(Scénáře!$AE$4:$AE$503,Scénáře!$C$4:$C$503,$A63))</f>
        <v/>
      </c>
      <c r="W63" s="37" t="str">
        <f>IF($A63="","",COUNTIFS(Publikace!$C$4:$C$503,$A63,Publikace!$G$4:$G$503,""))</f>
        <v/>
      </c>
      <c r="X63" s="39" t="str">
        <f t="shared" si="7"/>
        <v/>
      </c>
      <c r="Y63" s="39" t="str">
        <f t="shared" si="8"/>
        <v/>
      </c>
      <c r="Z63" s="37" t="str">
        <f t="shared" si="9"/>
        <v/>
      </c>
      <c r="AA63" s="37" t="str">
        <f>IF(Z63="ANO",COUNTIF($Z$4:Z63,"ANO"),"")</f>
        <v/>
      </c>
    </row>
    <row r="64" spans="1:27" x14ac:dyDescent="0.2">
      <c r="A64" s="35"/>
      <c r="B64" s="11"/>
      <c r="C64" s="35"/>
      <c r="D64" s="11"/>
      <c r="E64" s="35"/>
      <c r="F64" s="35"/>
      <c r="G64" s="35"/>
      <c r="H64" s="35"/>
      <c r="I64" s="11"/>
      <c r="J64" s="36"/>
      <c r="K64" s="36"/>
      <c r="L64" s="11"/>
      <c r="M64" s="35"/>
      <c r="N64" s="35"/>
      <c r="O64" s="36"/>
      <c r="P64" s="37" t="str">
        <f>IF($A64="","",COUNTIFS(Scénáře!$C$4:$C$503,$A64,Scénáře!$W$4:$W$503,"&lt;&gt;Zrušeno"))</f>
        <v/>
      </c>
      <c r="Q64" s="37" t="str">
        <f>IF($A64="","",COUNTIFS(Scénáře!$C$4:$C$503,$A64,Scénáře!$W$4:$W$503,"Schváleno"))</f>
        <v/>
      </c>
      <c r="R64" s="37" t="str">
        <f>IF($A64="","",SUMPRODUCT((Scénáře!$C$4:$C$503=$A64)*((Scénáře!$AA$4:$AA$503="Natočeno")+(Scénáře!$AA$4:$AA$503="Ve střihu")+(Scénáře!$AA$4:$AA$503="Sestříháno")+(Scénáře!$AA$4:$AA$503="Publikováno"))))</f>
        <v/>
      </c>
      <c r="S64" s="37" t="str">
        <f>IF($A64="","",COUNTIFS(Scénáře!$C$4:$C$503,$A64,Scénáře!$AF$4:$AF$503,"&gt;0"))</f>
        <v/>
      </c>
      <c r="T64" s="40" t="str">
        <f t="shared" si="5"/>
        <v/>
      </c>
      <c r="U64" s="37" t="str">
        <f t="shared" si="6"/>
        <v/>
      </c>
      <c r="V64" s="37" t="str">
        <f>IF($A64="","",SUMIFS(Scénáře!$AE$4:$AE$503,Scénáře!$C$4:$C$503,$A64))</f>
        <v/>
      </c>
      <c r="W64" s="37" t="str">
        <f>IF($A64="","",COUNTIFS(Publikace!$C$4:$C$503,$A64,Publikace!$G$4:$G$503,""))</f>
        <v/>
      </c>
      <c r="X64" s="39" t="str">
        <f t="shared" si="7"/>
        <v/>
      </c>
      <c r="Y64" s="39" t="str">
        <f t="shared" si="8"/>
        <v/>
      </c>
      <c r="Z64" s="37" t="str">
        <f t="shared" si="9"/>
        <v/>
      </c>
      <c r="AA64" s="37" t="str">
        <f>IF(Z64="ANO",COUNTIF($Z$4:Z64,"ANO"),"")</f>
        <v/>
      </c>
    </row>
    <row r="65" spans="1:27" x14ac:dyDescent="0.2">
      <c r="A65" s="35"/>
      <c r="B65" s="11"/>
      <c r="C65" s="35"/>
      <c r="D65" s="11"/>
      <c r="E65" s="35"/>
      <c r="F65" s="35"/>
      <c r="G65" s="35"/>
      <c r="H65" s="35"/>
      <c r="I65" s="11"/>
      <c r="J65" s="36"/>
      <c r="K65" s="36"/>
      <c r="L65" s="11"/>
      <c r="M65" s="35"/>
      <c r="N65" s="35"/>
      <c r="O65" s="36"/>
      <c r="P65" s="37" t="str">
        <f>IF($A65="","",COUNTIFS(Scénáře!$C$4:$C$503,$A65,Scénáře!$W$4:$W$503,"&lt;&gt;Zrušeno"))</f>
        <v/>
      </c>
      <c r="Q65" s="37" t="str">
        <f>IF($A65="","",COUNTIFS(Scénáře!$C$4:$C$503,$A65,Scénáře!$W$4:$W$503,"Schváleno"))</f>
        <v/>
      </c>
      <c r="R65" s="37" t="str">
        <f>IF($A65="","",SUMPRODUCT((Scénáře!$C$4:$C$503=$A65)*((Scénáře!$AA$4:$AA$503="Natočeno")+(Scénáře!$AA$4:$AA$503="Ve střihu")+(Scénáře!$AA$4:$AA$503="Sestříháno")+(Scénáře!$AA$4:$AA$503="Publikováno"))))</f>
        <v/>
      </c>
      <c r="S65" s="37" t="str">
        <f>IF($A65="","",COUNTIFS(Scénáře!$C$4:$C$503,$A65,Scénáře!$AF$4:$AF$503,"&gt;0"))</f>
        <v/>
      </c>
      <c r="T65" s="40" t="str">
        <f t="shared" si="5"/>
        <v/>
      </c>
      <c r="U65" s="37" t="str">
        <f t="shared" si="6"/>
        <v/>
      </c>
      <c r="V65" s="37" t="str">
        <f>IF($A65="","",SUMIFS(Scénáře!$AE$4:$AE$503,Scénáře!$C$4:$C$503,$A65))</f>
        <v/>
      </c>
      <c r="W65" s="37" t="str">
        <f>IF($A65="","",COUNTIFS(Publikace!$C$4:$C$503,$A65,Publikace!$G$4:$G$503,""))</f>
        <v/>
      </c>
      <c r="X65" s="39" t="str">
        <f t="shared" si="7"/>
        <v/>
      </c>
      <c r="Y65" s="39" t="str">
        <f t="shared" si="8"/>
        <v/>
      </c>
      <c r="Z65" s="37" t="str">
        <f t="shared" si="9"/>
        <v/>
      </c>
      <c r="AA65" s="37" t="str">
        <f>IF(Z65="ANO",COUNTIF($Z$4:Z65,"ANO"),"")</f>
        <v/>
      </c>
    </row>
    <row r="66" spans="1:27" x14ac:dyDescent="0.2">
      <c r="A66" s="35"/>
      <c r="B66" s="11"/>
      <c r="C66" s="35"/>
      <c r="D66" s="11"/>
      <c r="E66" s="35"/>
      <c r="F66" s="35"/>
      <c r="G66" s="35"/>
      <c r="H66" s="35"/>
      <c r="I66" s="11"/>
      <c r="J66" s="36"/>
      <c r="K66" s="36"/>
      <c r="L66" s="11"/>
      <c r="M66" s="35"/>
      <c r="N66" s="35"/>
      <c r="O66" s="36"/>
      <c r="P66" s="37" t="str">
        <f>IF($A66="","",COUNTIFS(Scénáře!$C$4:$C$503,$A66,Scénáře!$W$4:$W$503,"&lt;&gt;Zrušeno"))</f>
        <v/>
      </c>
      <c r="Q66" s="37" t="str">
        <f>IF($A66="","",COUNTIFS(Scénáře!$C$4:$C$503,$A66,Scénáře!$W$4:$W$503,"Schváleno"))</f>
        <v/>
      </c>
      <c r="R66" s="37" t="str">
        <f>IF($A66="","",SUMPRODUCT((Scénáře!$C$4:$C$503=$A66)*((Scénáře!$AA$4:$AA$503="Natočeno")+(Scénáře!$AA$4:$AA$503="Ve střihu")+(Scénáře!$AA$4:$AA$503="Sestříháno")+(Scénáře!$AA$4:$AA$503="Publikováno"))))</f>
        <v/>
      </c>
      <c r="S66" s="37" t="str">
        <f>IF($A66="","",COUNTIFS(Scénáře!$C$4:$C$503,$A66,Scénáře!$AF$4:$AF$503,"&gt;0"))</f>
        <v/>
      </c>
      <c r="T66" s="40" t="str">
        <f t="shared" si="5"/>
        <v/>
      </c>
      <c r="U66" s="37" t="str">
        <f t="shared" si="6"/>
        <v/>
      </c>
      <c r="V66" s="37" t="str">
        <f>IF($A66="","",SUMIFS(Scénáře!$AE$4:$AE$503,Scénáře!$C$4:$C$503,$A66))</f>
        <v/>
      </c>
      <c r="W66" s="37" t="str">
        <f>IF($A66="","",COUNTIFS(Publikace!$C$4:$C$503,$A66,Publikace!$G$4:$G$503,""))</f>
        <v/>
      </c>
      <c r="X66" s="39" t="str">
        <f t="shared" si="7"/>
        <v/>
      </c>
      <c r="Y66" s="39" t="str">
        <f t="shared" si="8"/>
        <v/>
      </c>
      <c r="Z66" s="37" t="str">
        <f t="shared" si="9"/>
        <v/>
      </c>
      <c r="AA66" s="37" t="str">
        <f>IF(Z66="ANO",COUNTIF($Z$4:Z66,"ANO"),"")</f>
        <v/>
      </c>
    </row>
    <row r="67" spans="1:27" x14ac:dyDescent="0.2">
      <c r="A67" s="35"/>
      <c r="B67" s="11"/>
      <c r="C67" s="35"/>
      <c r="D67" s="11"/>
      <c r="E67" s="35"/>
      <c r="F67" s="35"/>
      <c r="G67" s="35"/>
      <c r="H67" s="35"/>
      <c r="I67" s="11"/>
      <c r="J67" s="36"/>
      <c r="K67" s="36"/>
      <c r="L67" s="11"/>
      <c r="M67" s="35"/>
      <c r="N67" s="35"/>
      <c r="O67" s="36"/>
      <c r="P67" s="37" t="str">
        <f>IF($A67="","",COUNTIFS(Scénáře!$C$4:$C$503,$A67,Scénáře!$W$4:$W$503,"&lt;&gt;Zrušeno"))</f>
        <v/>
      </c>
      <c r="Q67" s="37" t="str">
        <f>IF($A67="","",COUNTIFS(Scénáře!$C$4:$C$503,$A67,Scénáře!$W$4:$W$503,"Schváleno"))</f>
        <v/>
      </c>
      <c r="R67" s="37" t="str">
        <f>IF($A67="","",SUMPRODUCT((Scénáře!$C$4:$C$503=$A67)*((Scénáře!$AA$4:$AA$503="Natočeno")+(Scénáře!$AA$4:$AA$503="Ve střihu")+(Scénáře!$AA$4:$AA$503="Sestříháno")+(Scénáře!$AA$4:$AA$503="Publikováno"))))</f>
        <v/>
      </c>
      <c r="S67" s="37" t="str">
        <f>IF($A67="","",COUNTIFS(Scénáře!$C$4:$C$503,$A67,Scénáře!$AF$4:$AF$503,"&gt;0"))</f>
        <v/>
      </c>
      <c r="T67" s="40" t="str">
        <f t="shared" si="5"/>
        <v/>
      </c>
      <c r="U67" s="37" t="str">
        <f t="shared" si="6"/>
        <v/>
      </c>
      <c r="V67" s="37" t="str">
        <f>IF($A67="","",SUMIFS(Scénáře!$AE$4:$AE$503,Scénáře!$C$4:$C$503,$A67))</f>
        <v/>
      </c>
      <c r="W67" s="37" t="str">
        <f>IF($A67="","",COUNTIFS(Publikace!$C$4:$C$503,$A67,Publikace!$G$4:$G$503,""))</f>
        <v/>
      </c>
      <c r="X67" s="39" t="str">
        <f t="shared" si="7"/>
        <v/>
      </c>
      <c r="Y67" s="39" t="str">
        <f t="shared" si="8"/>
        <v/>
      </c>
      <c r="Z67" s="37" t="str">
        <f t="shared" si="9"/>
        <v/>
      </c>
      <c r="AA67" s="37" t="str">
        <f>IF(Z67="ANO",COUNTIF($Z$4:Z67,"ANO"),"")</f>
        <v/>
      </c>
    </row>
    <row r="68" spans="1:27" x14ac:dyDescent="0.2">
      <c r="A68" s="35"/>
      <c r="B68" s="11"/>
      <c r="C68" s="35"/>
      <c r="D68" s="11"/>
      <c r="E68" s="35"/>
      <c r="F68" s="35"/>
      <c r="G68" s="35"/>
      <c r="H68" s="35"/>
      <c r="I68" s="11"/>
      <c r="J68" s="36"/>
      <c r="K68" s="36"/>
      <c r="L68" s="11"/>
      <c r="M68" s="35"/>
      <c r="N68" s="35"/>
      <c r="O68" s="36"/>
      <c r="P68" s="37" t="str">
        <f>IF($A68="","",COUNTIFS(Scénáře!$C$4:$C$503,$A68,Scénáře!$W$4:$W$503,"&lt;&gt;Zrušeno"))</f>
        <v/>
      </c>
      <c r="Q68" s="37" t="str">
        <f>IF($A68="","",COUNTIFS(Scénáře!$C$4:$C$503,$A68,Scénáře!$W$4:$W$503,"Schváleno"))</f>
        <v/>
      </c>
      <c r="R68" s="37" t="str">
        <f>IF($A68="","",SUMPRODUCT((Scénáře!$C$4:$C$503=$A68)*((Scénáře!$AA$4:$AA$503="Natočeno")+(Scénáře!$AA$4:$AA$503="Ve střihu")+(Scénáře!$AA$4:$AA$503="Sestříháno")+(Scénáře!$AA$4:$AA$503="Publikováno"))))</f>
        <v/>
      </c>
      <c r="S68" s="37" t="str">
        <f>IF($A68="","",COUNTIFS(Scénáře!$C$4:$C$503,$A68,Scénáře!$AF$4:$AF$503,"&gt;0"))</f>
        <v/>
      </c>
      <c r="T68" s="40" t="str">
        <f t="shared" ref="T68:T99" si="10">IF($A68="","",IF(N(G68)&gt;0,S68/G68,""))</f>
        <v/>
      </c>
      <c r="U68" s="37" t="str">
        <f t="shared" ref="U68:U103" si="11">IF($A68="","",MAX(0,N(G68)-S68))</f>
        <v/>
      </c>
      <c r="V68" s="37" t="str">
        <f>IF($A68="","",SUMIFS(Scénáře!$AE$4:$AE$503,Scénáře!$C$4:$C$503,$A68))</f>
        <v/>
      </c>
      <c r="W68" s="37" t="str">
        <f>IF($A68="","",COUNTIFS(Publikace!$C$4:$C$503,$A68,Publikace!$G$4:$G$503,""))</f>
        <v/>
      </c>
      <c r="X68" s="39" t="str">
        <f t="shared" ref="X68:X99" si="12">IF($A68="","",IF(N(G68)=0,"Doplňte plánovaný počet dílů",TRIM(IF(S68&lt;G68,"Publikováno "&amp;S68&amp;" z "&amp;G68&amp;". ","")&amp;IF(V68&gt;0,"Otevřené připomínky: "&amp;V68&amp;". ","")&amp;IF(W68&gt;0,"Chybí odkazy: "&amp;W68&amp;". ",""))&amp;IF(AND(S68&gt;=G68,V68=0,W68=0),"ANO – podmínky splněny","")))</f>
        <v/>
      </c>
      <c r="Y68" s="39" t="str">
        <f t="shared" ref="Y68:Y99" si="13">IF($A68="","",TRIM(IF(AND(M68="Uzavřená",OR(N68="",O68="")),"Uzavřeno bez potvrzení (kdo / kdy). ","")&amp;IF(AND(M68="Uzavřená",LEFT(X68,3)&lt;&gt;"ANO"),"Uzavřeno, ale podmínky nejsou splněny. ","")&amp;IF(AND(H68&lt;&gt;"",G68&lt;&gt;H68,I68=""),"Změněn rozsah bez uvedení důvodu. ","")&amp;IF(P68&gt;N(G68),"Více dílů než plán. ","")))</f>
        <v/>
      </c>
      <c r="Z68" s="37" t="str">
        <f t="shared" ref="Z68:Z103" si="14">IF($A68="","",IF(OR(M68="Uzavřená",M68="Zrušená"),"NE","ANO"))</f>
        <v/>
      </c>
      <c r="AA68" s="37" t="str">
        <f>IF(Z68="ANO",COUNTIF($Z$4:Z68,"ANO"),"")</f>
        <v/>
      </c>
    </row>
    <row r="69" spans="1:27" x14ac:dyDescent="0.2">
      <c r="A69" s="35"/>
      <c r="B69" s="11"/>
      <c r="C69" s="35"/>
      <c r="D69" s="11"/>
      <c r="E69" s="35"/>
      <c r="F69" s="35"/>
      <c r="G69" s="35"/>
      <c r="H69" s="35"/>
      <c r="I69" s="11"/>
      <c r="J69" s="36"/>
      <c r="K69" s="36"/>
      <c r="L69" s="11"/>
      <c r="M69" s="35"/>
      <c r="N69" s="35"/>
      <c r="O69" s="36"/>
      <c r="P69" s="37" t="str">
        <f>IF($A69="","",COUNTIFS(Scénáře!$C$4:$C$503,$A69,Scénáře!$W$4:$W$503,"&lt;&gt;Zrušeno"))</f>
        <v/>
      </c>
      <c r="Q69" s="37" t="str">
        <f>IF($A69="","",COUNTIFS(Scénáře!$C$4:$C$503,$A69,Scénáře!$W$4:$W$503,"Schváleno"))</f>
        <v/>
      </c>
      <c r="R69" s="37" t="str">
        <f>IF($A69="","",SUMPRODUCT((Scénáře!$C$4:$C$503=$A69)*((Scénáře!$AA$4:$AA$503="Natočeno")+(Scénáře!$AA$4:$AA$503="Ve střihu")+(Scénáře!$AA$4:$AA$503="Sestříháno")+(Scénáře!$AA$4:$AA$503="Publikováno"))))</f>
        <v/>
      </c>
      <c r="S69" s="37" t="str">
        <f>IF($A69="","",COUNTIFS(Scénáře!$C$4:$C$503,$A69,Scénáře!$AF$4:$AF$503,"&gt;0"))</f>
        <v/>
      </c>
      <c r="T69" s="40" t="str">
        <f t="shared" si="10"/>
        <v/>
      </c>
      <c r="U69" s="37" t="str">
        <f t="shared" si="11"/>
        <v/>
      </c>
      <c r="V69" s="37" t="str">
        <f>IF($A69="","",SUMIFS(Scénáře!$AE$4:$AE$503,Scénáře!$C$4:$C$503,$A69))</f>
        <v/>
      </c>
      <c r="W69" s="37" t="str">
        <f>IF($A69="","",COUNTIFS(Publikace!$C$4:$C$503,$A69,Publikace!$G$4:$G$503,""))</f>
        <v/>
      </c>
      <c r="X69" s="39" t="str">
        <f t="shared" si="12"/>
        <v/>
      </c>
      <c r="Y69" s="39" t="str">
        <f t="shared" si="13"/>
        <v/>
      </c>
      <c r="Z69" s="37" t="str">
        <f t="shared" si="14"/>
        <v/>
      </c>
      <c r="AA69" s="37" t="str">
        <f>IF(Z69="ANO",COUNTIF($Z$4:Z69,"ANO"),"")</f>
        <v/>
      </c>
    </row>
    <row r="70" spans="1:27" x14ac:dyDescent="0.2">
      <c r="A70" s="35"/>
      <c r="B70" s="11"/>
      <c r="C70" s="35"/>
      <c r="D70" s="11"/>
      <c r="E70" s="35"/>
      <c r="F70" s="35"/>
      <c r="G70" s="35"/>
      <c r="H70" s="35"/>
      <c r="I70" s="11"/>
      <c r="J70" s="36"/>
      <c r="K70" s="36"/>
      <c r="L70" s="11"/>
      <c r="M70" s="35"/>
      <c r="N70" s="35"/>
      <c r="O70" s="36"/>
      <c r="P70" s="37" t="str">
        <f>IF($A70="","",COUNTIFS(Scénáře!$C$4:$C$503,$A70,Scénáře!$W$4:$W$503,"&lt;&gt;Zrušeno"))</f>
        <v/>
      </c>
      <c r="Q70" s="37" t="str">
        <f>IF($A70="","",COUNTIFS(Scénáře!$C$4:$C$503,$A70,Scénáře!$W$4:$W$503,"Schváleno"))</f>
        <v/>
      </c>
      <c r="R70" s="37" t="str">
        <f>IF($A70="","",SUMPRODUCT((Scénáře!$C$4:$C$503=$A70)*((Scénáře!$AA$4:$AA$503="Natočeno")+(Scénáře!$AA$4:$AA$503="Ve střihu")+(Scénáře!$AA$4:$AA$503="Sestříháno")+(Scénáře!$AA$4:$AA$503="Publikováno"))))</f>
        <v/>
      </c>
      <c r="S70" s="37" t="str">
        <f>IF($A70="","",COUNTIFS(Scénáře!$C$4:$C$503,$A70,Scénáře!$AF$4:$AF$503,"&gt;0"))</f>
        <v/>
      </c>
      <c r="T70" s="40" t="str">
        <f t="shared" si="10"/>
        <v/>
      </c>
      <c r="U70" s="37" t="str">
        <f t="shared" si="11"/>
        <v/>
      </c>
      <c r="V70" s="37" t="str">
        <f>IF($A70="","",SUMIFS(Scénáře!$AE$4:$AE$503,Scénáře!$C$4:$C$503,$A70))</f>
        <v/>
      </c>
      <c r="W70" s="37" t="str">
        <f>IF($A70="","",COUNTIFS(Publikace!$C$4:$C$503,$A70,Publikace!$G$4:$G$503,""))</f>
        <v/>
      </c>
      <c r="X70" s="39" t="str">
        <f t="shared" si="12"/>
        <v/>
      </c>
      <c r="Y70" s="39" t="str">
        <f t="shared" si="13"/>
        <v/>
      </c>
      <c r="Z70" s="37" t="str">
        <f t="shared" si="14"/>
        <v/>
      </c>
      <c r="AA70" s="37" t="str">
        <f>IF(Z70="ANO",COUNTIF($Z$4:Z70,"ANO"),"")</f>
        <v/>
      </c>
    </row>
    <row r="71" spans="1:27" x14ac:dyDescent="0.2">
      <c r="A71" s="35"/>
      <c r="B71" s="11"/>
      <c r="C71" s="35"/>
      <c r="D71" s="11"/>
      <c r="E71" s="35"/>
      <c r="F71" s="35"/>
      <c r="G71" s="35"/>
      <c r="H71" s="35"/>
      <c r="I71" s="11"/>
      <c r="J71" s="36"/>
      <c r="K71" s="36"/>
      <c r="L71" s="11"/>
      <c r="M71" s="35"/>
      <c r="N71" s="35"/>
      <c r="O71" s="36"/>
      <c r="P71" s="37" t="str">
        <f>IF($A71="","",COUNTIFS(Scénáře!$C$4:$C$503,$A71,Scénáře!$W$4:$W$503,"&lt;&gt;Zrušeno"))</f>
        <v/>
      </c>
      <c r="Q71" s="37" t="str">
        <f>IF($A71="","",COUNTIFS(Scénáře!$C$4:$C$503,$A71,Scénáře!$W$4:$W$503,"Schváleno"))</f>
        <v/>
      </c>
      <c r="R71" s="37" t="str">
        <f>IF($A71="","",SUMPRODUCT((Scénáře!$C$4:$C$503=$A71)*((Scénáře!$AA$4:$AA$503="Natočeno")+(Scénáře!$AA$4:$AA$503="Ve střihu")+(Scénáře!$AA$4:$AA$503="Sestříháno")+(Scénáře!$AA$4:$AA$503="Publikováno"))))</f>
        <v/>
      </c>
      <c r="S71" s="37" t="str">
        <f>IF($A71="","",COUNTIFS(Scénáře!$C$4:$C$503,$A71,Scénáře!$AF$4:$AF$503,"&gt;0"))</f>
        <v/>
      </c>
      <c r="T71" s="40" t="str">
        <f t="shared" si="10"/>
        <v/>
      </c>
      <c r="U71" s="37" t="str">
        <f t="shared" si="11"/>
        <v/>
      </c>
      <c r="V71" s="37" t="str">
        <f>IF($A71="","",SUMIFS(Scénáře!$AE$4:$AE$503,Scénáře!$C$4:$C$503,$A71))</f>
        <v/>
      </c>
      <c r="W71" s="37" t="str">
        <f>IF($A71="","",COUNTIFS(Publikace!$C$4:$C$503,$A71,Publikace!$G$4:$G$503,""))</f>
        <v/>
      </c>
      <c r="X71" s="39" t="str">
        <f t="shared" si="12"/>
        <v/>
      </c>
      <c r="Y71" s="39" t="str">
        <f t="shared" si="13"/>
        <v/>
      </c>
      <c r="Z71" s="37" t="str">
        <f t="shared" si="14"/>
        <v/>
      </c>
      <c r="AA71" s="37" t="str">
        <f>IF(Z71="ANO",COUNTIF($Z$4:Z71,"ANO"),"")</f>
        <v/>
      </c>
    </row>
    <row r="72" spans="1:27" x14ac:dyDescent="0.2">
      <c r="A72" s="35"/>
      <c r="B72" s="11"/>
      <c r="C72" s="35"/>
      <c r="D72" s="11"/>
      <c r="E72" s="35"/>
      <c r="F72" s="35"/>
      <c r="G72" s="35"/>
      <c r="H72" s="35"/>
      <c r="I72" s="11"/>
      <c r="J72" s="36"/>
      <c r="K72" s="36"/>
      <c r="L72" s="11"/>
      <c r="M72" s="35"/>
      <c r="N72" s="35"/>
      <c r="O72" s="36"/>
      <c r="P72" s="37" t="str">
        <f>IF($A72="","",COUNTIFS(Scénáře!$C$4:$C$503,$A72,Scénáře!$W$4:$W$503,"&lt;&gt;Zrušeno"))</f>
        <v/>
      </c>
      <c r="Q72" s="37" t="str">
        <f>IF($A72="","",COUNTIFS(Scénáře!$C$4:$C$503,$A72,Scénáře!$W$4:$W$503,"Schváleno"))</f>
        <v/>
      </c>
      <c r="R72" s="37" t="str">
        <f>IF($A72="","",SUMPRODUCT((Scénáře!$C$4:$C$503=$A72)*((Scénáře!$AA$4:$AA$503="Natočeno")+(Scénáře!$AA$4:$AA$503="Ve střihu")+(Scénáře!$AA$4:$AA$503="Sestříháno")+(Scénáře!$AA$4:$AA$503="Publikováno"))))</f>
        <v/>
      </c>
      <c r="S72" s="37" t="str">
        <f>IF($A72="","",COUNTIFS(Scénáře!$C$4:$C$503,$A72,Scénáře!$AF$4:$AF$503,"&gt;0"))</f>
        <v/>
      </c>
      <c r="T72" s="40" t="str">
        <f t="shared" si="10"/>
        <v/>
      </c>
      <c r="U72" s="37" t="str">
        <f t="shared" si="11"/>
        <v/>
      </c>
      <c r="V72" s="37" t="str">
        <f>IF($A72="","",SUMIFS(Scénáře!$AE$4:$AE$503,Scénáře!$C$4:$C$503,$A72))</f>
        <v/>
      </c>
      <c r="W72" s="37" t="str">
        <f>IF($A72="","",COUNTIFS(Publikace!$C$4:$C$503,$A72,Publikace!$G$4:$G$503,""))</f>
        <v/>
      </c>
      <c r="X72" s="39" t="str">
        <f t="shared" si="12"/>
        <v/>
      </c>
      <c r="Y72" s="39" t="str">
        <f t="shared" si="13"/>
        <v/>
      </c>
      <c r="Z72" s="37" t="str">
        <f t="shared" si="14"/>
        <v/>
      </c>
      <c r="AA72" s="37" t="str">
        <f>IF(Z72="ANO",COUNTIF($Z$4:Z72,"ANO"),"")</f>
        <v/>
      </c>
    </row>
    <row r="73" spans="1:27" x14ac:dyDescent="0.2">
      <c r="A73" s="35"/>
      <c r="B73" s="11"/>
      <c r="C73" s="35"/>
      <c r="D73" s="11"/>
      <c r="E73" s="35"/>
      <c r="F73" s="35"/>
      <c r="G73" s="35"/>
      <c r="H73" s="35"/>
      <c r="I73" s="11"/>
      <c r="J73" s="36"/>
      <c r="K73" s="36"/>
      <c r="L73" s="11"/>
      <c r="M73" s="35"/>
      <c r="N73" s="35"/>
      <c r="O73" s="36"/>
      <c r="P73" s="37" t="str">
        <f>IF($A73="","",COUNTIFS(Scénáře!$C$4:$C$503,$A73,Scénáře!$W$4:$W$503,"&lt;&gt;Zrušeno"))</f>
        <v/>
      </c>
      <c r="Q73" s="37" t="str">
        <f>IF($A73="","",COUNTIFS(Scénáře!$C$4:$C$503,$A73,Scénáře!$W$4:$W$503,"Schváleno"))</f>
        <v/>
      </c>
      <c r="R73" s="37" t="str">
        <f>IF($A73="","",SUMPRODUCT((Scénáře!$C$4:$C$503=$A73)*((Scénáře!$AA$4:$AA$503="Natočeno")+(Scénáře!$AA$4:$AA$503="Ve střihu")+(Scénáře!$AA$4:$AA$503="Sestříháno")+(Scénáře!$AA$4:$AA$503="Publikováno"))))</f>
        <v/>
      </c>
      <c r="S73" s="37" t="str">
        <f>IF($A73="","",COUNTIFS(Scénáře!$C$4:$C$503,$A73,Scénáře!$AF$4:$AF$503,"&gt;0"))</f>
        <v/>
      </c>
      <c r="T73" s="40" t="str">
        <f t="shared" si="10"/>
        <v/>
      </c>
      <c r="U73" s="37" t="str">
        <f t="shared" si="11"/>
        <v/>
      </c>
      <c r="V73" s="37" t="str">
        <f>IF($A73="","",SUMIFS(Scénáře!$AE$4:$AE$503,Scénáře!$C$4:$C$503,$A73))</f>
        <v/>
      </c>
      <c r="W73" s="37" t="str">
        <f>IF($A73="","",COUNTIFS(Publikace!$C$4:$C$503,$A73,Publikace!$G$4:$G$503,""))</f>
        <v/>
      </c>
      <c r="X73" s="39" t="str">
        <f t="shared" si="12"/>
        <v/>
      </c>
      <c r="Y73" s="39" t="str">
        <f t="shared" si="13"/>
        <v/>
      </c>
      <c r="Z73" s="37" t="str">
        <f t="shared" si="14"/>
        <v/>
      </c>
      <c r="AA73" s="37" t="str">
        <f>IF(Z73="ANO",COUNTIF($Z$4:Z73,"ANO"),"")</f>
        <v/>
      </c>
    </row>
    <row r="74" spans="1:27" x14ac:dyDescent="0.2">
      <c r="A74" s="35"/>
      <c r="B74" s="11"/>
      <c r="C74" s="35"/>
      <c r="D74" s="11"/>
      <c r="E74" s="35"/>
      <c r="F74" s="35"/>
      <c r="G74" s="35"/>
      <c r="H74" s="35"/>
      <c r="I74" s="11"/>
      <c r="J74" s="36"/>
      <c r="K74" s="36"/>
      <c r="L74" s="11"/>
      <c r="M74" s="35"/>
      <c r="N74" s="35"/>
      <c r="O74" s="36"/>
      <c r="P74" s="37" t="str">
        <f>IF($A74="","",COUNTIFS(Scénáře!$C$4:$C$503,$A74,Scénáře!$W$4:$W$503,"&lt;&gt;Zrušeno"))</f>
        <v/>
      </c>
      <c r="Q74" s="37" t="str">
        <f>IF($A74="","",COUNTIFS(Scénáře!$C$4:$C$503,$A74,Scénáře!$W$4:$W$503,"Schváleno"))</f>
        <v/>
      </c>
      <c r="R74" s="37" t="str">
        <f>IF($A74="","",SUMPRODUCT((Scénáře!$C$4:$C$503=$A74)*((Scénáře!$AA$4:$AA$503="Natočeno")+(Scénáře!$AA$4:$AA$503="Ve střihu")+(Scénáře!$AA$4:$AA$503="Sestříháno")+(Scénáře!$AA$4:$AA$503="Publikováno"))))</f>
        <v/>
      </c>
      <c r="S74" s="37" t="str">
        <f>IF($A74="","",COUNTIFS(Scénáře!$C$4:$C$503,$A74,Scénáře!$AF$4:$AF$503,"&gt;0"))</f>
        <v/>
      </c>
      <c r="T74" s="40" t="str">
        <f t="shared" si="10"/>
        <v/>
      </c>
      <c r="U74" s="37" t="str">
        <f t="shared" si="11"/>
        <v/>
      </c>
      <c r="V74" s="37" t="str">
        <f>IF($A74="","",SUMIFS(Scénáře!$AE$4:$AE$503,Scénáře!$C$4:$C$503,$A74))</f>
        <v/>
      </c>
      <c r="W74" s="37" t="str">
        <f>IF($A74="","",COUNTIFS(Publikace!$C$4:$C$503,$A74,Publikace!$G$4:$G$503,""))</f>
        <v/>
      </c>
      <c r="X74" s="39" t="str">
        <f t="shared" si="12"/>
        <v/>
      </c>
      <c r="Y74" s="39" t="str">
        <f t="shared" si="13"/>
        <v/>
      </c>
      <c r="Z74" s="37" t="str">
        <f t="shared" si="14"/>
        <v/>
      </c>
      <c r="AA74" s="37" t="str">
        <f>IF(Z74="ANO",COUNTIF($Z$4:Z74,"ANO"),"")</f>
        <v/>
      </c>
    </row>
    <row r="75" spans="1:27" x14ac:dyDescent="0.2">
      <c r="A75" s="35"/>
      <c r="B75" s="11"/>
      <c r="C75" s="35"/>
      <c r="D75" s="11"/>
      <c r="E75" s="35"/>
      <c r="F75" s="35"/>
      <c r="G75" s="35"/>
      <c r="H75" s="35"/>
      <c r="I75" s="11"/>
      <c r="J75" s="36"/>
      <c r="K75" s="36"/>
      <c r="L75" s="11"/>
      <c r="M75" s="35"/>
      <c r="N75" s="35"/>
      <c r="O75" s="36"/>
      <c r="P75" s="37" t="str">
        <f>IF($A75="","",COUNTIFS(Scénáře!$C$4:$C$503,$A75,Scénáře!$W$4:$W$503,"&lt;&gt;Zrušeno"))</f>
        <v/>
      </c>
      <c r="Q75" s="37" t="str">
        <f>IF($A75="","",COUNTIFS(Scénáře!$C$4:$C$503,$A75,Scénáře!$W$4:$W$503,"Schváleno"))</f>
        <v/>
      </c>
      <c r="R75" s="37" t="str">
        <f>IF($A75="","",SUMPRODUCT((Scénáře!$C$4:$C$503=$A75)*((Scénáře!$AA$4:$AA$503="Natočeno")+(Scénáře!$AA$4:$AA$503="Ve střihu")+(Scénáře!$AA$4:$AA$503="Sestříháno")+(Scénáře!$AA$4:$AA$503="Publikováno"))))</f>
        <v/>
      </c>
      <c r="S75" s="37" t="str">
        <f>IF($A75="","",COUNTIFS(Scénáře!$C$4:$C$503,$A75,Scénáře!$AF$4:$AF$503,"&gt;0"))</f>
        <v/>
      </c>
      <c r="T75" s="40" t="str">
        <f t="shared" si="10"/>
        <v/>
      </c>
      <c r="U75" s="37" t="str">
        <f t="shared" si="11"/>
        <v/>
      </c>
      <c r="V75" s="37" t="str">
        <f>IF($A75="","",SUMIFS(Scénáře!$AE$4:$AE$503,Scénáře!$C$4:$C$503,$A75))</f>
        <v/>
      </c>
      <c r="W75" s="37" t="str">
        <f>IF($A75="","",COUNTIFS(Publikace!$C$4:$C$503,$A75,Publikace!$G$4:$G$503,""))</f>
        <v/>
      </c>
      <c r="X75" s="39" t="str">
        <f t="shared" si="12"/>
        <v/>
      </c>
      <c r="Y75" s="39" t="str">
        <f t="shared" si="13"/>
        <v/>
      </c>
      <c r="Z75" s="37" t="str">
        <f t="shared" si="14"/>
        <v/>
      </c>
      <c r="AA75" s="37" t="str">
        <f>IF(Z75="ANO",COUNTIF($Z$4:Z75,"ANO"),"")</f>
        <v/>
      </c>
    </row>
    <row r="76" spans="1:27" x14ac:dyDescent="0.2">
      <c r="A76" s="35"/>
      <c r="B76" s="11"/>
      <c r="C76" s="35"/>
      <c r="D76" s="11"/>
      <c r="E76" s="35"/>
      <c r="F76" s="35"/>
      <c r="G76" s="35"/>
      <c r="H76" s="35"/>
      <c r="I76" s="11"/>
      <c r="J76" s="36"/>
      <c r="K76" s="36"/>
      <c r="L76" s="11"/>
      <c r="M76" s="35"/>
      <c r="N76" s="35"/>
      <c r="O76" s="36"/>
      <c r="P76" s="37" t="str">
        <f>IF($A76="","",COUNTIFS(Scénáře!$C$4:$C$503,$A76,Scénáře!$W$4:$W$503,"&lt;&gt;Zrušeno"))</f>
        <v/>
      </c>
      <c r="Q76" s="37" t="str">
        <f>IF($A76="","",COUNTIFS(Scénáře!$C$4:$C$503,$A76,Scénáře!$W$4:$W$503,"Schváleno"))</f>
        <v/>
      </c>
      <c r="R76" s="37" t="str">
        <f>IF($A76="","",SUMPRODUCT((Scénáře!$C$4:$C$503=$A76)*((Scénáře!$AA$4:$AA$503="Natočeno")+(Scénáře!$AA$4:$AA$503="Ve střihu")+(Scénáře!$AA$4:$AA$503="Sestříháno")+(Scénáře!$AA$4:$AA$503="Publikováno"))))</f>
        <v/>
      </c>
      <c r="S76" s="37" t="str">
        <f>IF($A76="","",COUNTIFS(Scénáře!$C$4:$C$503,$A76,Scénáře!$AF$4:$AF$503,"&gt;0"))</f>
        <v/>
      </c>
      <c r="T76" s="40" t="str">
        <f t="shared" si="10"/>
        <v/>
      </c>
      <c r="U76" s="37" t="str">
        <f t="shared" si="11"/>
        <v/>
      </c>
      <c r="V76" s="37" t="str">
        <f>IF($A76="","",SUMIFS(Scénáře!$AE$4:$AE$503,Scénáře!$C$4:$C$503,$A76))</f>
        <v/>
      </c>
      <c r="W76" s="37" t="str">
        <f>IF($A76="","",COUNTIFS(Publikace!$C$4:$C$503,$A76,Publikace!$G$4:$G$503,""))</f>
        <v/>
      </c>
      <c r="X76" s="39" t="str">
        <f t="shared" si="12"/>
        <v/>
      </c>
      <c r="Y76" s="39" t="str">
        <f t="shared" si="13"/>
        <v/>
      </c>
      <c r="Z76" s="37" t="str">
        <f t="shared" si="14"/>
        <v/>
      </c>
      <c r="AA76" s="37" t="str">
        <f>IF(Z76="ANO",COUNTIF($Z$4:Z76,"ANO"),"")</f>
        <v/>
      </c>
    </row>
    <row r="77" spans="1:27" x14ac:dyDescent="0.2">
      <c r="A77" s="35"/>
      <c r="B77" s="11"/>
      <c r="C77" s="35"/>
      <c r="D77" s="11"/>
      <c r="E77" s="35"/>
      <c r="F77" s="35"/>
      <c r="G77" s="35"/>
      <c r="H77" s="35"/>
      <c r="I77" s="11"/>
      <c r="J77" s="36"/>
      <c r="K77" s="36"/>
      <c r="L77" s="11"/>
      <c r="M77" s="35"/>
      <c r="N77" s="35"/>
      <c r="O77" s="36"/>
      <c r="P77" s="37" t="str">
        <f>IF($A77="","",COUNTIFS(Scénáře!$C$4:$C$503,$A77,Scénáře!$W$4:$W$503,"&lt;&gt;Zrušeno"))</f>
        <v/>
      </c>
      <c r="Q77" s="37" t="str">
        <f>IF($A77="","",COUNTIFS(Scénáře!$C$4:$C$503,$A77,Scénáře!$W$4:$W$503,"Schváleno"))</f>
        <v/>
      </c>
      <c r="R77" s="37" t="str">
        <f>IF($A77="","",SUMPRODUCT((Scénáře!$C$4:$C$503=$A77)*((Scénáře!$AA$4:$AA$503="Natočeno")+(Scénáře!$AA$4:$AA$503="Ve střihu")+(Scénáře!$AA$4:$AA$503="Sestříháno")+(Scénáře!$AA$4:$AA$503="Publikováno"))))</f>
        <v/>
      </c>
      <c r="S77" s="37" t="str">
        <f>IF($A77="","",COUNTIFS(Scénáře!$C$4:$C$503,$A77,Scénáře!$AF$4:$AF$503,"&gt;0"))</f>
        <v/>
      </c>
      <c r="T77" s="40" t="str">
        <f t="shared" si="10"/>
        <v/>
      </c>
      <c r="U77" s="37" t="str">
        <f t="shared" si="11"/>
        <v/>
      </c>
      <c r="V77" s="37" t="str">
        <f>IF($A77="","",SUMIFS(Scénáře!$AE$4:$AE$503,Scénáře!$C$4:$C$503,$A77))</f>
        <v/>
      </c>
      <c r="W77" s="37" t="str">
        <f>IF($A77="","",COUNTIFS(Publikace!$C$4:$C$503,$A77,Publikace!$G$4:$G$503,""))</f>
        <v/>
      </c>
      <c r="X77" s="39" t="str">
        <f t="shared" si="12"/>
        <v/>
      </c>
      <c r="Y77" s="39" t="str">
        <f t="shared" si="13"/>
        <v/>
      </c>
      <c r="Z77" s="37" t="str">
        <f t="shared" si="14"/>
        <v/>
      </c>
      <c r="AA77" s="37" t="str">
        <f>IF(Z77="ANO",COUNTIF($Z$4:Z77,"ANO"),"")</f>
        <v/>
      </c>
    </row>
    <row r="78" spans="1:27" x14ac:dyDescent="0.2">
      <c r="A78" s="35"/>
      <c r="B78" s="11"/>
      <c r="C78" s="35"/>
      <c r="D78" s="11"/>
      <c r="E78" s="35"/>
      <c r="F78" s="35"/>
      <c r="G78" s="35"/>
      <c r="H78" s="35"/>
      <c r="I78" s="11"/>
      <c r="J78" s="36"/>
      <c r="K78" s="36"/>
      <c r="L78" s="11"/>
      <c r="M78" s="35"/>
      <c r="N78" s="35"/>
      <c r="O78" s="36"/>
      <c r="P78" s="37" t="str">
        <f>IF($A78="","",COUNTIFS(Scénáře!$C$4:$C$503,$A78,Scénáře!$W$4:$W$503,"&lt;&gt;Zrušeno"))</f>
        <v/>
      </c>
      <c r="Q78" s="37" t="str">
        <f>IF($A78="","",COUNTIFS(Scénáře!$C$4:$C$503,$A78,Scénáře!$W$4:$W$503,"Schváleno"))</f>
        <v/>
      </c>
      <c r="R78" s="37" t="str">
        <f>IF($A78="","",SUMPRODUCT((Scénáře!$C$4:$C$503=$A78)*((Scénáře!$AA$4:$AA$503="Natočeno")+(Scénáře!$AA$4:$AA$503="Ve střihu")+(Scénáře!$AA$4:$AA$503="Sestříháno")+(Scénáře!$AA$4:$AA$503="Publikováno"))))</f>
        <v/>
      </c>
      <c r="S78" s="37" t="str">
        <f>IF($A78="","",COUNTIFS(Scénáře!$C$4:$C$503,$A78,Scénáře!$AF$4:$AF$503,"&gt;0"))</f>
        <v/>
      </c>
      <c r="T78" s="40" t="str">
        <f t="shared" si="10"/>
        <v/>
      </c>
      <c r="U78" s="37" t="str">
        <f t="shared" si="11"/>
        <v/>
      </c>
      <c r="V78" s="37" t="str">
        <f>IF($A78="","",SUMIFS(Scénáře!$AE$4:$AE$503,Scénáře!$C$4:$C$503,$A78))</f>
        <v/>
      </c>
      <c r="W78" s="37" t="str">
        <f>IF($A78="","",COUNTIFS(Publikace!$C$4:$C$503,$A78,Publikace!$G$4:$G$503,""))</f>
        <v/>
      </c>
      <c r="X78" s="39" t="str">
        <f t="shared" si="12"/>
        <v/>
      </c>
      <c r="Y78" s="39" t="str">
        <f t="shared" si="13"/>
        <v/>
      </c>
      <c r="Z78" s="37" t="str">
        <f t="shared" si="14"/>
        <v/>
      </c>
      <c r="AA78" s="37" t="str">
        <f>IF(Z78="ANO",COUNTIF($Z$4:Z78,"ANO"),"")</f>
        <v/>
      </c>
    </row>
    <row r="79" spans="1:27" x14ac:dyDescent="0.2">
      <c r="A79" s="35"/>
      <c r="B79" s="11"/>
      <c r="C79" s="35"/>
      <c r="D79" s="11"/>
      <c r="E79" s="35"/>
      <c r="F79" s="35"/>
      <c r="G79" s="35"/>
      <c r="H79" s="35"/>
      <c r="I79" s="11"/>
      <c r="J79" s="36"/>
      <c r="K79" s="36"/>
      <c r="L79" s="11"/>
      <c r="M79" s="35"/>
      <c r="N79" s="35"/>
      <c r="O79" s="36"/>
      <c r="P79" s="37" t="str">
        <f>IF($A79="","",COUNTIFS(Scénáře!$C$4:$C$503,$A79,Scénáře!$W$4:$W$503,"&lt;&gt;Zrušeno"))</f>
        <v/>
      </c>
      <c r="Q79" s="37" t="str">
        <f>IF($A79="","",COUNTIFS(Scénáře!$C$4:$C$503,$A79,Scénáře!$W$4:$W$503,"Schváleno"))</f>
        <v/>
      </c>
      <c r="R79" s="37" t="str">
        <f>IF($A79="","",SUMPRODUCT((Scénáře!$C$4:$C$503=$A79)*((Scénáře!$AA$4:$AA$503="Natočeno")+(Scénáře!$AA$4:$AA$503="Ve střihu")+(Scénáře!$AA$4:$AA$503="Sestříháno")+(Scénáře!$AA$4:$AA$503="Publikováno"))))</f>
        <v/>
      </c>
      <c r="S79" s="37" t="str">
        <f>IF($A79="","",COUNTIFS(Scénáře!$C$4:$C$503,$A79,Scénáře!$AF$4:$AF$503,"&gt;0"))</f>
        <v/>
      </c>
      <c r="T79" s="40" t="str">
        <f t="shared" si="10"/>
        <v/>
      </c>
      <c r="U79" s="37" t="str">
        <f t="shared" si="11"/>
        <v/>
      </c>
      <c r="V79" s="37" t="str">
        <f>IF($A79="","",SUMIFS(Scénáře!$AE$4:$AE$503,Scénáře!$C$4:$C$503,$A79))</f>
        <v/>
      </c>
      <c r="W79" s="37" t="str">
        <f>IF($A79="","",COUNTIFS(Publikace!$C$4:$C$503,$A79,Publikace!$G$4:$G$503,""))</f>
        <v/>
      </c>
      <c r="X79" s="39" t="str">
        <f t="shared" si="12"/>
        <v/>
      </c>
      <c r="Y79" s="39" t="str">
        <f t="shared" si="13"/>
        <v/>
      </c>
      <c r="Z79" s="37" t="str">
        <f t="shared" si="14"/>
        <v/>
      </c>
      <c r="AA79" s="37" t="str">
        <f>IF(Z79="ANO",COUNTIF($Z$4:Z79,"ANO"),"")</f>
        <v/>
      </c>
    </row>
    <row r="80" spans="1:27" x14ac:dyDescent="0.2">
      <c r="A80" s="35"/>
      <c r="B80" s="11"/>
      <c r="C80" s="35"/>
      <c r="D80" s="11"/>
      <c r="E80" s="35"/>
      <c r="F80" s="35"/>
      <c r="G80" s="35"/>
      <c r="H80" s="35"/>
      <c r="I80" s="11"/>
      <c r="J80" s="36"/>
      <c r="K80" s="36"/>
      <c r="L80" s="11"/>
      <c r="M80" s="35"/>
      <c r="N80" s="35"/>
      <c r="O80" s="36"/>
      <c r="P80" s="37" t="str">
        <f>IF($A80="","",COUNTIFS(Scénáře!$C$4:$C$503,$A80,Scénáře!$W$4:$W$503,"&lt;&gt;Zrušeno"))</f>
        <v/>
      </c>
      <c r="Q80" s="37" t="str">
        <f>IF($A80="","",COUNTIFS(Scénáře!$C$4:$C$503,$A80,Scénáře!$W$4:$W$503,"Schváleno"))</f>
        <v/>
      </c>
      <c r="R80" s="37" t="str">
        <f>IF($A80="","",SUMPRODUCT((Scénáře!$C$4:$C$503=$A80)*((Scénáře!$AA$4:$AA$503="Natočeno")+(Scénáře!$AA$4:$AA$503="Ve střihu")+(Scénáře!$AA$4:$AA$503="Sestříháno")+(Scénáře!$AA$4:$AA$503="Publikováno"))))</f>
        <v/>
      </c>
      <c r="S80" s="37" t="str">
        <f>IF($A80="","",COUNTIFS(Scénáře!$C$4:$C$503,$A80,Scénáře!$AF$4:$AF$503,"&gt;0"))</f>
        <v/>
      </c>
      <c r="T80" s="40" t="str">
        <f t="shared" si="10"/>
        <v/>
      </c>
      <c r="U80" s="37" t="str">
        <f t="shared" si="11"/>
        <v/>
      </c>
      <c r="V80" s="37" t="str">
        <f>IF($A80="","",SUMIFS(Scénáře!$AE$4:$AE$503,Scénáře!$C$4:$C$503,$A80))</f>
        <v/>
      </c>
      <c r="W80" s="37" t="str">
        <f>IF($A80="","",COUNTIFS(Publikace!$C$4:$C$503,$A80,Publikace!$G$4:$G$503,""))</f>
        <v/>
      </c>
      <c r="X80" s="39" t="str">
        <f t="shared" si="12"/>
        <v/>
      </c>
      <c r="Y80" s="39" t="str">
        <f t="shared" si="13"/>
        <v/>
      </c>
      <c r="Z80" s="37" t="str">
        <f t="shared" si="14"/>
        <v/>
      </c>
      <c r="AA80" s="37" t="str">
        <f>IF(Z80="ANO",COUNTIF($Z$4:Z80,"ANO"),"")</f>
        <v/>
      </c>
    </row>
    <row r="81" spans="1:27" x14ac:dyDescent="0.2">
      <c r="A81" s="35"/>
      <c r="B81" s="11"/>
      <c r="C81" s="35"/>
      <c r="D81" s="11"/>
      <c r="E81" s="35"/>
      <c r="F81" s="35"/>
      <c r="G81" s="35"/>
      <c r="H81" s="35"/>
      <c r="I81" s="11"/>
      <c r="J81" s="36"/>
      <c r="K81" s="36"/>
      <c r="L81" s="11"/>
      <c r="M81" s="35"/>
      <c r="N81" s="35"/>
      <c r="O81" s="36"/>
      <c r="P81" s="37" t="str">
        <f>IF($A81="","",COUNTIFS(Scénáře!$C$4:$C$503,$A81,Scénáře!$W$4:$W$503,"&lt;&gt;Zrušeno"))</f>
        <v/>
      </c>
      <c r="Q81" s="37" t="str">
        <f>IF($A81="","",COUNTIFS(Scénáře!$C$4:$C$503,$A81,Scénáře!$W$4:$W$503,"Schváleno"))</f>
        <v/>
      </c>
      <c r="R81" s="37" t="str">
        <f>IF($A81="","",SUMPRODUCT((Scénáře!$C$4:$C$503=$A81)*((Scénáře!$AA$4:$AA$503="Natočeno")+(Scénáře!$AA$4:$AA$503="Ve střihu")+(Scénáře!$AA$4:$AA$503="Sestříháno")+(Scénáře!$AA$4:$AA$503="Publikováno"))))</f>
        <v/>
      </c>
      <c r="S81" s="37" t="str">
        <f>IF($A81="","",COUNTIFS(Scénáře!$C$4:$C$503,$A81,Scénáře!$AF$4:$AF$503,"&gt;0"))</f>
        <v/>
      </c>
      <c r="T81" s="40" t="str">
        <f t="shared" si="10"/>
        <v/>
      </c>
      <c r="U81" s="37" t="str">
        <f t="shared" si="11"/>
        <v/>
      </c>
      <c r="V81" s="37" t="str">
        <f>IF($A81="","",SUMIFS(Scénáře!$AE$4:$AE$503,Scénáře!$C$4:$C$503,$A81))</f>
        <v/>
      </c>
      <c r="W81" s="37" t="str">
        <f>IF($A81="","",COUNTIFS(Publikace!$C$4:$C$503,$A81,Publikace!$G$4:$G$503,""))</f>
        <v/>
      </c>
      <c r="X81" s="39" t="str">
        <f t="shared" si="12"/>
        <v/>
      </c>
      <c r="Y81" s="39" t="str">
        <f t="shared" si="13"/>
        <v/>
      </c>
      <c r="Z81" s="37" t="str">
        <f t="shared" si="14"/>
        <v/>
      </c>
      <c r="AA81" s="37" t="str">
        <f>IF(Z81="ANO",COUNTIF($Z$4:Z81,"ANO"),"")</f>
        <v/>
      </c>
    </row>
    <row r="82" spans="1:27" x14ac:dyDescent="0.2">
      <c r="A82" s="35"/>
      <c r="B82" s="11"/>
      <c r="C82" s="35"/>
      <c r="D82" s="11"/>
      <c r="E82" s="35"/>
      <c r="F82" s="35"/>
      <c r="G82" s="35"/>
      <c r="H82" s="35"/>
      <c r="I82" s="11"/>
      <c r="J82" s="36"/>
      <c r="K82" s="36"/>
      <c r="L82" s="11"/>
      <c r="M82" s="35"/>
      <c r="N82" s="35"/>
      <c r="O82" s="36"/>
      <c r="P82" s="37" t="str">
        <f>IF($A82="","",COUNTIFS(Scénáře!$C$4:$C$503,$A82,Scénáře!$W$4:$W$503,"&lt;&gt;Zrušeno"))</f>
        <v/>
      </c>
      <c r="Q82" s="37" t="str">
        <f>IF($A82="","",COUNTIFS(Scénáře!$C$4:$C$503,$A82,Scénáře!$W$4:$W$503,"Schváleno"))</f>
        <v/>
      </c>
      <c r="R82" s="37" t="str">
        <f>IF($A82="","",SUMPRODUCT((Scénáře!$C$4:$C$503=$A82)*((Scénáře!$AA$4:$AA$503="Natočeno")+(Scénáře!$AA$4:$AA$503="Ve střihu")+(Scénáře!$AA$4:$AA$503="Sestříháno")+(Scénáře!$AA$4:$AA$503="Publikováno"))))</f>
        <v/>
      </c>
      <c r="S82" s="37" t="str">
        <f>IF($A82="","",COUNTIFS(Scénáře!$C$4:$C$503,$A82,Scénáře!$AF$4:$AF$503,"&gt;0"))</f>
        <v/>
      </c>
      <c r="T82" s="40" t="str">
        <f t="shared" si="10"/>
        <v/>
      </c>
      <c r="U82" s="37" t="str">
        <f t="shared" si="11"/>
        <v/>
      </c>
      <c r="V82" s="37" t="str">
        <f>IF($A82="","",SUMIFS(Scénáře!$AE$4:$AE$503,Scénáře!$C$4:$C$503,$A82))</f>
        <v/>
      </c>
      <c r="W82" s="37" t="str">
        <f>IF($A82="","",COUNTIFS(Publikace!$C$4:$C$503,$A82,Publikace!$G$4:$G$503,""))</f>
        <v/>
      </c>
      <c r="X82" s="39" t="str">
        <f t="shared" si="12"/>
        <v/>
      </c>
      <c r="Y82" s="39" t="str">
        <f t="shared" si="13"/>
        <v/>
      </c>
      <c r="Z82" s="37" t="str">
        <f t="shared" si="14"/>
        <v/>
      </c>
      <c r="AA82" s="37" t="str">
        <f>IF(Z82="ANO",COUNTIF($Z$4:Z82,"ANO"),"")</f>
        <v/>
      </c>
    </row>
    <row r="83" spans="1:27" x14ac:dyDescent="0.2">
      <c r="A83" s="35"/>
      <c r="B83" s="11"/>
      <c r="C83" s="35"/>
      <c r="D83" s="11"/>
      <c r="E83" s="35"/>
      <c r="F83" s="35"/>
      <c r="G83" s="35"/>
      <c r="H83" s="35"/>
      <c r="I83" s="11"/>
      <c r="J83" s="36"/>
      <c r="K83" s="36"/>
      <c r="L83" s="11"/>
      <c r="M83" s="35"/>
      <c r="N83" s="35"/>
      <c r="O83" s="36"/>
      <c r="P83" s="37" t="str">
        <f>IF($A83="","",COUNTIFS(Scénáře!$C$4:$C$503,$A83,Scénáře!$W$4:$W$503,"&lt;&gt;Zrušeno"))</f>
        <v/>
      </c>
      <c r="Q83" s="37" t="str">
        <f>IF($A83="","",COUNTIFS(Scénáře!$C$4:$C$503,$A83,Scénáře!$W$4:$W$503,"Schváleno"))</f>
        <v/>
      </c>
      <c r="R83" s="37" t="str">
        <f>IF($A83="","",SUMPRODUCT((Scénáře!$C$4:$C$503=$A83)*((Scénáře!$AA$4:$AA$503="Natočeno")+(Scénáře!$AA$4:$AA$503="Ve střihu")+(Scénáře!$AA$4:$AA$503="Sestříháno")+(Scénáře!$AA$4:$AA$503="Publikováno"))))</f>
        <v/>
      </c>
      <c r="S83" s="37" t="str">
        <f>IF($A83="","",COUNTIFS(Scénáře!$C$4:$C$503,$A83,Scénáře!$AF$4:$AF$503,"&gt;0"))</f>
        <v/>
      </c>
      <c r="T83" s="40" t="str">
        <f t="shared" si="10"/>
        <v/>
      </c>
      <c r="U83" s="37" t="str">
        <f t="shared" si="11"/>
        <v/>
      </c>
      <c r="V83" s="37" t="str">
        <f>IF($A83="","",SUMIFS(Scénáře!$AE$4:$AE$503,Scénáře!$C$4:$C$503,$A83))</f>
        <v/>
      </c>
      <c r="W83" s="37" t="str">
        <f>IF($A83="","",COUNTIFS(Publikace!$C$4:$C$503,$A83,Publikace!$G$4:$G$503,""))</f>
        <v/>
      </c>
      <c r="X83" s="39" t="str">
        <f t="shared" si="12"/>
        <v/>
      </c>
      <c r="Y83" s="39" t="str">
        <f t="shared" si="13"/>
        <v/>
      </c>
      <c r="Z83" s="37" t="str">
        <f t="shared" si="14"/>
        <v/>
      </c>
      <c r="AA83" s="37" t="str">
        <f>IF(Z83="ANO",COUNTIF($Z$4:Z83,"ANO"),"")</f>
        <v/>
      </c>
    </row>
    <row r="84" spans="1:27" x14ac:dyDescent="0.2">
      <c r="A84" s="35"/>
      <c r="B84" s="11"/>
      <c r="C84" s="35"/>
      <c r="D84" s="11"/>
      <c r="E84" s="35"/>
      <c r="F84" s="35"/>
      <c r="G84" s="35"/>
      <c r="H84" s="35"/>
      <c r="I84" s="11"/>
      <c r="J84" s="36"/>
      <c r="K84" s="36"/>
      <c r="L84" s="11"/>
      <c r="M84" s="35"/>
      <c r="N84" s="35"/>
      <c r="O84" s="36"/>
      <c r="P84" s="37" t="str">
        <f>IF($A84="","",COUNTIFS(Scénáře!$C$4:$C$503,$A84,Scénáře!$W$4:$W$503,"&lt;&gt;Zrušeno"))</f>
        <v/>
      </c>
      <c r="Q84" s="37" t="str">
        <f>IF($A84="","",COUNTIFS(Scénáře!$C$4:$C$503,$A84,Scénáře!$W$4:$W$503,"Schváleno"))</f>
        <v/>
      </c>
      <c r="R84" s="37" t="str">
        <f>IF($A84="","",SUMPRODUCT((Scénáře!$C$4:$C$503=$A84)*((Scénáře!$AA$4:$AA$503="Natočeno")+(Scénáře!$AA$4:$AA$503="Ve střihu")+(Scénáře!$AA$4:$AA$503="Sestříháno")+(Scénáře!$AA$4:$AA$503="Publikováno"))))</f>
        <v/>
      </c>
      <c r="S84" s="37" t="str">
        <f>IF($A84="","",COUNTIFS(Scénáře!$C$4:$C$503,$A84,Scénáře!$AF$4:$AF$503,"&gt;0"))</f>
        <v/>
      </c>
      <c r="T84" s="40" t="str">
        <f t="shared" si="10"/>
        <v/>
      </c>
      <c r="U84" s="37" t="str">
        <f t="shared" si="11"/>
        <v/>
      </c>
      <c r="V84" s="37" t="str">
        <f>IF($A84="","",SUMIFS(Scénáře!$AE$4:$AE$503,Scénáře!$C$4:$C$503,$A84))</f>
        <v/>
      </c>
      <c r="W84" s="37" t="str">
        <f>IF($A84="","",COUNTIFS(Publikace!$C$4:$C$503,$A84,Publikace!$G$4:$G$503,""))</f>
        <v/>
      </c>
      <c r="X84" s="39" t="str">
        <f t="shared" si="12"/>
        <v/>
      </c>
      <c r="Y84" s="39" t="str">
        <f t="shared" si="13"/>
        <v/>
      </c>
      <c r="Z84" s="37" t="str">
        <f t="shared" si="14"/>
        <v/>
      </c>
      <c r="AA84" s="37" t="str">
        <f>IF(Z84="ANO",COUNTIF($Z$4:Z84,"ANO"),"")</f>
        <v/>
      </c>
    </row>
    <row r="85" spans="1:27" x14ac:dyDescent="0.2">
      <c r="A85" s="35"/>
      <c r="B85" s="11"/>
      <c r="C85" s="35"/>
      <c r="D85" s="11"/>
      <c r="E85" s="35"/>
      <c r="F85" s="35"/>
      <c r="G85" s="35"/>
      <c r="H85" s="35"/>
      <c r="I85" s="11"/>
      <c r="J85" s="36"/>
      <c r="K85" s="36"/>
      <c r="L85" s="11"/>
      <c r="M85" s="35"/>
      <c r="N85" s="35"/>
      <c r="O85" s="36"/>
      <c r="P85" s="37" t="str">
        <f>IF($A85="","",COUNTIFS(Scénáře!$C$4:$C$503,$A85,Scénáře!$W$4:$W$503,"&lt;&gt;Zrušeno"))</f>
        <v/>
      </c>
      <c r="Q85" s="37" t="str">
        <f>IF($A85="","",COUNTIFS(Scénáře!$C$4:$C$503,$A85,Scénáře!$W$4:$W$503,"Schváleno"))</f>
        <v/>
      </c>
      <c r="R85" s="37" t="str">
        <f>IF($A85="","",SUMPRODUCT((Scénáře!$C$4:$C$503=$A85)*((Scénáře!$AA$4:$AA$503="Natočeno")+(Scénáře!$AA$4:$AA$503="Ve střihu")+(Scénáře!$AA$4:$AA$503="Sestříháno")+(Scénáře!$AA$4:$AA$503="Publikováno"))))</f>
        <v/>
      </c>
      <c r="S85" s="37" t="str">
        <f>IF($A85="","",COUNTIFS(Scénáře!$C$4:$C$503,$A85,Scénáře!$AF$4:$AF$503,"&gt;0"))</f>
        <v/>
      </c>
      <c r="T85" s="40" t="str">
        <f t="shared" si="10"/>
        <v/>
      </c>
      <c r="U85" s="37" t="str">
        <f t="shared" si="11"/>
        <v/>
      </c>
      <c r="V85" s="37" t="str">
        <f>IF($A85="","",SUMIFS(Scénáře!$AE$4:$AE$503,Scénáře!$C$4:$C$503,$A85))</f>
        <v/>
      </c>
      <c r="W85" s="37" t="str">
        <f>IF($A85="","",COUNTIFS(Publikace!$C$4:$C$503,$A85,Publikace!$G$4:$G$503,""))</f>
        <v/>
      </c>
      <c r="X85" s="39" t="str">
        <f t="shared" si="12"/>
        <v/>
      </c>
      <c r="Y85" s="39" t="str">
        <f t="shared" si="13"/>
        <v/>
      </c>
      <c r="Z85" s="37" t="str">
        <f t="shared" si="14"/>
        <v/>
      </c>
      <c r="AA85" s="37" t="str">
        <f>IF(Z85="ANO",COUNTIF($Z$4:Z85,"ANO"),"")</f>
        <v/>
      </c>
    </row>
    <row r="86" spans="1:27" x14ac:dyDescent="0.2">
      <c r="A86" s="35"/>
      <c r="B86" s="11"/>
      <c r="C86" s="35"/>
      <c r="D86" s="11"/>
      <c r="E86" s="35"/>
      <c r="F86" s="35"/>
      <c r="G86" s="35"/>
      <c r="H86" s="35"/>
      <c r="I86" s="11"/>
      <c r="J86" s="36"/>
      <c r="K86" s="36"/>
      <c r="L86" s="11"/>
      <c r="M86" s="35"/>
      <c r="N86" s="35"/>
      <c r="O86" s="36"/>
      <c r="P86" s="37" t="str">
        <f>IF($A86="","",COUNTIFS(Scénáře!$C$4:$C$503,$A86,Scénáře!$W$4:$W$503,"&lt;&gt;Zrušeno"))</f>
        <v/>
      </c>
      <c r="Q86" s="37" t="str">
        <f>IF($A86="","",COUNTIFS(Scénáře!$C$4:$C$503,$A86,Scénáře!$W$4:$W$503,"Schváleno"))</f>
        <v/>
      </c>
      <c r="R86" s="37" t="str">
        <f>IF($A86="","",SUMPRODUCT((Scénáře!$C$4:$C$503=$A86)*((Scénáře!$AA$4:$AA$503="Natočeno")+(Scénáře!$AA$4:$AA$503="Ve střihu")+(Scénáře!$AA$4:$AA$503="Sestříháno")+(Scénáře!$AA$4:$AA$503="Publikováno"))))</f>
        <v/>
      </c>
      <c r="S86" s="37" t="str">
        <f>IF($A86="","",COUNTIFS(Scénáře!$C$4:$C$503,$A86,Scénáře!$AF$4:$AF$503,"&gt;0"))</f>
        <v/>
      </c>
      <c r="T86" s="40" t="str">
        <f t="shared" si="10"/>
        <v/>
      </c>
      <c r="U86" s="37" t="str">
        <f t="shared" si="11"/>
        <v/>
      </c>
      <c r="V86" s="37" t="str">
        <f>IF($A86="","",SUMIFS(Scénáře!$AE$4:$AE$503,Scénáře!$C$4:$C$503,$A86))</f>
        <v/>
      </c>
      <c r="W86" s="37" t="str">
        <f>IF($A86="","",COUNTIFS(Publikace!$C$4:$C$503,$A86,Publikace!$G$4:$G$503,""))</f>
        <v/>
      </c>
      <c r="X86" s="39" t="str">
        <f t="shared" si="12"/>
        <v/>
      </c>
      <c r="Y86" s="39" t="str">
        <f t="shared" si="13"/>
        <v/>
      </c>
      <c r="Z86" s="37" t="str">
        <f t="shared" si="14"/>
        <v/>
      </c>
      <c r="AA86" s="37" t="str">
        <f>IF(Z86="ANO",COUNTIF($Z$4:Z86,"ANO"),"")</f>
        <v/>
      </c>
    </row>
    <row r="87" spans="1:27" x14ac:dyDescent="0.2">
      <c r="A87" s="35"/>
      <c r="B87" s="11"/>
      <c r="C87" s="35"/>
      <c r="D87" s="11"/>
      <c r="E87" s="35"/>
      <c r="F87" s="35"/>
      <c r="G87" s="35"/>
      <c r="H87" s="35"/>
      <c r="I87" s="11"/>
      <c r="J87" s="36"/>
      <c r="K87" s="36"/>
      <c r="L87" s="11"/>
      <c r="M87" s="35"/>
      <c r="N87" s="35"/>
      <c r="O87" s="36"/>
      <c r="P87" s="37" t="str">
        <f>IF($A87="","",COUNTIFS(Scénáře!$C$4:$C$503,$A87,Scénáře!$W$4:$W$503,"&lt;&gt;Zrušeno"))</f>
        <v/>
      </c>
      <c r="Q87" s="37" t="str">
        <f>IF($A87="","",COUNTIFS(Scénáře!$C$4:$C$503,$A87,Scénáře!$W$4:$W$503,"Schváleno"))</f>
        <v/>
      </c>
      <c r="R87" s="37" t="str">
        <f>IF($A87="","",SUMPRODUCT((Scénáře!$C$4:$C$503=$A87)*((Scénáře!$AA$4:$AA$503="Natočeno")+(Scénáře!$AA$4:$AA$503="Ve střihu")+(Scénáře!$AA$4:$AA$503="Sestříháno")+(Scénáře!$AA$4:$AA$503="Publikováno"))))</f>
        <v/>
      </c>
      <c r="S87" s="37" t="str">
        <f>IF($A87="","",COUNTIFS(Scénáře!$C$4:$C$503,$A87,Scénáře!$AF$4:$AF$503,"&gt;0"))</f>
        <v/>
      </c>
      <c r="T87" s="40" t="str">
        <f t="shared" si="10"/>
        <v/>
      </c>
      <c r="U87" s="37" t="str">
        <f t="shared" si="11"/>
        <v/>
      </c>
      <c r="V87" s="37" t="str">
        <f>IF($A87="","",SUMIFS(Scénáře!$AE$4:$AE$503,Scénáře!$C$4:$C$503,$A87))</f>
        <v/>
      </c>
      <c r="W87" s="37" t="str">
        <f>IF($A87="","",COUNTIFS(Publikace!$C$4:$C$503,$A87,Publikace!$G$4:$G$503,""))</f>
        <v/>
      </c>
      <c r="X87" s="39" t="str">
        <f t="shared" si="12"/>
        <v/>
      </c>
      <c r="Y87" s="39" t="str">
        <f t="shared" si="13"/>
        <v/>
      </c>
      <c r="Z87" s="37" t="str">
        <f t="shared" si="14"/>
        <v/>
      </c>
      <c r="AA87" s="37" t="str">
        <f>IF(Z87="ANO",COUNTIF($Z$4:Z87,"ANO"),"")</f>
        <v/>
      </c>
    </row>
    <row r="88" spans="1:27" x14ac:dyDescent="0.2">
      <c r="A88" s="35"/>
      <c r="B88" s="11"/>
      <c r="C88" s="35"/>
      <c r="D88" s="11"/>
      <c r="E88" s="35"/>
      <c r="F88" s="35"/>
      <c r="G88" s="35"/>
      <c r="H88" s="35"/>
      <c r="I88" s="11"/>
      <c r="J88" s="36"/>
      <c r="K88" s="36"/>
      <c r="L88" s="11"/>
      <c r="M88" s="35"/>
      <c r="N88" s="35"/>
      <c r="O88" s="36"/>
      <c r="P88" s="37" t="str">
        <f>IF($A88="","",COUNTIFS(Scénáře!$C$4:$C$503,$A88,Scénáře!$W$4:$W$503,"&lt;&gt;Zrušeno"))</f>
        <v/>
      </c>
      <c r="Q88" s="37" t="str">
        <f>IF($A88="","",COUNTIFS(Scénáře!$C$4:$C$503,$A88,Scénáře!$W$4:$W$503,"Schváleno"))</f>
        <v/>
      </c>
      <c r="R88" s="37" t="str">
        <f>IF($A88="","",SUMPRODUCT((Scénáře!$C$4:$C$503=$A88)*((Scénáře!$AA$4:$AA$503="Natočeno")+(Scénáře!$AA$4:$AA$503="Ve střihu")+(Scénáře!$AA$4:$AA$503="Sestříháno")+(Scénáře!$AA$4:$AA$503="Publikováno"))))</f>
        <v/>
      </c>
      <c r="S88" s="37" t="str">
        <f>IF($A88="","",COUNTIFS(Scénáře!$C$4:$C$503,$A88,Scénáře!$AF$4:$AF$503,"&gt;0"))</f>
        <v/>
      </c>
      <c r="T88" s="40" t="str">
        <f t="shared" si="10"/>
        <v/>
      </c>
      <c r="U88" s="37" t="str">
        <f t="shared" si="11"/>
        <v/>
      </c>
      <c r="V88" s="37" t="str">
        <f>IF($A88="","",SUMIFS(Scénáře!$AE$4:$AE$503,Scénáře!$C$4:$C$503,$A88))</f>
        <v/>
      </c>
      <c r="W88" s="37" t="str">
        <f>IF($A88="","",COUNTIFS(Publikace!$C$4:$C$503,$A88,Publikace!$G$4:$G$503,""))</f>
        <v/>
      </c>
      <c r="X88" s="39" t="str">
        <f t="shared" si="12"/>
        <v/>
      </c>
      <c r="Y88" s="39" t="str">
        <f t="shared" si="13"/>
        <v/>
      </c>
      <c r="Z88" s="37" t="str">
        <f t="shared" si="14"/>
        <v/>
      </c>
      <c r="AA88" s="37" t="str">
        <f>IF(Z88="ANO",COUNTIF($Z$4:Z88,"ANO"),"")</f>
        <v/>
      </c>
    </row>
    <row r="89" spans="1:27" x14ac:dyDescent="0.2">
      <c r="A89" s="35"/>
      <c r="B89" s="11"/>
      <c r="C89" s="35"/>
      <c r="D89" s="11"/>
      <c r="E89" s="35"/>
      <c r="F89" s="35"/>
      <c r="G89" s="35"/>
      <c r="H89" s="35"/>
      <c r="I89" s="11"/>
      <c r="J89" s="36"/>
      <c r="K89" s="36"/>
      <c r="L89" s="11"/>
      <c r="M89" s="35"/>
      <c r="N89" s="35"/>
      <c r="O89" s="36"/>
      <c r="P89" s="37" t="str">
        <f>IF($A89="","",COUNTIFS(Scénáře!$C$4:$C$503,$A89,Scénáře!$W$4:$W$503,"&lt;&gt;Zrušeno"))</f>
        <v/>
      </c>
      <c r="Q89" s="37" t="str">
        <f>IF($A89="","",COUNTIFS(Scénáře!$C$4:$C$503,$A89,Scénáře!$W$4:$W$503,"Schváleno"))</f>
        <v/>
      </c>
      <c r="R89" s="37" t="str">
        <f>IF($A89="","",SUMPRODUCT((Scénáře!$C$4:$C$503=$A89)*((Scénáře!$AA$4:$AA$503="Natočeno")+(Scénáře!$AA$4:$AA$503="Ve střihu")+(Scénáře!$AA$4:$AA$503="Sestříháno")+(Scénáře!$AA$4:$AA$503="Publikováno"))))</f>
        <v/>
      </c>
      <c r="S89" s="37" t="str">
        <f>IF($A89="","",COUNTIFS(Scénáře!$C$4:$C$503,$A89,Scénáře!$AF$4:$AF$503,"&gt;0"))</f>
        <v/>
      </c>
      <c r="T89" s="40" t="str">
        <f t="shared" si="10"/>
        <v/>
      </c>
      <c r="U89" s="37" t="str">
        <f t="shared" si="11"/>
        <v/>
      </c>
      <c r="V89" s="37" t="str">
        <f>IF($A89="","",SUMIFS(Scénáře!$AE$4:$AE$503,Scénáře!$C$4:$C$503,$A89))</f>
        <v/>
      </c>
      <c r="W89" s="37" t="str">
        <f>IF($A89="","",COUNTIFS(Publikace!$C$4:$C$503,$A89,Publikace!$G$4:$G$503,""))</f>
        <v/>
      </c>
      <c r="X89" s="39" t="str">
        <f t="shared" si="12"/>
        <v/>
      </c>
      <c r="Y89" s="39" t="str">
        <f t="shared" si="13"/>
        <v/>
      </c>
      <c r="Z89" s="37" t="str">
        <f t="shared" si="14"/>
        <v/>
      </c>
      <c r="AA89" s="37" t="str">
        <f>IF(Z89="ANO",COUNTIF($Z$4:Z89,"ANO"),"")</f>
        <v/>
      </c>
    </row>
    <row r="90" spans="1:27" x14ac:dyDescent="0.2">
      <c r="A90" s="35"/>
      <c r="B90" s="11"/>
      <c r="C90" s="35"/>
      <c r="D90" s="11"/>
      <c r="E90" s="35"/>
      <c r="F90" s="35"/>
      <c r="G90" s="35"/>
      <c r="H90" s="35"/>
      <c r="I90" s="11"/>
      <c r="J90" s="36"/>
      <c r="K90" s="36"/>
      <c r="L90" s="11"/>
      <c r="M90" s="35"/>
      <c r="N90" s="35"/>
      <c r="O90" s="36"/>
      <c r="P90" s="37" t="str">
        <f>IF($A90="","",COUNTIFS(Scénáře!$C$4:$C$503,$A90,Scénáře!$W$4:$W$503,"&lt;&gt;Zrušeno"))</f>
        <v/>
      </c>
      <c r="Q90" s="37" t="str">
        <f>IF($A90="","",COUNTIFS(Scénáře!$C$4:$C$503,$A90,Scénáře!$W$4:$W$503,"Schváleno"))</f>
        <v/>
      </c>
      <c r="R90" s="37" t="str">
        <f>IF($A90="","",SUMPRODUCT((Scénáře!$C$4:$C$503=$A90)*((Scénáře!$AA$4:$AA$503="Natočeno")+(Scénáře!$AA$4:$AA$503="Ve střihu")+(Scénáře!$AA$4:$AA$503="Sestříháno")+(Scénáře!$AA$4:$AA$503="Publikováno"))))</f>
        <v/>
      </c>
      <c r="S90" s="37" t="str">
        <f>IF($A90="","",COUNTIFS(Scénáře!$C$4:$C$503,$A90,Scénáře!$AF$4:$AF$503,"&gt;0"))</f>
        <v/>
      </c>
      <c r="T90" s="40" t="str">
        <f t="shared" si="10"/>
        <v/>
      </c>
      <c r="U90" s="37" t="str">
        <f t="shared" si="11"/>
        <v/>
      </c>
      <c r="V90" s="37" t="str">
        <f>IF($A90="","",SUMIFS(Scénáře!$AE$4:$AE$503,Scénáře!$C$4:$C$503,$A90))</f>
        <v/>
      </c>
      <c r="W90" s="37" t="str">
        <f>IF($A90="","",COUNTIFS(Publikace!$C$4:$C$503,$A90,Publikace!$G$4:$G$503,""))</f>
        <v/>
      </c>
      <c r="X90" s="39" t="str">
        <f t="shared" si="12"/>
        <v/>
      </c>
      <c r="Y90" s="39" t="str">
        <f t="shared" si="13"/>
        <v/>
      </c>
      <c r="Z90" s="37" t="str">
        <f t="shared" si="14"/>
        <v/>
      </c>
      <c r="AA90" s="37" t="str">
        <f>IF(Z90="ANO",COUNTIF($Z$4:Z90,"ANO"),"")</f>
        <v/>
      </c>
    </row>
    <row r="91" spans="1:27" x14ac:dyDescent="0.2">
      <c r="A91" s="35"/>
      <c r="B91" s="11"/>
      <c r="C91" s="35"/>
      <c r="D91" s="11"/>
      <c r="E91" s="35"/>
      <c r="F91" s="35"/>
      <c r="G91" s="35"/>
      <c r="H91" s="35"/>
      <c r="I91" s="11"/>
      <c r="J91" s="36"/>
      <c r="K91" s="36"/>
      <c r="L91" s="11"/>
      <c r="M91" s="35"/>
      <c r="N91" s="35"/>
      <c r="O91" s="36"/>
      <c r="P91" s="37" t="str">
        <f>IF($A91="","",COUNTIFS(Scénáře!$C$4:$C$503,$A91,Scénáře!$W$4:$W$503,"&lt;&gt;Zrušeno"))</f>
        <v/>
      </c>
      <c r="Q91" s="37" t="str">
        <f>IF($A91="","",COUNTIFS(Scénáře!$C$4:$C$503,$A91,Scénáře!$W$4:$W$503,"Schváleno"))</f>
        <v/>
      </c>
      <c r="R91" s="37" t="str">
        <f>IF($A91="","",SUMPRODUCT((Scénáře!$C$4:$C$503=$A91)*((Scénáře!$AA$4:$AA$503="Natočeno")+(Scénáře!$AA$4:$AA$503="Ve střihu")+(Scénáře!$AA$4:$AA$503="Sestříháno")+(Scénáře!$AA$4:$AA$503="Publikováno"))))</f>
        <v/>
      </c>
      <c r="S91" s="37" t="str">
        <f>IF($A91="","",COUNTIFS(Scénáře!$C$4:$C$503,$A91,Scénáře!$AF$4:$AF$503,"&gt;0"))</f>
        <v/>
      </c>
      <c r="T91" s="40" t="str">
        <f t="shared" si="10"/>
        <v/>
      </c>
      <c r="U91" s="37" t="str">
        <f t="shared" si="11"/>
        <v/>
      </c>
      <c r="V91" s="37" t="str">
        <f>IF($A91="","",SUMIFS(Scénáře!$AE$4:$AE$503,Scénáře!$C$4:$C$503,$A91))</f>
        <v/>
      </c>
      <c r="W91" s="37" t="str">
        <f>IF($A91="","",COUNTIFS(Publikace!$C$4:$C$503,$A91,Publikace!$G$4:$G$503,""))</f>
        <v/>
      </c>
      <c r="X91" s="39" t="str">
        <f t="shared" si="12"/>
        <v/>
      </c>
      <c r="Y91" s="39" t="str">
        <f t="shared" si="13"/>
        <v/>
      </c>
      <c r="Z91" s="37" t="str">
        <f t="shared" si="14"/>
        <v/>
      </c>
      <c r="AA91" s="37" t="str">
        <f>IF(Z91="ANO",COUNTIF($Z$4:Z91,"ANO"),"")</f>
        <v/>
      </c>
    </row>
    <row r="92" spans="1:27" x14ac:dyDescent="0.2">
      <c r="A92" s="35"/>
      <c r="B92" s="11"/>
      <c r="C92" s="35"/>
      <c r="D92" s="11"/>
      <c r="E92" s="35"/>
      <c r="F92" s="35"/>
      <c r="G92" s="35"/>
      <c r="H92" s="35"/>
      <c r="I92" s="11"/>
      <c r="J92" s="36"/>
      <c r="K92" s="36"/>
      <c r="L92" s="11"/>
      <c r="M92" s="35"/>
      <c r="N92" s="35"/>
      <c r="O92" s="36"/>
      <c r="P92" s="37" t="str">
        <f>IF($A92="","",COUNTIFS(Scénáře!$C$4:$C$503,$A92,Scénáře!$W$4:$W$503,"&lt;&gt;Zrušeno"))</f>
        <v/>
      </c>
      <c r="Q92" s="37" t="str">
        <f>IF($A92="","",COUNTIFS(Scénáře!$C$4:$C$503,$A92,Scénáře!$W$4:$W$503,"Schváleno"))</f>
        <v/>
      </c>
      <c r="R92" s="37" t="str">
        <f>IF($A92="","",SUMPRODUCT((Scénáře!$C$4:$C$503=$A92)*((Scénáře!$AA$4:$AA$503="Natočeno")+(Scénáře!$AA$4:$AA$503="Ve střihu")+(Scénáře!$AA$4:$AA$503="Sestříháno")+(Scénáře!$AA$4:$AA$503="Publikováno"))))</f>
        <v/>
      </c>
      <c r="S92" s="37" t="str">
        <f>IF($A92="","",COUNTIFS(Scénáře!$C$4:$C$503,$A92,Scénáře!$AF$4:$AF$503,"&gt;0"))</f>
        <v/>
      </c>
      <c r="T92" s="40" t="str">
        <f t="shared" si="10"/>
        <v/>
      </c>
      <c r="U92" s="37" t="str">
        <f t="shared" si="11"/>
        <v/>
      </c>
      <c r="V92" s="37" t="str">
        <f>IF($A92="","",SUMIFS(Scénáře!$AE$4:$AE$503,Scénáře!$C$4:$C$503,$A92))</f>
        <v/>
      </c>
      <c r="W92" s="37" t="str">
        <f>IF($A92="","",COUNTIFS(Publikace!$C$4:$C$503,$A92,Publikace!$G$4:$G$503,""))</f>
        <v/>
      </c>
      <c r="X92" s="39" t="str">
        <f t="shared" si="12"/>
        <v/>
      </c>
      <c r="Y92" s="39" t="str">
        <f t="shared" si="13"/>
        <v/>
      </c>
      <c r="Z92" s="37" t="str">
        <f t="shared" si="14"/>
        <v/>
      </c>
      <c r="AA92" s="37" t="str">
        <f>IF(Z92="ANO",COUNTIF($Z$4:Z92,"ANO"),"")</f>
        <v/>
      </c>
    </row>
    <row r="93" spans="1:27" x14ac:dyDescent="0.2">
      <c r="A93" s="35"/>
      <c r="B93" s="11"/>
      <c r="C93" s="35"/>
      <c r="D93" s="11"/>
      <c r="E93" s="35"/>
      <c r="F93" s="35"/>
      <c r="G93" s="35"/>
      <c r="H93" s="35"/>
      <c r="I93" s="11"/>
      <c r="J93" s="36"/>
      <c r="K93" s="36"/>
      <c r="L93" s="11"/>
      <c r="M93" s="35"/>
      <c r="N93" s="35"/>
      <c r="O93" s="36"/>
      <c r="P93" s="37" t="str">
        <f>IF($A93="","",COUNTIFS(Scénáře!$C$4:$C$503,$A93,Scénáře!$W$4:$W$503,"&lt;&gt;Zrušeno"))</f>
        <v/>
      </c>
      <c r="Q93" s="37" t="str">
        <f>IF($A93="","",COUNTIFS(Scénáře!$C$4:$C$503,$A93,Scénáře!$W$4:$W$503,"Schváleno"))</f>
        <v/>
      </c>
      <c r="R93" s="37" t="str">
        <f>IF($A93="","",SUMPRODUCT((Scénáře!$C$4:$C$503=$A93)*((Scénáře!$AA$4:$AA$503="Natočeno")+(Scénáře!$AA$4:$AA$503="Ve střihu")+(Scénáře!$AA$4:$AA$503="Sestříháno")+(Scénáře!$AA$4:$AA$503="Publikováno"))))</f>
        <v/>
      </c>
      <c r="S93" s="37" t="str">
        <f>IF($A93="","",COUNTIFS(Scénáře!$C$4:$C$503,$A93,Scénáře!$AF$4:$AF$503,"&gt;0"))</f>
        <v/>
      </c>
      <c r="T93" s="40" t="str">
        <f t="shared" si="10"/>
        <v/>
      </c>
      <c r="U93" s="37" t="str">
        <f t="shared" si="11"/>
        <v/>
      </c>
      <c r="V93" s="37" t="str">
        <f>IF($A93="","",SUMIFS(Scénáře!$AE$4:$AE$503,Scénáře!$C$4:$C$503,$A93))</f>
        <v/>
      </c>
      <c r="W93" s="37" t="str">
        <f>IF($A93="","",COUNTIFS(Publikace!$C$4:$C$503,$A93,Publikace!$G$4:$G$503,""))</f>
        <v/>
      </c>
      <c r="X93" s="39" t="str">
        <f t="shared" si="12"/>
        <v/>
      </c>
      <c r="Y93" s="39" t="str">
        <f t="shared" si="13"/>
        <v/>
      </c>
      <c r="Z93" s="37" t="str">
        <f t="shared" si="14"/>
        <v/>
      </c>
      <c r="AA93" s="37" t="str">
        <f>IF(Z93="ANO",COUNTIF($Z$4:Z93,"ANO"),"")</f>
        <v/>
      </c>
    </row>
    <row r="94" spans="1:27" x14ac:dyDescent="0.2">
      <c r="A94" s="35"/>
      <c r="B94" s="11"/>
      <c r="C94" s="35"/>
      <c r="D94" s="11"/>
      <c r="E94" s="35"/>
      <c r="F94" s="35"/>
      <c r="G94" s="35"/>
      <c r="H94" s="35"/>
      <c r="I94" s="11"/>
      <c r="J94" s="36"/>
      <c r="K94" s="36"/>
      <c r="L94" s="11"/>
      <c r="M94" s="35"/>
      <c r="N94" s="35"/>
      <c r="O94" s="36"/>
      <c r="P94" s="37" t="str">
        <f>IF($A94="","",COUNTIFS(Scénáře!$C$4:$C$503,$A94,Scénáře!$W$4:$W$503,"&lt;&gt;Zrušeno"))</f>
        <v/>
      </c>
      <c r="Q94" s="37" t="str">
        <f>IF($A94="","",COUNTIFS(Scénáře!$C$4:$C$503,$A94,Scénáře!$W$4:$W$503,"Schváleno"))</f>
        <v/>
      </c>
      <c r="R94" s="37" t="str">
        <f>IF($A94="","",SUMPRODUCT((Scénáře!$C$4:$C$503=$A94)*((Scénáře!$AA$4:$AA$503="Natočeno")+(Scénáře!$AA$4:$AA$503="Ve střihu")+(Scénáře!$AA$4:$AA$503="Sestříháno")+(Scénáře!$AA$4:$AA$503="Publikováno"))))</f>
        <v/>
      </c>
      <c r="S94" s="37" t="str">
        <f>IF($A94="","",COUNTIFS(Scénáře!$C$4:$C$503,$A94,Scénáře!$AF$4:$AF$503,"&gt;0"))</f>
        <v/>
      </c>
      <c r="T94" s="40" t="str">
        <f t="shared" si="10"/>
        <v/>
      </c>
      <c r="U94" s="37" t="str">
        <f t="shared" si="11"/>
        <v/>
      </c>
      <c r="V94" s="37" t="str">
        <f>IF($A94="","",SUMIFS(Scénáře!$AE$4:$AE$503,Scénáře!$C$4:$C$503,$A94))</f>
        <v/>
      </c>
      <c r="W94" s="37" t="str">
        <f>IF($A94="","",COUNTIFS(Publikace!$C$4:$C$503,$A94,Publikace!$G$4:$G$503,""))</f>
        <v/>
      </c>
      <c r="X94" s="39" t="str">
        <f t="shared" si="12"/>
        <v/>
      </c>
      <c r="Y94" s="39" t="str">
        <f t="shared" si="13"/>
        <v/>
      </c>
      <c r="Z94" s="37" t="str">
        <f t="shared" si="14"/>
        <v/>
      </c>
      <c r="AA94" s="37" t="str">
        <f>IF(Z94="ANO",COUNTIF($Z$4:Z94,"ANO"),"")</f>
        <v/>
      </c>
    </row>
    <row r="95" spans="1:27" x14ac:dyDescent="0.2">
      <c r="A95" s="35"/>
      <c r="B95" s="11"/>
      <c r="C95" s="35"/>
      <c r="D95" s="11"/>
      <c r="E95" s="35"/>
      <c r="F95" s="35"/>
      <c r="G95" s="35"/>
      <c r="H95" s="35"/>
      <c r="I95" s="11"/>
      <c r="J95" s="36"/>
      <c r="K95" s="36"/>
      <c r="L95" s="11"/>
      <c r="M95" s="35"/>
      <c r="N95" s="35"/>
      <c r="O95" s="36"/>
      <c r="P95" s="37" t="str">
        <f>IF($A95="","",COUNTIFS(Scénáře!$C$4:$C$503,$A95,Scénáře!$W$4:$W$503,"&lt;&gt;Zrušeno"))</f>
        <v/>
      </c>
      <c r="Q95" s="37" t="str">
        <f>IF($A95="","",COUNTIFS(Scénáře!$C$4:$C$503,$A95,Scénáře!$W$4:$W$503,"Schváleno"))</f>
        <v/>
      </c>
      <c r="R95" s="37" t="str">
        <f>IF($A95="","",SUMPRODUCT((Scénáře!$C$4:$C$503=$A95)*((Scénáře!$AA$4:$AA$503="Natočeno")+(Scénáře!$AA$4:$AA$503="Ve střihu")+(Scénáře!$AA$4:$AA$503="Sestříháno")+(Scénáře!$AA$4:$AA$503="Publikováno"))))</f>
        <v/>
      </c>
      <c r="S95" s="37" t="str">
        <f>IF($A95="","",COUNTIFS(Scénáře!$C$4:$C$503,$A95,Scénáře!$AF$4:$AF$503,"&gt;0"))</f>
        <v/>
      </c>
      <c r="T95" s="40" t="str">
        <f t="shared" si="10"/>
        <v/>
      </c>
      <c r="U95" s="37" t="str">
        <f t="shared" si="11"/>
        <v/>
      </c>
      <c r="V95" s="37" t="str">
        <f>IF($A95="","",SUMIFS(Scénáře!$AE$4:$AE$503,Scénáře!$C$4:$C$503,$A95))</f>
        <v/>
      </c>
      <c r="W95" s="37" t="str">
        <f>IF($A95="","",COUNTIFS(Publikace!$C$4:$C$503,$A95,Publikace!$G$4:$G$503,""))</f>
        <v/>
      </c>
      <c r="X95" s="39" t="str">
        <f t="shared" si="12"/>
        <v/>
      </c>
      <c r="Y95" s="39" t="str">
        <f t="shared" si="13"/>
        <v/>
      </c>
      <c r="Z95" s="37" t="str">
        <f t="shared" si="14"/>
        <v/>
      </c>
      <c r="AA95" s="37" t="str">
        <f>IF(Z95="ANO",COUNTIF($Z$4:Z95,"ANO"),"")</f>
        <v/>
      </c>
    </row>
    <row r="96" spans="1:27" x14ac:dyDescent="0.2">
      <c r="A96" s="35"/>
      <c r="B96" s="11"/>
      <c r="C96" s="35"/>
      <c r="D96" s="11"/>
      <c r="E96" s="35"/>
      <c r="F96" s="35"/>
      <c r="G96" s="35"/>
      <c r="H96" s="35"/>
      <c r="I96" s="11"/>
      <c r="J96" s="36"/>
      <c r="K96" s="36"/>
      <c r="L96" s="11"/>
      <c r="M96" s="35"/>
      <c r="N96" s="35"/>
      <c r="O96" s="36"/>
      <c r="P96" s="37" t="str">
        <f>IF($A96="","",COUNTIFS(Scénáře!$C$4:$C$503,$A96,Scénáře!$W$4:$W$503,"&lt;&gt;Zrušeno"))</f>
        <v/>
      </c>
      <c r="Q96" s="37" t="str">
        <f>IF($A96="","",COUNTIFS(Scénáře!$C$4:$C$503,$A96,Scénáře!$W$4:$W$503,"Schváleno"))</f>
        <v/>
      </c>
      <c r="R96" s="37" t="str">
        <f>IF($A96="","",SUMPRODUCT((Scénáře!$C$4:$C$503=$A96)*((Scénáře!$AA$4:$AA$503="Natočeno")+(Scénáře!$AA$4:$AA$503="Ve střihu")+(Scénáře!$AA$4:$AA$503="Sestříháno")+(Scénáře!$AA$4:$AA$503="Publikováno"))))</f>
        <v/>
      </c>
      <c r="S96" s="37" t="str">
        <f>IF($A96="","",COUNTIFS(Scénáře!$C$4:$C$503,$A96,Scénáře!$AF$4:$AF$503,"&gt;0"))</f>
        <v/>
      </c>
      <c r="T96" s="40" t="str">
        <f t="shared" si="10"/>
        <v/>
      </c>
      <c r="U96" s="37" t="str">
        <f t="shared" si="11"/>
        <v/>
      </c>
      <c r="V96" s="37" t="str">
        <f>IF($A96="","",SUMIFS(Scénáře!$AE$4:$AE$503,Scénáře!$C$4:$C$503,$A96))</f>
        <v/>
      </c>
      <c r="W96" s="37" t="str">
        <f>IF($A96="","",COUNTIFS(Publikace!$C$4:$C$503,$A96,Publikace!$G$4:$G$503,""))</f>
        <v/>
      </c>
      <c r="X96" s="39" t="str">
        <f t="shared" si="12"/>
        <v/>
      </c>
      <c r="Y96" s="39" t="str">
        <f t="shared" si="13"/>
        <v/>
      </c>
      <c r="Z96" s="37" t="str">
        <f t="shared" si="14"/>
        <v/>
      </c>
      <c r="AA96" s="37" t="str">
        <f>IF(Z96="ANO",COUNTIF($Z$4:Z96,"ANO"),"")</f>
        <v/>
      </c>
    </row>
    <row r="97" spans="1:27" x14ac:dyDescent="0.2">
      <c r="A97" s="35"/>
      <c r="B97" s="11"/>
      <c r="C97" s="35"/>
      <c r="D97" s="11"/>
      <c r="E97" s="35"/>
      <c r="F97" s="35"/>
      <c r="G97" s="35"/>
      <c r="H97" s="35"/>
      <c r="I97" s="11"/>
      <c r="J97" s="36"/>
      <c r="K97" s="36"/>
      <c r="L97" s="11"/>
      <c r="M97" s="35"/>
      <c r="N97" s="35"/>
      <c r="O97" s="36"/>
      <c r="P97" s="37" t="str">
        <f>IF($A97="","",COUNTIFS(Scénáře!$C$4:$C$503,$A97,Scénáře!$W$4:$W$503,"&lt;&gt;Zrušeno"))</f>
        <v/>
      </c>
      <c r="Q97" s="37" t="str">
        <f>IF($A97="","",COUNTIFS(Scénáře!$C$4:$C$503,$A97,Scénáře!$W$4:$W$503,"Schváleno"))</f>
        <v/>
      </c>
      <c r="R97" s="37" t="str">
        <f>IF($A97="","",SUMPRODUCT((Scénáře!$C$4:$C$503=$A97)*((Scénáře!$AA$4:$AA$503="Natočeno")+(Scénáře!$AA$4:$AA$503="Ve střihu")+(Scénáře!$AA$4:$AA$503="Sestříháno")+(Scénáře!$AA$4:$AA$503="Publikováno"))))</f>
        <v/>
      </c>
      <c r="S97" s="37" t="str">
        <f>IF($A97="","",COUNTIFS(Scénáře!$C$4:$C$503,$A97,Scénáře!$AF$4:$AF$503,"&gt;0"))</f>
        <v/>
      </c>
      <c r="T97" s="40" t="str">
        <f t="shared" si="10"/>
        <v/>
      </c>
      <c r="U97" s="37" t="str">
        <f t="shared" si="11"/>
        <v/>
      </c>
      <c r="V97" s="37" t="str">
        <f>IF($A97="","",SUMIFS(Scénáře!$AE$4:$AE$503,Scénáře!$C$4:$C$503,$A97))</f>
        <v/>
      </c>
      <c r="W97" s="37" t="str">
        <f>IF($A97="","",COUNTIFS(Publikace!$C$4:$C$503,$A97,Publikace!$G$4:$G$503,""))</f>
        <v/>
      </c>
      <c r="X97" s="39" t="str">
        <f t="shared" si="12"/>
        <v/>
      </c>
      <c r="Y97" s="39" t="str">
        <f t="shared" si="13"/>
        <v/>
      </c>
      <c r="Z97" s="37" t="str">
        <f t="shared" si="14"/>
        <v/>
      </c>
      <c r="AA97" s="37" t="str">
        <f>IF(Z97="ANO",COUNTIF($Z$4:Z97,"ANO"),"")</f>
        <v/>
      </c>
    </row>
    <row r="98" spans="1:27" x14ac:dyDescent="0.2">
      <c r="A98" s="35"/>
      <c r="B98" s="11"/>
      <c r="C98" s="35"/>
      <c r="D98" s="11"/>
      <c r="E98" s="35"/>
      <c r="F98" s="35"/>
      <c r="G98" s="35"/>
      <c r="H98" s="35"/>
      <c r="I98" s="11"/>
      <c r="J98" s="36"/>
      <c r="K98" s="36"/>
      <c r="L98" s="11"/>
      <c r="M98" s="35"/>
      <c r="N98" s="35"/>
      <c r="O98" s="36"/>
      <c r="P98" s="37" t="str">
        <f>IF($A98="","",COUNTIFS(Scénáře!$C$4:$C$503,$A98,Scénáře!$W$4:$W$503,"&lt;&gt;Zrušeno"))</f>
        <v/>
      </c>
      <c r="Q98" s="37" t="str">
        <f>IF($A98="","",COUNTIFS(Scénáře!$C$4:$C$503,$A98,Scénáře!$W$4:$W$503,"Schváleno"))</f>
        <v/>
      </c>
      <c r="R98" s="37" t="str">
        <f>IF($A98="","",SUMPRODUCT((Scénáře!$C$4:$C$503=$A98)*((Scénáře!$AA$4:$AA$503="Natočeno")+(Scénáře!$AA$4:$AA$503="Ve střihu")+(Scénáře!$AA$4:$AA$503="Sestříháno")+(Scénáře!$AA$4:$AA$503="Publikováno"))))</f>
        <v/>
      </c>
      <c r="S98" s="37" t="str">
        <f>IF($A98="","",COUNTIFS(Scénáře!$C$4:$C$503,$A98,Scénáře!$AF$4:$AF$503,"&gt;0"))</f>
        <v/>
      </c>
      <c r="T98" s="40" t="str">
        <f t="shared" si="10"/>
        <v/>
      </c>
      <c r="U98" s="37" t="str">
        <f t="shared" si="11"/>
        <v/>
      </c>
      <c r="V98" s="37" t="str">
        <f>IF($A98="","",SUMIFS(Scénáře!$AE$4:$AE$503,Scénáře!$C$4:$C$503,$A98))</f>
        <v/>
      </c>
      <c r="W98" s="37" t="str">
        <f>IF($A98="","",COUNTIFS(Publikace!$C$4:$C$503,$A98,Publikace!$G$4:$G$503,""))</f>
        <v/>
      </c>
      <c r="X98" s="39" t="str">
        <f t="shared" si="12"/>
        <v/>
      </c>
      <c r="Y98" s="39" t="str">
        <f t="shared" si="13"/>
        <v/>
      </c>
      <c r="Z98" s="37" t="str">
        <f t="shared" si="14"/>
        <v/>
      </c>
      <c r="AA98" s="37" t="str">
        <f>IF(Z98="ANO",COUNTIF($Z$4:Z98,"ANO"),"")</f>
        <v/>
      </c>
    </row>
    <row r="99" spans="1:27" x14ac:dyDescent="0.2">
      <c r="A99" s="35"/>
      <c r="B99" s="11"/>
      <c r="C99" s="35"/>
      <c r="D99" s="11"/>
      <c r="E99" s="35"/>
      <c r="F99" s="35"/>
      <c r="G99" s="35"/>
      <c r="H99" s="35"/>
      <c r="I99" s="11"/>
      <c r="J99" s="36"/>
      <c r="K99" s="36"/>
      <c r="L99" s="11"/>
      <c r="M99" s="35"/>
      <c r="N99" s="35"/>
      <c r="O99" s="36"/>
      <c r="P99" s="37" t="str">
        <f>IF($A99="","",COUNTIFS(Scénáře!$C$4:$C$503,$A99,Scénáře!$W$4:$W$503,"&lt;&gt;Zrušeno"))</f>
        <v/>
      </c>
      <c r="Q99" s="37" t="str">
        <f>IF($A99="","",COUNTIFS(Scénáře!$C$4:$C$503,$A99,Scénáře!$W$4:$W$503,"Schváleno"))</f>
        <v/>
      </c>
      <c r="R99" s="37" t="str">
        <f>IF($A99="","",SUMPRODUCT((Scénáře!$C$4:$C$503=$A99)*((Scénáře!$AA$4:$AA$503="Natočeno")+(Scénáře!$AA$4:$AA$503="Ve střihu")+(Scénáře!$AA$4:$AA$503="Sestříháno")+(Scénáře!$AA$4:$AA$503="Publikováno"))))</f>
        <v/>
      </c>
      <c r="S99" s="37" t="str">
        <f>IF($A99="","",COUNTIFS(Scénáře!$C$4:$C$503,$A99,Scénáře!$AF$4:$AF$503,"&gt;0"))</f>
        <v/>
      </c>
      <c r="T99" s="40" t="str">
        <f t="shared" si="10"/>
        <v/>
      </c>
      <c r="U99" s="37" t="str">
        <f t="shared" si="11"/>
        <v/>
      </c>
      <c r="V99" s="37" t="str">
        <f>IF($A99="","",SUMIFS(Scénáře!$AE$4:$AE$503,Scénáře!$C$4:$C$503,$A99))</f>
        <v/>
      </c>
      <c r="W99" s="37" t="str">
        <f>IF($A99="","",COUNTIFS(Publikace!$C$4:$C$503,$A99,Publikace!$G$4:$G$503,""))</f>
        <v/>
      </c>
      <c r="X99" s="39" t="str">
        <f t="shared" si="12"/>
        <v/>
      </c>
      <c r="Y99" s="39" t="str">
        <f t="shared" si="13"/>
        <v/>
      </c>
      <c r="Z99" s="37" t="str">
        <f t="shared" si="14"/>
        <v/>
      </c>
      <c r="AA99" s="37" t="str">
        <f>IF(Z99="ANO",COUNTIF($Z$4:Z99,"ANO"),"")</f>
        <v/>
      </c>
    </row>
    <row r="100" spans="1:27" x14ac:dyDescent="0.2">
      <c r="A100" s="35"/>
      <c r="B100" s="11"/>
      <c r="C100" s="35"/>
      <c r="D100" s="11"/>
      <c r="E100" s="35"/>
      <c r="F100" s="35"/>
      <c r="G100" s="35"/>
      <c r="H100" s="35"/>
      <c r="I100" s="11"/>
      <c r="J100" s="36"/>
      <c r="K100" s="36"/>
      <c r="L100" s="11"/>
      <c r="M100" s="35"/>
      <c r="N100" s="35"/>
      <c r="O100" s="36"/>
      <c r="P100" s="37" t="str">
        <f>IF($A100="","",COUNTIFS(Scénáře!$C$4:$C$503,$A100,Scénáře!$W$4:$W$503,"&lt;&gt;Zrušeno"))</f>
        <v/>
      </c>
      <c r="Q100" s="37" t="str">
        <f>IF($A100="","",COUNTIFS(Scénáře!$C$4:$C$503,$A100,Scénáře!$W$4:$W$503,"Schváleno"))</f>
        <v/>
      </c>
      <c r="R100" s="37" t="str">
        <f>IF($A100="","",SUMPRODUCT((Scénáře!$C$4:$C$503=$A100)*((Scénáře!$AA$4:$AA$503="Natočeno")+(Scénáře!$AA$4:$AA$503="Ve střihu")+(Scénáře!$AA$4:$AA$503="Sestříháno")+(Scénáře!$AA$4:$AA$503="Publikováno"))))</f>
        <v/>
      </c>
      <c r="S100" s="37" t="str">
        <f>IF($A100="","",COUNTIFS(Scénáře!$C$4:$C$503,$A100,Scénáře!$AF$4:$AF$503,"&gt;0"))</f>
        <v/>
      </c>
      <c r="T100" s="40" t="str">
        <f t="shared" ref="T100:T131" si="15">IF($A100="","",IF(N(G100)&gt;0,S100/G100,""))</f>
        <v/>
      </c>
      <c r="U100" s="37" t="str">
        <f t="shared" si="11"/>
        <v/>
      </c>
      <c r="V100" s="37" t="str">
        <f>IF($A100="","",SUMIFS(Scénáře!$AE$4:$AE$503,Scénáře!$C$4:$C$503,$A100))</f>
        <v/>
      </c>
      <c r="W100" s="37" t="str">
        <f>IF($A100="","",COUNTIFS(Publikace!$C$4:$C$503,$A100,Publikace!$G$4:$G$503,""))</f>
        <v/>
      </c>
      <c r="X100" s="39" t="str">
        <f t="shared" ref="X100:X131" si="16">IF($A100="","",IF(N(G100)=0,"Doplňte plánovaný počet dílů",TRIM(IF(S100&lt;G100,"Publikováno "&amp;S100&amp;" z "&amp;G100&amp;". ","")&amp;IF(V100&gt;0,"Otevřené připomínky: "&amp;V100&amp;". ","")&amp;IF(W100&gt;0,"Chybí odkazy: "&amp;W100&amp;". ",""))&amp;IF(AND(S100&gt;=G100,V100=0,W100=0),"ANO – podmínky splněny","")))</f>
        <v/>
      </c>
      <c r="Y100" s="39" t="str">
        <f t="shared" ref="Y100:Y131" si="17">IF($A100="","",TRIM(IF(AND(M100="Uzavřená",OR(N100="",O100="")),"Uzavřeno bez potvrzení (kdo / kdy). ","")&amp;IF(AND(M100="Uzavřená",LEFT(X100,3)&lt;&gt;"ANO"),"Uzavřeno, ale podmínky nejsou splněny. ","")&amp;IF(AND(H100&lt;&gt;"",G100&lt;&gt;H100,I100=""),"Změněn rozsah bez uvedení důvodu. ","")&amp;IF(P100&gt;N(G100),"Více dílů než plán. ","")))</f>
        <v/>
      </c>
      <c r="Z100" s="37" t="str">
        <f t="shared" si="14"/>
        <v/>
      </c>
      <c r="AA100" s="37" t="str">
        <f>IF(Z100="ANO",COUNTIF($Z$4:Z100,"ANO"),"")</f>
        <v/>
      </c>
    </row>
    <row r="101" spans="1:27" x14ac:dyDescent="0.2">
      <c r="A101" s="35"/>
      <c r="B101" s="11"/>
      <c r="C101" s="35"/>
      <c r="D101" s="11"/>
      <c r="E101" s="35"/>
      <c r="F101" s="35"/>
      <c r="G101" s="35"/>
      <c r="H101" s="35"/>
      <c r="I101" s="11"/>
      <c r="J101" s="36"/>
      <c r="K101" s="36"/>
      <c r="L101" s="11"/>
      <c r="M101" s="35"/>
      <c r="N101" s="35"/>
      <c r="O101" s="36"/>
      <c r="P101" s="37" t="str">
        <f>IF($A101="","",COUNTIFS(Scénáře!$C$4:$C$503,$A101,Scénáře!$W$4:$W$503,"&lt;&gt;Zrušeno"))</f>
        <v/>
      </c>
      <c r="Q101" s="37" t="str">
        <f>IF($A101="","",COUNTIFS(Scénáře!$C$4:$C$503,$A101,Scénáře!$W$4:$W$503,"Schváleno"))</f>
        <v/>
      </c>
      <c r="R101" s="37" t="str">
        <f>IF($A101="","",SUMPRODUCT((Scénáře!$C$4:$C$503=$A101)*((Scénáře!$AA$4:$AA$503="Natočeno")+(Scénáře!$AA$4:$AA$503="Ve střihu")+(Scénáře!$AA$4:$AA$503="Sestříháno")+(Scénáře!$AA$4:$AA$503="Publikováno"))))</f>
        <v/>
      </c>
      <c r="S101" s="37" t="str">
        <f>IF($A101="","",COUNTIFS(Scénáře!$C$4:$C$503,$A101,Scénáře!$AF$4:$AF$503,"&gt;0"))</f>
        <v/>
      </c>
      <c r="T101" s="40" t="str">
        <f t="shared" si="15"/>
        <v/>
      </c>
      <c r="U101" s="37" t="str">
        <f t="shared" si="11"/>
        <v/>
      </c>
      <c r="V101" s="37" t="str">
        <f>IF($A101="","",SUMIFS(Scénáře!$AE$4:$AE$503,Scénáře!$C$4:$C$503,$A101))</f>
        <v/>
      </c>
      <c r="W101" s="37" t="str">
        <f>IF($A101="","",COUNTIFS(Publikace!$C$4:$C$503,$A101,Publikace!$G$4:$G$503,""))</f>
        <v/>
      </c>
      <c r="X101" s="39" t="str">
        <f t="shared" si="16"/>
        <v/>
      </c>
      <c r="Y101" s="39" t="str">
        <f t="shared" si="17"/>
        <v/>
      </c>
      <c r="Z101" s="37" t="str">
        <f t="shared" si="14"/>
        <v/>
      </c>
      <c r="AA101" s="37" t="str">
        <f>IF(Z101="ANO",COUNTIF($Z$4:Z101,"ANO"),"")</f>
        <v/>
      </c>
    </row>
    <row r="102" spans="1:27" x14ac:dyDescent="0.2">
      <c r="A102" s="35"/>
      <c r="B102" s="11"/>
      <c r="C102" s="35"/>
      <c r="D102" s="11"/>
      <c r="E102" s="35"/>
      <c r="F102" s="35"/>
      <c r="G102" s="35"/>
      <c r="H102" s="35"/>
      <c r="I102" s="11"/>
      <c r="J102" s="36"/>
      <c r="K102" s="36"/>
      <c r="L102" s="11"/>
      <c r="M102" s="35"/>
      <c r="N102" s="35"/>
      <c r="O102" s="36"/>
      <c r="P102" s="37" t="str">
        <f>IF($A102="","",COUNTIFS(Scénáře!$C$4:$C$503,$A102,Scénáře!$W$4:$W$503,"&lt;&gt;Zrušeno"))</f>
        <v/>
      </c>
      <c r="Q102" s="37" t="str">
        <f>IF($A102="","",COUNTIFS(Scénáře!$C$4:$C$503,$A102,Scénáře!$W$4:$W$503,"Schváleno"))</f>
        <v/>
      </c>
      <c r="R102" s="37" t="str">
        <f>IF($A102="","",SUMPRODUCT((Scénáře!$C$4:$C$503=$A102)*((Scénáře!$AA$4:$AA$503="Natočeno")+(Scénáře!$AA$4:$AA$503="Ve střihu")+(Scénáře!$AA$4:$AA$503="Sestříháno")+(Scénáře!$AA$4:$AA$503="Publikováno"))))</f>
        <v/>
      </c>
      <c r="S102" s="37" t="str">
        <f>IF($A102="","",COUNTIFS(Scénáře!$C$4:$C$503,$A102,Scénáře!$AF$4:$AF$503,"&gt;0"))</f>
        <v/>
      </c>
      <c r="T102" s="40" t="str">
        <f t="shared" si="15"/>
        <v/>
      </c>
      <c r="U102" s="37" t="str">
        <f t="shared" si="11"/>
        <v/>
      </c>
      <c r="V102" s="37" t="str">
        <f>IF($A102="","",SUMIFS(Scénáře!$AE$4:$AE$503,Scénáře!$C$4:$C$503,$A102))</f>
        <v/>
      </c>
      <c r="W102" s="37" t="str">
        <f>IF($A102="","",COUNTIFS(Publikace!$C$4:$C$503,$A102,Publikace!$G$4:$G$503,""))</f>
        <v/>
      </c>
      <c r="X102" s="39" t="str">
        <f t="shared" si="16"/>
        <v/>
      </c>
      <c r="Y102" s="39" t="str">
        <f t="shared" si="17"/>
        <v/>
      </c>
      <c r="Z102" s="37" t="str">
        <f t="shared" si="14"/>
        <v/>
      </c>
      <c r="AA102" s="37" t="str">
        <f>IF(Z102="ANO",COUNTIF($Z$4:Z102,"ANO"),"")</f>
        <v/>
      </c>
    </row>
    <row r="103" spans="1:27" x14ac:dyDescent="0.2">
      <c r="A103" s="35"/>
      <c r="B103" s="11"/>
      <c r="C103" s="35"/>
      <c r="D103" s="11"/>
      <c r="E103" s="35"/>
      <c r="F103" s="35"/>
      <c r="G103" s="35"/>
      <c r="H103" s="35"/>
      <c r="I103" s="11"/>
      <c r="J103" s="36"/>
      <c r="K103" s="36"/>
      <c r="L103" s="11"/>
      <c r="M103" s="35"/>
      <c r="N103" s="35"/>
      <c r="O103" s="36"/>
      <c r="P103" s="37" t="str">
        <f>IF($A103="","",COUNTIFS(Scénáře!$C$4:$C$503,$A103,Scénáře!$W$4:$W$503,"&lt;&gt;Zrušeno"))</f>
        <v/>
      </c>
      <c r="Q103" s="37" t="str">
        <f>IF($A103="","",COUNTIFS(Scénáře!$C$4:$C$503,$A103,Scénáře!$W$4:$W$503,"Schváleno"))</f>
        <v/>
      </c>
      <c r="R103" s="37" t="str">
        <f>IF($A103="","",SUMPRODUCT((Scénáře!$C$4:$C$503=$A103)*((Scénáře!$AA$4:$AA$503="Natočeno")+(Scénáře!$AA$4:$AA$503="Ve střihu")+(Scénáře!$AA$4:$AA$503="Sestříháno")+(Scénáře!$AA$4:$AA$503="Publikováno"))))</f>
        <v/>
      </c>
      <c r="S103" s="37" t="str">
        <f>IF($A103="","",COUNTIFS(Scénáře!$C$4:$C$503,$A103,Scénáře!$AF$4:$AF$503,"&gt;0"))</f>
        <v/>
      </c>
      <c r="T103" s="40" t="str">
        <f t="shared" si="15"/>
        <v/>
      </c>
      <c r="U103" s="37" t="str">
        <f t="shared" si="11"/>
        <v/>
      </c>
      <c r="V103" s="37" t="str">
        <f>IF($A103="","",SUMIFS(Scénáře!$AE$4:$AE$503,Scénáře!$C$4:$C$503,$A103))</f>
        <v/>
      </c>
      <c r="W103" s="37" t="str">
        <f>IF($A103="","",COUNTIFS(Publikace!$C$4:$C$503,$A103,Publikace!$G$4:$G$503,""))</f>
        <v/>
      </c>
      <c r="X103" s="39" t="str">
        <f t="shared" si="16"/>
        <v/>
      </c>
      <c r="Y103" s="39" t="str">
        <f t="shared" si="17"/>
        <v/>
      </c>
      <c r="Z103" s="37" t="str">
        <f t="shared" si="14"/>
        <v/>
      </c>
      <c r="AA103" s="37" t="str">
        <f>IF(Z103="ANO",COUNTIF($Z$4:Z103,"ANO"),"")</f>
        <v/>
      </c>
    </row>
  </sheetData>
  <autoFilter ref="A3:AA103" xr:uid="{00000000-0009-0000-0000-000005000000}"/>
  <mergeCells count="3">
    <mergeCell ref="A2:L2"/>
    <mergeCell ref="M2:O2"/>
    <mergeCell ref="P2:AA2"/>
  </mergeCells>
  <conditionalFormatting sqref="M4:M103">
    <cfRule type="expression" dxfId="9" priority="2">
      <formula>OR($M4="Uzavřená",$M4="Dokončená")</formula>
    </cfRule>
    <cfRule type="expression" dxfId="8" priority="3">
      <formula>OR($M4="Ve výrobě",$M4="V publikaci",$M4="Rozpracovaná")</formula>
    </cfRule>
    <cfRule type="expression" dxfId="7" priority="4">
      <formula>$M4="Návrh"</formula>
    </cfRule>
    <cfRule type="expression" dxfId="6" priority="5">
      <formula>OR($M4="Pozastavená",$M4="Zrušená")</formula>
    </cfRule>
  </conditionalFormatting>
  <conditionalFormatting sqref="T4:T103">
    <cfRule type="expression" dxfId="5" priority="8">
      <formula>AND($T4&lt;&gt;"",$T4&gt;=1)</formula>
    </cfRule>
  </conditionalFormatting>
  <conditionalFormatting sqref="X4:X103">
    <cfRule type="expression" dxfId="4" priority="6">
      <formula>LEFT($X4,3)="ANO"</formula>
    </cfRule>
  </conditionalFormatting>
  <conditionalFormatting sqref="Y4:Y103">
    <cfRule type="expression" dxfId="3" priority="7">
      <formula>$Y4&lt;&gt;""</formula>
    </cfRule>
  </conditionalFormatting>
  <dataValidations count="1">
    <dataValidation type="date" operator="greaterThan" allowBlank="1" showErrorMessage="1" errorTitle="Neplatné datum" error="Zadejte datum ve formátu DD.MM.RRRR." sqref="J4:K103 O4:O103" xr:uid="{00000000-0002-0000-0500-000000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Neplatná hodnota" error="Vyberte hodnotu z rozbalovacího seznamu." xr:uid="{00000000-0002-0000-0500-000001000000}">
          <x14:formula1>
            <xm:f>Nastavení!$A$10:$A$13</xm:f>
          </x14:formula1>
          <x14:formula2>
            <xm:f>0</xm:f>
          </x14:formula2>
          <xm:sqref>C4:C103</xm:sqref>
        </x14:dataValidation>
        <x14:dataValidation type="list" allowBlank="1" showErrorMessage="1" errorTitle="Neplatná hodnota" error="Vyberte hodnotu z rozbalovacího seznamu." xr:uid="{00000000-0002-0000-0500-000002000000}">
          <x14:formula1>
            <xm:f>Nastavení!$J$4:$J$8</xm:f>
          </x14:formula1>
          <x14:formula2>
            <xm:f>0</xm:f>
          </x14:formula2>
          <xm:sqref>E4:E103 N4:N103</xm:sqref>
        </x14:dataValidation>
        <x14:dataValidation type="list" allowBlank="1" showErrorMessage="1" errorTitle="Neplatná hodnota" error="Vyberte hodnotu z rozbalovacího seznamu." xr:uid="{00000000-0002-0000-0500-000003000000}">
          <x14:formula1>
            <xm:f>Nastavení!$I$4:$I$18</xm:f>
          </x14:formula1>
          <x14:formula2>
            <xm:f>0</xm:f>
          </x14:formula2>
          <xm:sqref>F4:F103</xm:sqref>
        </x14:dataValidation>
        <x14:dataValidation type="list" allowBlank="1" showErrorMessage="1" errorTitle="Neplatná hodnota" error="Vyberte hodnotu z rozbalovacího seznamu." xr:uid="{00000000-0002-0000-0500-000004000000}">
          <x14:formula1>
            <xm:f>Nastavení!$P$4:$P$11</xm:f>
          </x14:formula1>
          <x14:formula2>
            <xm:f>0</xm:f>
          </x14:formula2>
          <xm:sqref>M4:M103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U54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44" customWidth="1"/>
    <col min="2" max="2" width="16" customWidth="1"/>
    <col min="3" max="3" width="18" customWidth="1"/>
    <col min="4" max="4" width="16" customWidth="1"/>
    <col min="5" max="5" width="22" customWidth="1"/>
    <col min="6" max="6" width="60" customWidth="1"/>
    <col min="7" max="7" width="40" customWidth="1"/>
    <col min="9" max="20" width="24" customWidth="1"/>
    <col min="21" max="21" width="16" customWidth="1"/>
  </cols>
  <sheetData>
    <row r="1" spans="1:21" ht="20" x14ac:dyDescent="0.2">
      <c r="A1" s="7" t="s">
        <v>308</v>
      </c>
    </row>
    <row r="2" spans="1:21" x14ac:dyDescent="0.2">
      <c r="A2" s="13" t="s">
        <v>309</v>
      </c>
      <c r="I2" s="14" t="s">
        <v>310</v>
      </c>
    </row>
    <row r="3" spans="1:21" ht="30" customHeight="1" x14ac:dyDescent="0.2">
      <c r="A3" s="14" t="s">
        <v>311</v>
      </c>
      <c r="B3" s="41">
        <v>16</v>
      </c>
      <c r="C3" s="13" t="s">
        <v>312</v>
      </c>
      <c r="I3" s="21" t="s">
        <v>313</v>
      </c>
      <c r="J3" s="21" t="s">
        <v>314</v>
      </c>
      <c r="K3" s="21" t="s">
        <v>315</v>
      </c>
      <c r="L3" s="21" t="s">
        <v>66</v>
      </c>
      <c r="M3" s="21" t="s">
        <v>133</v>
      </c>
      <c r="N3" s="21" t="s">
        <v>146</v>
      </c>
      <c r="O3" s="21" t="s">
        <v>150</v>
      </c>
      <c r="P3" s="21" t="s">
        <v>289</v>
      </c>
      <c r="Q3" s="21" t="s">
        <v>256</v>
      </c>
      <c r="R3" s="21" t="s">
        <v>316</v>
      </c>
      <c r="S3" s="21" t="s">
        <v>134</v>
      </c>
      <c r="T3" s="21" t="s">
        <v>317</v>
      </c>
      <c r="U3" s="21" t="s">
        <v>318</v>
      </c>
    </row>
    <row r="4" spans="1:21" x14ac:dyDescent="0.2">
      <c r="A4" s="14" t="s">
        <v>319</v>
      </c>
      <c r="B4" s="41">
        <v>7</v>
      </c>
      <c r="C4" s="13" t="s">
        <v>320</v>
      </c>
      <c r="I4" s="42" t="s">
        <v>172</v>
      </c>
      <c r="J4" s="42" t="s">
        <v>75</v>
      </c>
      <c r="K4" s="42" t="s">
        <v>163</v>
      </c>
      <c r="L4" s="43" t="s">
        <v>162</v>
      </c>
      <c r="M4" s="43" t="s">
        <v>76</v>
      </c>
      <c r="N4" s="43" t="s">
        <v>215</v>
      </c>
      <c r="O4" s="43" t="s">
        <v>192</v>
      </c>
      <c r="P4" s="43" t="s">
        <v>307</v>
      </c>
      <c r="Q4" s="43" t="s">
        <v>259</v>
      </c>
      <c r="R4" s="43" t="s">
        <v>264</v>
      </c>
      <c r="S4" s="43" t="s">
        <v>165</v>
      </c>
      <c r="T4" s="43" t="s">
        <v>275</v>
      </c>
      <c r="U4" s="43" t="s">
        <v>160</v>
      </c>
    </row>
    <row r="5" spans="1:21" x14ac:dyDescent="0.2">
      <c r="A5" s="14" t="s">
        <v>321</v>
      </c>
      <c r="B5" s="41">
        <v>10</v>
      </c>
      <c r="C5" s="13" t="s">
        <v>322</v>
      </c>
      <c r="I5" s="42" t="s">
        <v>182</v>
      </c>
      <c r="J5" s="42" t="s">
        <v>78</v>
      </c>
      <c r="K5" s="42" t="s">
        <v>75</v>
      </c>
      <c r="L5" s="43" t="s">
        <v>120</v>
      </c>
      <c r="M5" s="43" t="s">
        <v>77</v>
      </c>
      <c r="N5" s="43" t="s">
        <v>191</v>
      </c>
      <c r="O5" s="43" t="s">
        <v>61</v>
      </c>
      <c r="P5" s="43" t="s">
        <v>302</v>
      </c>
      <c r="Q5" s="43" t="s">
        <v>263</v>
      </c>
      <c r="R5" s="43" t="s">
        <v>257</v>
      </c>
      <c r="S5" s="43" t="s">
        <v>323</v>
      </c>
      <c r="T5" s="43" t="s">
        <v>139</v>
      </c>
      <c r="U5" s="43" t="s">
        <v>45</v>
      </c>
    </row>
    <row r="6" spans="1:21" x14ac:dyDescent="0.2">
      <c r="A6" s="14" t="s">
        <v>324</v>
      </c>
      <c r="B6" s="44">
        <f ca="1">TODAY()</f>
        <v>46321</v>
      </c>
      <c r="I6" s="42" t="s">
        <v>325</v>
      </c>
      <c r="J6" s="42"/>
      <c r="K6" s="42" t="s">
        <v>78</v>
      </c>
      <c r="M6" s="43" t="s">
        <v>164</v>
      </c>
      <c r="N6" s="43" t="s">
        <v>207</v>
      </c>
      <c r="O6" s="43" t="s">
        <v>244</v>
      </c>
      <c r="P6" s="43" t="s">
        <v>326</v>
      </c>
      <c r="Q6" s="43" t="s">
        <v>268</v>
      </c>
      <c r="R6" s="43" t="s">
        <v>260</v>
      </c>
      <c r="S6" s="43" t="s">
        <v>238</v>
      </c>
      <c r="T6" s="43" t="s">
        <v>140</v>
      </c>
      <c r="U6" s="43" t="s">
        <v>211</v>
      </c>
    </row>
    <row r="7" spans="1:21" x14ac:dyDescent="0.2">
      <c r="I7" s="42"/>
      <c r="J7" s="42"/>
      <c r="K7" s="42"/>
      <c r="N7" s="43" t="s">
        <v>229</v>
      </c>
      <c r="O7" s="43" t="s">
        <v>327</v>
      </c>
      <c r="P7" s="43" t="s">
        <v>328</v>
      </c>
      <c r="R7" s="43" t="s">
        <v>329</v>
      </c>
      <c r="T7" s="43" t="s">
        <v>141</v>
      </c>
      <c r="U7" s="43" t="s">
        <v>330</v>
      </c>
    </row>
    <row r="8" spans="1:21" x14ac:dyDescent="0.2">
      <c r="A8" s="14" t="s">
        <v>331</v>
      </c>
      <c r="I8" s="42"/>
      <c r="J8" s="42"/>
      <c r="K8" s="42"/>
      <c r="N8" s="43" t="s">
        <v>59</v>
      </c>
      <c r="O8" s="43" t="s">
        <v>62</v>
      </c>
      <c r="P8" s="43" t="s">
        <v>332</v>
      </c>
      <c r="R8" s="43" t="s">
        <v>266</v>
      </c>
      <c r="T8" s="43" t="s">
        <v>333</v>
      </c>
      <c r="U8" s="43" t="s">
        <v>334</v>
      </c>
    </row>
    <row r="9" spans="1:21" ht="30" customHeight="1" x14ac:dyDescent="0.2">
      <c r="A9" s="21" t="s">
        <v>55</v>
      </c>
      <c r="B9" s="21" t="s">
        <v>335</v>
      </c>
      <c r="C9" s="21" t="s">
        <v>336</v>
      </c>
      <c r="D9" s="21" t="s">
        <v>337</v>
      </c>
      <c r="E9" s="21" t="s">
        <v>338</v>
      </c>
      <c r="F9" s="21" t="s">
        <v>339</v>
      </c>
      <c r="I9" s="42"/>
      <c r="K9" s="42"/>
      <c r="N9" s="43" t="s">
        <v>340</v>
      </c>
      <c r="O9" s="43" t="s">
        <v>341</v>
      </c>
      <c r="P9" s="43" t="s">
        <v>342</v>
      </c>
      <c r="T9" s="43" t="s">
        <v>343</v>
      </c>
      <c r="U9" s="43" t="s">
        <v>344</v>
      </c>
    </row>
    <row r="10" spans="1:21" ht="32" x14ac:dyDescent="0.2">
      <c r="A10" s="45" t="s">
        <v>161</v>
      </c>
      <c r="B10" s="46">
        <v>0.3</v>
      </c>
      <c r="C10" s="47">
        <f>$B$3*B10</f>
        <v>4.8</v>
      </c>
      <c r="D10" s="43">
        <f>ROUND(C10,0)</f>
        <v>5</v>
      </c>
      <c r="E10" s="43">
        <f>IF(ROW()-10+1=MATCH(MAX($B$10:$B$13),$B$10:$B$13,0),$B$3-SUM($D$10:$D$13)+D10,D10)</f>
        <v>5</v>
      </c>
      <c r="F10" s="48" t="s">
        <v>345</v>
      </c>
      <c r="I10" s="42"/>
      <c r="K10" s="42"/>
      <c r="N10" s="43" t="s">
        <v>346</v>
      </c>
      <c r="P10" s="43" t="s">
        <v>347</v>
      </c>
      <c r="U10" s="43" t="s">
        <v>348</v>
      </c>
    </row>
    <row r="11" spans="1:21" ht="32" x14ac:dyDescent="0.2">
      <c r="A11" s="45" t="s">
        <v>176</v>
      </c>
      <c r="B11" s="46">
        <v>0.4</v>
      </c>
      <c r="C11" s="47">
        <f>$B$3*B11</f>
        <v>6.4</v>
      </c>
      <c r="D11" s="43">
        <f>ROUND(C11,0)</f>
        <v>6</v>
      </c>
      <c r="E11" s="43">
        <f>IF(ROW()-10+1=MATCH(MAX($B$10:$B$13),$B$10:$B$13,0),$B$3-SUM($D$10:$D$13)+D11,D11)</f>
        <v>6</v>
      </c>
      <c r="F11" s="48" t="s">
        <v>349</v>
      </c>
      <c r="I11" s="42"/>
      <c r="K11" s="42"/>
      <c r="P11" s="43" t="s">
        <v>350</v>
      </c>
      <c r="U11" s="43" t="s">
        <v>351</v>
      </c>
    </row>
    <row r="12" spans="1:21" ht="16" x14ac:dyDescent="0.2">
      <c r="A12" s="45" t="s">
        <v>185</v>
      </c>
      <c r="B12" s="46">
        <v>0.2</v>
      </c>
      <c r="C12" s="47">
        <f>$B$3*B12</f>
        <v>3.2</v>
      </c>
      <c r="D12" s="43">
        <f>ROUND(C12,0)</f>
        <v>3</v>
      </c>
      <c r="E12" s="43">
        <f>IF(ROW()-10+1=MATCH(MAX($B$10:$B$13),$B$10:$B$13,0),$B$3-SUM($D$10:$D$13)+D12,D12)</f>
        <v>3</v>
      </c>
      <c r="F12" s="48" t="s">
        <v>352</v>
      </c>
      <c r="I12" s="42"/>
      <c r="U12" s="43" t="s">
        <v>353</v>
      </c>
    </row>
    <row r="13" spans="1:21" ht="32" x14ac:dyDescent="0.2">
      <c r="A13" s="45" t="s">
        <v>196</v>
      </c>
      <c r="B13" s="46">
        <v>0.1</v>
      </c>
      <c r="C13" s="47">
        <f>$B$3*B13</f>
        <v>1.6</v>
      </c>
      <c r="D13" s="43">
        <f>ROUND(C13,0)</f>
        <v>2</v>
      </c>
      <c r="E13" s="43">
        <f>IF(ROW()-10+1=MATCH(MAX($B$10:$B$13),$B$10:$B$13,0),$B$3-SUM($D$10:$D$13)+D13,D13)</f>
        <v>2</v>
      </c>
      <c r="F13" s="48" t="s">
        <v>354</v>
      </c>
      <c r="I13" s="42"/>
      <c r="U13" s="43" t="s">
        <v>355</v>
      </c>
    </row>
    <row r="14" spans="1:21" x14ac:dyDescent="0.2">
      <c r="A14" s="28" t="s">
        <v>65</v>
      </c>
      <c r="B14" s="49">
        <f>SUM(B10:B13)</f>
        <v>0.99999999999999989</v>
      </c>
      <c r="C14" s="45"/>
      <c r="D14" s="45"/>
      <c r="E14" s="45">
        <f>SUM(E10:E13)</f>
        <v>16</v>
      </c>
      <c r="F14" s="29" t="s">
        <v>356</v>
      </c>
      <c r="I14" s="42"/>
      <c r="U14" s="43" t="s">
        <v>357</v>
      </c>
    </row>
    <row r="15" spans="1:21" x14ac:dyDescent="0.2">
      <c r="I15" s="42"/>
      <c r="U15" s="43" t="s">
        <v>358</v>
      </c>
    </row>
    <row r="16" spans="1:21" x14ac:dyDescent="0.2">
      <c r="A16" s="14" t="s">
        <v>359</v>
      </c>
      <c r="I16" s="42"/>
      <c r="U16" s="43" t="s">
        <v>360</v>
      </c>
    </row>
    <row r="17" spans="1:21" ht="30" customHeight="1" x14ac:dyDescent="0.2">
      <c r="A17" s="21" t="s">
        <v>66</v>
      </c>
      <c r="B17" s="21" t="s">
        <v>335</v>
      </c>
      <c r="C17" s="21" t="s">
        <v>336</v>
      </c>
      <c r="D17" s="21" t="s">
        <v>337</v>
      </c>
      <c r="E17" s="21" t="s">
        <v>338</v>
      </c>
      <c r="F17" s="21" t="s">
        <v>361</v>
      </c>
      <c r="I17" s="42"/>
      <c r="U17" s="43" t="s">
        <v>362</v>
      </c>
    </row>
    <row r="18" spans="1:21" ht="32" x14ac:dyDescent="0.2">
      <c r="A18" s="45" t="s">
        <v>162</v>
      </c>
      <c r="B18" s="46">
        <v>0.3</v>
      </c>
      <c r="C18" s="47">
        <f>$B$3*B18</f>
        <v>4.8</v>
      </c>
      <c r="D18" s="43">
        <f>ROUND(C18,0)</f>
        <v>5</v>
      </c>
      <c r="E18" s="43">
        <f>IF(ROW()-18+1=MATCH(MAX($B$18:$B$19),$B$18:$B$19,0),$B$3-SUM($D$18:$D$19)+D18,D18)</f>
        <v>5</v>
      </c>
      <c r="F18" s="48" t="s">
        <v>363</v>
      </c>
      <c r="I18" s="42"/>
      <c r="U18" s="43" t="s">
        <v>364</v>
      </c>
    </row>
    <row r="19" spans="1:21" ht="32" x14ac:dyDescent="0.2">
      <c r="A19" s="45" t="s">
        <v>120</v>
      </c>
      <c r="B19" s="46">
        <v>0.7</v>
      </c>
      <c r="C19" s="47">
        <f>$B$3*B19</f>
        <v>11.2</v>
      </c>
      <c r="D19" s="43">
        <f>ROUND(C19,0)</f>
        <v>11</v>
      </c>
      <c r="E19" s="43">
        <f>IF(ROW()-18+1=MATCH(MAX($B$18:$B$19),$B$18:$B$19,0),$B$3-SUM($D$18:$D$19)+D19,D19)</f>
        <v>11</v>
      </c>
      <c r="F19" s="48" t="s">
        <v>365</v>
      </c>
      <c r="U19" s="43" t="s">
        <v>366</v>
      </c>
    </row>
    <row r="20" spans="1:21" x14ac:dyDescent="0.2">
      <c r="A20" s="28" t="s">
        <v>65</v>
      </c>
      <c r="B20" s="49">
        <f>SUM(B18:B19)</f>
        <v>1</v>
      </c>
      <c r="C20" s="45"/>
      <c r="D20" s="45"/>
      <c r="E20" s="45">
        <f>SUM(E18:E19)</f>
        <v>16</v>
      </c>
      <c r="F20" s="45"/>
      <c r="U20" s="43" t="s">
        <v>367</v>
      </c>
    </row>
    <row r="21" spans="1:21" x14ac:dyDescent="0.2">
      <c r="U21" s="43" t="s">
        <v>368</v>
      </c>
    </row>
    <row r="22" spans="1:21" x14ac:dyDescent="0.2">
      <c r="A22" s="14" t="s">
        <v>369</v>
      </c>
      <c r="U22" s="43" t="s">
        <v>370</v>
      </c>
    </row>
    <row r="23" spans="1:21" ht="30" customHeight="1" x14ac:dyDescent="0.2">
      <c r="A23" s="21" t="s">
        <v>371</v>
      </c>
      <c r="B23" s="21" t="s">
        <v>335</v>
      </c>
      <c r="C23" s="21"/>
      <c r="D23" s="21"/>
      <c r="E23" s="21"/>
      <c r="F23" s="21" t="s">
        <v>82</v>
      </c>
      <c r="U23" s="43" t="s">
        <v>372</v>
      </c>
    </row>
    <row r="24" spans="1:21" x14ac:dyDescent="0.2">
      <c r="A24" s="45" t="s">
        <v>76</v>
      </c>
      <c r="B24" s="46">
        <v>0.7</v>
      </c>
      <c r="C24" s="45"/>
      <c r="D24" s="45"/>
      <c r="E24" s="45"/>
      <c r="F24" s="29" t="s">
        <v>373</v>
      </c>
      <c r="U24" s="43" t="s">
        <v>374</v>
      </c>
    </row>
    <row r="25" spans="1:21" x14ac:dyDescent="0.2">
      <c r="A25" s="45" t="s">
        <v>77</v>
      </c>
      <c r="B25" s="46">
        <v>0.3</v>
      </c>
      <c r="C25" s="45"/>
      <c r="D25" s="45"/>
      <c r="E25" s="45"/>
      <c r="F25" s="45"/>
      <c r="U25" s="43" t="s">
        <v>375</v>
      </c>
    </row>
    <row r="26" spans="1:21" x14ac:dyDescent="0.2">
      <c r="A26" s="28" t="s">
        <v>65</v>
      </c>
      <c r="B26" s="49">
        <f>SUM(B24:B25)</f>
        <v>1</v>
      </c>
      <c r="C26" s="45"/>
      <c r="D26" s="45"/>
      <c r="E26" s="45"/>
      <c r="F26" s="45"/>
      <c r="U26" s="43" t="s">
        <v>376</v>
      </c>
    </row>
    <row r="27" spans="1:21" x14ac:dyDescent="0.2">
      <c r="U27" s="43" t="s">
        <v>377</v>
      </c>
    </row>
    <row r="28" spans="1:21" x14ac:dyDescent="0.2">
      <c r="A28" s="14" t="s">
        <v>378</v>
      </c>
      <c r="U28" s="43" t="s">
        <v>379</v>
      </c>
    </row>
    <row r="29" spans="1:21" ht="30" customHeight="1" x14ac:dyDescent="0.2">
      <c r="A29" s="21" t="s">
        <v>380</v>
      </c>
      <c r="B29" s="21" t="s">
        <v>48</v>
      </c>
      <c r="C29" s="21" t="s">
        <v>51</v>
      </c>
      <c r="D29" s="21" t="s">
        <v>53</v>
      </c>
      <c r="E29" s="21" t="s">
        <v>381</v>
      </c>
      <c r="F29" s="21" t="s">
        <v>54</v>
      </c>
      <c r="G29" s="21" t="s">
        <v>82</v>
      </c>
      <c r="U29" s="43" t="s">
        <v>382</v>
      </c>
    </row>
    <row r="30" spans="1:21" x14ac:dyDescent="0.2">
      <c r="A30" s="42" t="s">
        <v>160</v>
      </c>
      <c r="B30" s="50">
        <v>46303</v>
      </c>
      <c r="C30" s="51">
        <f t="shared" ref="C30:C53" si="0">IF(B30="","",B30-$B$4)</f>
        <v>46296</v>
      </c>
      <c r="D30" s="42">
        <f t="shared" ref="D30:D53" si="1">$B$3</f>
        <v>16</v>
      </c>
      <c r="E30" s="42" t="s">
        <v>160</v>
      </c>
      <c r="F30" s="42" t="s">
        <v>383</v>
      </c>
      <c r="G30" s="42" t="s">
        <v>384</v>
      </c>
      <c r="U30" s="43" t="s">
        <v>385</v>
      </c>
    </row>
    <row r="31" spans="1:21" x14ac:dyDescent="0.2">
      <c r="A31" s="42" t="s">
        <v>45</v>
      </c>
      <c r="B31" s="50">
        <v>46346</v>
      </c>
      <c r="C31" s="51">
        <f t="shared" si="0"/>
        <v>46339</v>
      </c>
      <c r="D31" s="42">
        <f t="shared" si="1"/>
        <v>16</v>
      </c>
      <c r="E31" s="42" t="s">
        <v>45</v>
      </c>
      <c r="F31" s="42" t="s">
        <v>383</v>
      </c>
      <c r="G31" s="42" t="s">
        <v>386</v>
      </c>
      <c r="U31" s="43" t="s">
        <v>387</v>
      </c>
    </row>
    <row r="32" spans="1:21" x14ac:dyDescent="0.2">
      <c r="A32" s="42" t="s">
        <v>211</v>
      </c>
      <c r="B32" s="50"/>
      <c r="C32" s="51" t="str">
        <f t="shared" si="0"/>
        <v/>
      </c>
      <c r="D32" s="42">
        <f t="shared" si="1"/>
        <v>16</v>
      </c>
      <c r="E32" s="42" t="s">
        <v>211</v>
      </c>
      <c r="F32" s="42" t="s">
        <v>383</v>
      </c>
      <c r="G32" s="42"/>
      <c r="U32" s="43" t="s">
        <v>388</v>
      </c>
    </row>
    <row r="33" spans="1:21" x14ac:dyDescent="0.2">
      <c r="A33" s="42" t="s">
        <v>330</v>
      </c>
      <c r="B33" s="50"/>
      <c r="C33" s="51" t="str">
        <f t="shared" si="0"/>
        <v/>
      </c>
      <c r="D33" s="42">
        <f t="shared" si="1"/>
        <v>16</v>
      </c>
      <c r="E33" s="42" t="s">
        <v>330</v>
      </c>
      <c r="F33" s="42" t="s">
        <v>383</v>
      </c>
      <c r="G33" s="42"/>
      <c r="U33" s="43" t="s">
        <v>389</v>
      </c>
    </row>
    <row r="34" spans="1:21" x14ac:dyDescent="0.2">
      <c r="A34" s="42" t="s">
        <v>334</v>
      </c>
      <c r="B34" s="50"/>
      <c r="C34" s="51" t="str">
        <f t="shared" si="0"/>
        <v/>
      </c>
      <c r="D34" s="42">
        <f t="shared" si="1"/>
        <v>16</v>
      </c>
      <c r="E34" s="42" t="s">
        <v>334</v>
      </c>
      <c r="F34" s="42" t="s">
        <v>383</v>
      </c>
      <c r="G34" s="42"/>
      <c r="U34" s="43" t="s">
        <v>390</v>
      </c>
    </row>
    <row r="35" spans="1:21" x14ac:dyDescent="0.2">
      <c r="A35" s="42" t="s">
        <v>344</v>
      </c>
      <c r="B35" s="50"/>
      <c r="C35" s="51" t="str">
        <f t="shared" si="0"/>
        <v/>
      </c>
      <c r="D35" s="42">
        <f t="shared" si="1"/>
        <v>16</v>
      </c>
      <c r="E35" s="42" t="s">
        <v>344</v>
      </c>
      <c r="F35" s="42" t="s">
        <v>383</v>
      </c>
      <c r="G35" s="42"/>
      <c r="U35" s="43" t="s">
        <v>391</v>
      </c>
    </row>
    <row r="36" spans="1:21" x14ac:dyDescent="0.2">
      <c r="A36" s="42" t="s">
        <v>348</v>
      </c>
      <c r="B36" s="50"/>
      <c r="C36" s="51" t="str">
        <f t="shared" si="0"/>
        <v/>
      </c>
      <c r="D36" s="42">
        <f t="shared" si="1"/>
        <v>16</v>
      </c>
      <c r="E36" s="42" t="s">
        <v>348</v>
      </c>
      <c r="F36" s="42" t="s">
        <v>383</v>
      </c>
      <c r="G36" s="42"/>
      <c r="U36" s="43" t="s">
        <v>392</v>
      </c>
    </row>
    <row r="37" spans="1:21" x14ac:dyDescent="0.2">
      <c r="A37" s="42" t="s">
        <v>351</v>
      </c>
      <c r="B37" s="50"/>
      <c r="C37" s="51" t="str">
        <f t="shared" si="0"/>
        <v/>
      </c>
      <c r="D37" s="42">
        <f t="shared" si="1"/>
        <v>16</v>
      </c>
      <c r="E37" s="42" t="s">
        <v>351</v>
      </c>
      <c r="F37" s="42" t="s">
        <v>383</v>
      </c>
      <c r="G37" s="42"/>
      <c r="U37" s="43" t="s">
        <v>393</v>
      </c>
    </row>
    <row r="38" spans="1:21" x14ac:dyDescent="0.2">
      <c r="A38" s="42" t="s">
        <v>353</v>
      </c>
      <c r="B38" s="50"/>
      <c r="C38" s="51" t="str">
        <f t="shared" si="0"/>
        <v/>
      </c>
      <c r="D38" s="42">
        <f t="shared" si="1"/>
        <v>16</v>
      </c>
      <c r="E38" s="42" t="s">
        <v>353</v>
      </c>
      <c r="F38" s="42" t="s">
        <v>383</v>
      </c>
      <c r="G38" s="42"/>
      <c r="U38" s="43" t="s">
        <v>394</v>
      </c>
    </row>
    <row r="39" spans="1:21" x14ac:dyDescent="0.2">
      <c r="A39" s="42" t="s">
        <v>355</v>
      </c>
      <c r="B39" s="50"/>
      <c r="C39" s="51" t="str">
        <f t="shared" si="0"/>
        <v/>
      </c>
      <c r="D39" s="42">
        <f t="shared" si="1"/>
        <v>16</v>
      </c>
      <c r="E39" s="42" t="s">
        <v>355</v>
      </c>
      <c r="F39" s="42" t="s">
        <v>383</v>
      </c>
      <c r="G39" s="42"/>
      <c r="U39" s="43" t="s">
        <v>395</v>
      </c>
    </row>
    <row r="40" spans="1:21" x14ac:dyDescent="0.2">
      <c r="A40" s="42" t="s">
        <v>357</v>
      </c>
      <c r="B40" s="50"/>
      <c r="C40" s="51" t="str">
        <f t="shared" si="0"/>
        <v/>
      </c>
      <c r="D40" s="42">
        <f t="shared" si="1"/>
        <v>16</v>
      </c>
      <c r="E40" s="42" t="s">
        <v>357</v>
      </c>
      <c r="F40" s="42" t="s">
        <v>383</v>
      </c>
      <c r="G40" s="42"/>
      <c r="U40" s="43" t="s">
        <v>396</v>
      </c>
    </row>
    <row r="41" spans="1:21" x14ac:dyDescent="0.2">
      <c r="A41" s="42" t="s">
        <v>358</v>
      </c>
      <c r="B41" s="50"/>
      <c r="C41" s="51" t="str">
        <f t="shared" si="0"/>
        <v/>
      </c>
      <c r="D41" s="42">
        <f t="shared" si="1"/>
        <v>16</v>
      </c>
      <c r="E41" s="42" t="s">
        <v>358</v>
      </c>
      <c r="F41" s="42" t="s">
        <v>383</v>
      </c>
      <c r="G41" s="42"/>
      <c r="U41" s="43" t="s">
        <v>397</v>
      </c>
    </row>
    <row r="42" spans="1:21" x14ac:dyDescent="0.2">
      <c r="A42" s="42" t="s">
        <v>360</v>
      </c>
      <c r="B42" s="50"/>
      <c r="C42" s="51" t="str">
        <f t="shared" si="0"/>
        <v/>
      </c>
      <c r="D42" s="42">
        <f t="shared" si="1"/>
        <v>16</v>
      </c>
      <c r="E42" s="42" t="s">
        <v>360</v>
      </c>
      <c r="F42" s="42" t="s">
        <v>383</v>
      </c>
      <c r="G42" s="42"/>
      <c r="U42" s="43" t="s">
        <v>398</v>
      </c>
    </row>
    <row r="43" spans="1:21" x14ac:dyDescent="0.2">
      <c r="A43" s="42" t="s">
        <v>362</v>
      </c>
      <c r="B43" s="50"/>
      <c r="C43" s="51" t="str">
        <f t="shared" si="0"/>
        <v/>
      </c>
      <c r="D43" s="42">
        <f t="shared" si="1"/>
        <v>16</v>
      </c>
      <c r="E43" s="42" t="s">
        <v>362</v>
      </c>
      <c r="F43" s="42" t="s">
        <v>383</v>
      </c>
      <c r="G43" s="42"/>
    </row>
    <row r="44" spans="1:21" x14ac:dyDescent="0.2">
      <c r="A44" s="42" t="s">
        <v>364</v>
      </c>
      <c r="B44" s="50"/>
      <c r="C44" s="51" t="str">
        <f t="shared" si="0"/>
        <v/>
      </c>
      <c r="D44" s="42">
        <f t="shared" si="1"/>
        <v>16</v>
      </c>
      <c r="E44" s="42" t="s">
        <v>364</v>
      </c>
      <c r="F44" s="42" t="s">
        <v>383</v>
      </c>
      <c r="G44" s="42"/>
    </row>
    <row r="45" spans="1:21" x14ac:dyDescent="0.2">
      <c r="A45" s="42" t="s">
        <v>366</v>
      </c>
      <c r="B45" s="50"/>
      <c r="C45" s="51" t="str">
        <f t="shared" si="0"/>
        <v/>
      </c>
      <c r="D45" s="42">
        <f t="shared" si="1"/>
        <v>16</v>
      </c>
      <c r="E45" s="42" t="s">
        <v>366</v>
      </c>
      <c r="F45" s="42" t="s">
        <v>383</v>
      </c>
      <c r="G45" s="42"/>
    </row>
    <row r="46" spans="1:21" x14ac:dyDescent="0.2">
      <c r="A46" s="42" t="s">
        <v>367</v>
      </c>
      <c r="B46" s="50"/>
      <c r="C46" s="51" t="str">
        <f t="shared" si="0"/>
        <v/>
      </c>
      <c r="D46" s="42">
        <f t="shared" si="1"/>
        <v>16</v>
      </c>
      <c r="E46" s="42" t="s">
        <v>367</v>
      </c>
      <c r="F46" s="42" t="s">
        <v>383</v>
      </c>
      <c r="G46" s="42"/>
    </row>
    <row r="47" spans="1:21" x14ac:dyDescent="0.2">
      <c r="A47" s="42" t="s">
        <v>368</v>
      </c>
      <c r="B47" s="50"/>
      <c r="C47" s="51" t="str">
        <f t="shared" si="0"/>
        <v/>
      </c>
      <c r="D47" s="42">
        <f t="shared" si="1"/>
        <v>16</v>
      </c>
      <c r="E47" s="42" t="s">
        <v>368</v>
      </c>
      <c r="F47" s="42" t="s">
        <v>383</v>
      </c>
      <c r="G47" s="42"/>
    </row>
    <row r="48" spans="1:21" x14ac:dyDescent="0.2">
      <c r="A48" s="42" t="s">
        <v>370</v>
      </c>
      <c r="B48" s="50"/>
      <c r="C48" s="51" t="str">
        <f t="shared" si="0"/>
        <v/>
      </c>
      <c r="D48" s="42">
        <f t="shared" si="1"/>
        <v>16</v>
      </c>
      <c r="E48" s="42" t="s">
        <v>370</v>
      </c>
      <c r="F48" s="42" t="s">
        <v>383</v>
      </c>
      <c r="G48" s="42"/>
    </row>
    <row r="49" spans="1:7" x14ac:dyDescent="0.2">
      <c r="A49" s="42" t="s">
        <v>372</v>
      </c>
      <c r="B49" s="50"/>
      <c r="C49" s="51" t="str">
        <f t="shared" si="0"/>
        <v/>
      </c>
      <c r="D49" s="42">
        <f t="shared" si="1"/>
        <v>16</v>
      </c>
      <c r="E49" s="42" t="s">
        <v>372</v>
      </c>
      <c r="F49" s="42" t="s">
        <v>383</v>
      </c>
      <c r="G49" s="42"/>
    </row>
    <row r="50" spans="1:7" x14ac:dyDescent="0.2">
      <c r="A50" s="42" t="s">
        <v>374</v>
      </c>
      <c r="B50" s="50"/>
      <c r="C50" s="51" t="str">
        <f t="shared" si="0"/>
        <v/>
      </c>
      <c r="D50" s="42">
        <f t="shared" si="1"/>
        <v>16</v>
      </c>
      <c r="E50" s="42" t="s">
        <v>374</v>
      </c>
      <c r="F50" s="42" t="s">
        <v>383</v>
      </c>
      <c r="G50" s="42"/>
    </row>
    <row r="51" spans="1:7" x14ac:dyDescent="0.2">
      <c r="A51" s="42" t="s">
        <v>375</v>
      </c>
      <c r="B51" s="50"/>
      <c r="C51" s="51" t="str">
        <f t="shared" si="0"/>
        <v/>
      </c>
      <c r="D51" s="42">
        <f t="shared" si="1"/>
        <v>16</v>
      </c>
      <c r="E51" s="42" t="s">
        <v>375</v>
      </c>
      <c r="F51" s="42" t="s">
        <v>383</v>
      </c>
      <c r="G51" s="42"/>
    </row>
    <row r="52" spans="1:7" x14ac:dyDescent="0.2">
      <c r="A52" s="42" t="s">
        <v>376</v>
      </c>
      <c r="B52" s="50"/>
      <c r="C52" s="51" t="str">
        <f t="shared" si="0"/>
        <v/>
      </c>
      <c r="D52" s="42">
        <f t="shared" si="1"/>
        <v>16</v>
      </c>
      <c r="E52" s="42" t="s">
        <v>376</v>
      </c>
      <c r="F52" s="42" t="s">
        <v>383</v>
      </c>
      <c r="G52" s="42"/>
    </row>
    <row r="53" spans="1:7" x14ac:dyDescent="0.2">
      <c r="A53" s="42" t="s">
        <v>377</v>
      </c>
      <c r="B53" s="50"/>
      <c r="C53" s="51" t="str">
        <f t="shared" si="0"/>
        <v/>
      </c>
      <c r="D53" s="42">
        <f t="shared" si="1"/>
        <v>16</v>
      </c>
      <c r="E53" s="42" t="s">
        <v>377</v>
      </c>
      <c r="F53" s="42" t="s">
        <v>383</v>
      </c>
      <c r="G53" s="42"/>
    </row>
    <row r="54" spans="1:7" x14ac:dyDescent="0.2">
      <c r="A54" s="13" t="s">
        <v>399</v>
      </c>
    </row>
  </sheetData>
  <conditionalFormatting sqref="B14">
    <cfRule type="cellIs" dxfId="2" priority="2" operator="notEqual">
      <formula>1</formula>
    </cfRule>
  </conditionalFormatting>
  <conditionalFormatting sqref="B20">
    <cfRule type="cellIs" dxfId="1" priority="3" operator="notEqual">
      <formula>1</formula>
    </cfRule>
  </conditionalFormatting>
  <conditionalFormatting sqref="B26">
    <cfRule type="cellIs" dxfId="0" priority="4" operator="notEqual">
      <formula>1</formula>
    </cfRule>
  </conditionalFormatting>
  <dataValidations count="1">
    <dataValidation type="date" operator="greaterThan" allowBlank="1" showErrorMessage="1" errorTitle="Neplatné datum" error="Zadejte datum ve formátu DD.MM.RRRR." sqref="B30:B53" xr:uid="{00000000-0002-0000-0600-000000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Návod</vt:lpstr>
      <vt:lpstr>Přehled</vt:lpstr>
      <vt:lpstr>Scénáře</vt:lpstr>
      <vt:lpstr>Připomínky</vt:lpstr>
      <vt:lpstr>Publikace</vt:lpstr>
      <vt:lpstr>Série</vt:lpstr>
      <vt:lpstr>Nastavení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 Gizický</cp:lastModifiedBy>
  <cp:revision>0</cp:revision>
  <dcterms:created xsi:type="dcterms:W3CDTF">2026-10-26T09:21:48Z</dcterms:created>
  <dcterms:modified xsi:type="dcterms:W3CDTF">2026-10-26T09:40:56Z</dcterms:modified>
  <dc:language>en-US</dc:language>
</cp:coreProperties>
</file>